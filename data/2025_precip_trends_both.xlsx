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65FAF53B-436A-4154-8A61-54DEFA11827B}" xr6:coauthVersionLast="47" xr6:coauthVersionMax="47" xr10:uidLastSave="{00000000-0000-0000-0000-000000000000}"/>
  <bookViews>
    <workbookView xWindow="61275" yWindow="1440" windowWidth="21600" windowHeight="11235" xr2:uid="{2039D476-6F51-4FF3-8D92-662C785E066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20" i="2"/>
  <c r="B10" i="2"/>
  <c r="B19" i="2"/>
  <c r="B9" i="2"/>
  <c r="B18" i="2"/>
  <c r="B8" i="2"/>
  <c r="B17" i="2"/>
  <c r="B7" i="2"/>
  <c r="B16" i="2"/>
  <c r="B6" i="2"/>
  <c r="B15" i="2"/>
  <c r="B5" i="2"/>
  <c r="B14" i="2"/>
  <c r="B4" i="2"/>
  <c r="B3" i="2"/>
  <c r="B12" i="2"/>
  <c r="B2" i="2"/>
</calcChain>
</file>

<file path=xl/sharedStrings.xml><?xml version="1.0" encoding="utf-8"?>
<sst xmlns="http://schemas.openxmlformats.org/spreadsheetml/2006/main" count="43" uniqueCount="15">
  <si>
    <t>Month</t>
  </si>
  <si>
    <t>ChangefromNormal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</si>
  <si>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</si>
  <si>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</si>
  <si>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</si>
  <si>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</si>
  <si>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</si>
  <si>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</si>
  <si>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</si>
  <si>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</si>
  <si>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</si>
  <si>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</si>
  <si>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Hartford</t>
  </si>
  <si>
    <t>Bridgeport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</si>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</sst>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D8C5-FAC3-49D5-8999-9B33B33B91F0}">
  <dimension ref="A1:C21"/>
  <sheetViews>
    <sheetView tabSelected="1" topLeftCell="A5" workbookViewId="0">
      <selection activeCell="A22" sqref="A22:XFD23"/>
    </sheetView>
  </sheetViews>
  <sheetFormatPr defaultRowHeight="14.4" x14ac:dyDescent="0.3"/>
  <cols>
    <col min="1" max="1" width="9.88671875" bestFit="1" customWidth="1"/>
    <col min="2" max="2" width="18.21875" bestFit="1" customWidth="1"/>
  </cols>
  <sheetData>
    <row r="1" spans="1:3" x14ac:dyDescent="0.3">
      <c r="A1" t="s">
        <v>0</v>
      </c>
      <c r="B1" t="s">
        <v>1</v>
      </c>
      <c r="C1" t="s">
        <v>14</v>
      </c>
    </row>
    <row r="2" spans="1:3" x14ac:dyDescent="0.3">
      <c r="A2" t="s">
        <v>2</v>
      </c>
      <c r="B2" s="1">
        <f>0.72-3.18</f>
        <v>-2.46</v>
      </c>
      <c r="C2" t="s">
        <v>13</v>
      </c>
    </row>
    <row r="3" spans="1:3" x14ac:dyDescent="0.3">
      <c r="A3" t="s">
        <v>3</v>
      </c>
      <c r="B3" s="1">
        <f>3.27-3.12</f>
        <v>0.14999999999999991</v>
      </c>
      <c r="C3" t="s">
        <v>13</v>
      </c>
    </row>
    <row r="4" spans="1:3" x14ac:dyDescent="0.3">
      <c r="A4" t="s">
        <v>4</v>
      </c>
      <c r="B4" s="1">
        <f>3.75-4.09</f>
        <v>-0.33999999999999986</v>
      </c>
      <c r="C4" t="s">
        <v>13</v>
      </c>
    </row>
    <row r="5" spans="1:3" x14ac:dyDescent="0.3">
      <c r="A5" t="s">
        <v>5</v>
      </c>
      <c r="B5" s="1">
        <f>2.71-4.16</f>
        <v>-1.4500000000000002</v>
      </c>
      <c r="C5" t="s">
        <v>13</v>
      </c>
    </row>
    <row r="6" spans="1:3" x14ac:dyDescent="0.3">
      <c r="A6" t="s">
        <v>6</v>
      </c>
      <c r="B6" s="1">
        <f>4.15-3.58</f>
        <v>0.57000000000000028</v>
      </c>
      <c r="C6" t="s">
        <v>13</v>
      </c>
    </row>
    <row r="7" spans="1:3" x14ac:dyDescent="0.3">
      <c r="A7" t="s">
        <v>7</v>
      </c>
      <c r="B7" s="1">
        <f>0.91-3.77</f>
        <v>-2.86</v>
      </c>
      <c r="C7" t="s">
        <v>13</v>
      </c>
    </row>
    <row r="8" spans="1:3" x14ac:dyDescent="0.3">
      <c r="A8" t="s">
        <v>8</v>
      </c>
      <c r="B8" s="1">
        <f>1.35-3.32</f>
        <v>-1.9699999999999998</v>
      </c>
      <c r="C8" t="s">
        <v>13</v>
      </c>
    </row>
    <row r="9" spans="1:3" x14ac:dyDescent="0.3">
      <c r="A9" t="s">
        <v>9</v>
      </c>
      <c r="B9" s="1">
        <f>1.48-3.98</f>
        <v>-2.5</v>
      </c>
      <c r="C9" t="s">
        <v>13</v>
      </c>
    </row>
    <row r="10" spans="1:3" x14ac:dyDescent="0.3">
      <c r="A10" t="s">
        <v>10</v>
      </c>
      <c r="B10" s="1">
        <f>2.89-3.96</f>
        <v>-1.0699999999999998</v>
      </c>
      <c r="C10" t="s">
        <v>13</v>
      </c>
    </row>
    <row r="11" spans="1:3" x14ac:dyDescent="0.3">
      <c r="A11" t="s">
        <v>11</v>
      </c>
      <c r="B11" s="1">
        <f>4.58-3.84</f>
        <v>0.74000000000000021</v>
      </c>
      <c r="C11" t="s">
        <v>13</v>
      </c>
    </row>
    <row r="12" spans="1:3" x14ac:dyDescent="0.3">
      <c r="A12" t="s">
        <v>2</v>
      </c>
      <c r="B12" s="1">
        <f>1.58-3.28</f>
        <v>-1.6999999999999997</v>
      </c>
      <c r="C12" t="s">
        <v>12</v>
      </c>
    </row>
    <row r="13" spans="1:3" x14ac:dyDescent="0.3">
      <c r="A13" t="s">
        <v>3</v>
      </c>
      <c r="B13" s="1">
        <v>-0.08</v>
      </c>
      <c r="C13" t="s">
        <v>12</v>
      </c>
    </row>
    <row r="14" spans="1:3" x14ac:dyDescent="0.3">
      <c r="A14" t="s">
        <v>4</v>
      </c>
      <c r="B14" s="1">
        <f>4.51-3.81</f>
        <v>0.69999999999999973</v>
      </c>
      <c r="C14" t="s">
        <v>12</v>
      </c>
    </row>
    <row r="15" spans="1:3" x14ac:dyDescent="0.3">
      <c r="A15" t="s">
        <v>5</v>
      </c>
      <c r="B15" s="1">
        <f>3.55-3.88</f>
        <v>-0.33000000000000007</v>
      </c>
      <c r="C15" t="s">
        <v>12</v>
      </c>
    </row>
    <row r="16" spans="1:3" x14ac:dyDescent="0.3">
      <c r="A16" t="s">
        <v>6</v>
      </c>
      <c r="B16" s="1">
        <f>8.23-3.79</f>
        <v>4.4400000000000004</v>
      </c>
      <c r="C16" t="s">
        <v>12</v>
      </c>
    </row>
    <row r="17" spans="1:3" x14ac:dyDescent="0.3">
      <c r="A17" t="s">
        <v>7</v>
      </c>
      <c r="B17" s="1">
        <f>2.13-4.28</f>
        <v>-2.1500000000000004</v>
      </c>
      <c r="C17" t="s">
        <v>12</v>
      </c>
    </row>
    <row r="18" spans="1:3" x14ac:dyDescent="0.3">
      <c r="A18" t="s">
        <v>8</v>
      </c>
      <c r="B18" s="1">
        <f>7.81-4.17</f>
        <v>3.6399999999999997</v>
      </c>
      <c r="C18" t="s">
        <v>12</v>
      </c>
    </row>
    <row r="19" spans="1:3" x14ac:dyDescent="0.3">
      <c r="A19" t="s">
        <v>9</v>
      </c>
      <c r="B19" s="1">
        <f>2.45-4.21</f>
        <v>-1.7599999999999998</v>
      </c>
      <c r="C19" t="s">
        <v>12</v>
      </c>
    </row>
    <row r="20" spans="1:3" x14ac:dyDescent="0.3">
      <c r="A20" t="s">
        <v>10</v>
      </c>
      <c r="B20" s="1">
        <f>3.4-4.39</f>
        <v>-0.98999999999999977</v>
      </c>
      <c r="C20" t="s">
        <v>12</v>
      </c>
    </row>
    <row r="21" spans="1:3" x14ac:dyDescent="0.3">
      <c r="A21" t="s">
        <v>11</v>
      </c>
      <c r="B21" s="1">
        <v>0.1</v>
      </c>
      <c r="C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O'Brien-Clayton, Katie</dc:creator>
  <cp:lastModifiedBy>O'Brien-Clayton, Katie</cp:lastModifiedBy>
  <dcterms:created xsi:type="dcterms:W3CDTF">2025-11-12T16:29:13Z</dcterms:created>
  <dcterms:modified xsi:type="dcterms:W3CDTF">2025-11-12T18:33:14Z</dcterms:modified>
</cp:coreProperties>
</file>