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6.xml" ContentType="application/vnd.openxmlformats-officedocument.themeOverrid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7.xml" ContentType="application/vnd.openxmlformats-officedocument.themeOverrid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8.xml" ContentType="application/vnd.openxmlformats-officedocument.themeOverrid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9.xml" ContentType="application/vnd.openxmlformats-officedocument.themeOverrid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0.xml" ContentType="application/vnd.openxmlformats-officedocument.themeOverrid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1.xml" ContentType="application/vnd.openxmlformats-officedocument.themeOverride+xml"/>
  <Override PartName="/xl/pivotTables/pivotTable13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2.xml" ContentType="application/vnd.openxmlformats-officedocument.themeOverride+xml"/>
  <Override PartName="/xl/pivotTables/pivotTable14.xml" ContentType="application/vnd.openxmlformats-officedocument.spreadsheetml.pivotTab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3.xml" ContentType="application/vnd.openxmlformats-officedocument.themeOverride+xml"/>
  <Override PartName="/xl/pivotTables/pivotTable15.xml" ContentType="application/vnd.openxmlformats-officedocument.spreadsheetml.pivotTab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4.xml" ContentType="application/vnd.openxmlformats-officedocument.themeOverride+xml"/>
  <Override PartName="/xl/pivotTables/pivotTable16.xml" ContentType="application/vnd.openxmlformats-officedocument.spreadsheetml.pivotTab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5.xml" ContentType="application/vnd.openxmlformats-officedocument.themeOverride+xml"/>
  <Override PartName="/xl/pivotTables/pivotTable17.xml" ContentType="application/vnd.openxmlformats-officedocument.spreadsheetml.pivotTab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hidePivotFieldList="1" defaultThemeVersion="124226"/>
  <xr:revisionPtr revIDLastSave="0" documentId="13_ncr:1_{4F7D9C8C-DEAC-4781-93BF-DC3E9BF27297}" xr6:coauthVersionLast="47" xr6:coauthVersionMax="47" xr10:uidLastSave="{00000000-0000-0000-0000-000000000000}"/>
  <bookViews>
    <workbookView xWindow="-96" yWindow="0" windowWidth="11712" windowHeight="13776" tabRatio="899" firstSheet="2" activeTab="2" xr2:uid="{00000000-000D-0000-FFFF-FFFF00000000}"/>
  </bookViews>
  <sheets>
    <sheet name="2019 Weighted Average" sheetId="10" state="hidden" r:id="rId1"/>
    <sheet name="2018 Weighted Average" sheetId="11" state="hidden" r:id="rId2"/>
    <sheet name="AvgTempChart" sheetId="32" r:id="rId3"/>
    <sheet name="A4" sheetId="7" r:id="rId4"/>
    <sheet name="B3" sheetId="12" r:id="rId5"/>
    <sheet name="C1" sheetId="13" r:id="rId6"/>
    <sheet name="C2" sheetId="14" r:id="rId7"/>
    <sheet name="D3" sheetId="6" r:id="rId8"/>
    <sheet name="09" sheetId="15" r:id="rId9"/>
    <sheet name="15" sheetId="18" r:id="rId10"/>
    <sheet name="E1" sheetId="17" r:id="rId11"/>
    <sheet name="F2" sheetId="16" r:id="rId12"/>
    <sheet name="F3" sheetId="21" r:id="rId13"/>
    <sheet name="H2" sheetId="20" r:id="rId14"/>
    <sheet name="H4" sheetId="19" r:id="rId15"/>
    <sheet name="H6" sheetId="24" r:id="rId16"/>
    <sheet name="I2" sheetId="9" r:id="rId17"/>
    <sheet name="J2" sheetId="23" r:id="rId18"/>
    <sheet name="K2" sheetId="22" r:id="rId19"/>
    <sheet name="M3" sheetId="8" r:id="rId20"/>
  </sheets>
  <definedNames>
    <definedName name="_xlnm._FilterDatabase" localSheetId="5" hidden="1">'C1'!$A$1:$F$449</definedName>
  </definedNames>
  <calcPr calcId="191029"/>
  <pivotCaches>
    <pivotCache cacheId="0" r:id="rId21"/>
    <pivotCache cacheId="1" r:id="rId22"/>
    <pivotCache cacheId="2" r:id="rId23"/>
    <pivotCache cacheId="3" r:id="rId24"/>
    <pivotCache cacheId="4" r:id="rId25"/>
    <pivotCache cacheId="5" r:id="rId26"/>
    <pivotCache cacheId="6" r:id="rId27"/>
    <pivotCache cacheId="7" r:id="rId28"/>
    <pivotCache cacheId="8" r:id="rId29"/>
    <pivotCache cacheId="9" r:id="rId30"/>
    <pivotCache cacheId="10" r:id="rId31"/>
    <pivotCache cacheId="11" r:id="rId32"/>
    <pivotCache cacheId="12" r:id="rId33"/>
    <pivotCache cacheId="13" r:id="rId34"/>
    <pivotCache cacheId="14" r:id="rId35"/>
    <pivotCache cacheId="15" r:id="rId36"/>
    <pivotCache cacheId="16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3" i="11" l="1"/>
  <c r="H253" i="11"/>
  <c r="G253" i="11"/>
  <c r="I239" i="11"/>
  <c r="H239" i="11"/>
  <c r="G239" i="11"/>
  <c r="I225" i="11"/>
  <c r="H225" i="11"/>
  <c r="G225" i="11"/>
  <c r="I211" i="11"/>
  <c r="H211" i="11"/>
  <c r="G211" i="11"/>
  <c r="I197" i="11"/>
  <c r="H197" i="11"/>
  <c r="G197" i="11"/>
  <c r="I183" i="11"/>
  <c r="H183" i="11"/>
  <c r="G183" i="11"/>
  <c r="I169" i="11"/>
  <c r="H169" i="11"/>
  <c r="G169" i="11"/>
  <c r="I153" i="11"/>
  <c r="H153" i="11"/>
  <c r="G153" i="11"/>
  <c r="I137" i="11"/>
  <c r="H137" i="11"/>
  <c r="G137" i="11"/>
  <c r="I120" i="11"/>
  <c r="H120" i="11"/>
  <c r="G120" i="11"/>
  <c r="I103" i="11"/>
  <c r="H103" i="11"/>
  <c r="G103" i="11"/>
  <c r="I86" i="11"/>
  <c r="H86" i="11"/>
  <c r="G86" i="11"/>
  <c r="I70" i="11"/>
  <c r="H70" i="11"/>
  <c r="G70" i="11"/>
  <c r="I52" i="11"/>
  <c r="H52" i="11"/>
  <c r="G52" i="11"/>
  <c r="I35" i="11"/>
  <c r="H35" i="11"/>
  <c r="G35" i="11"/>
  <c r="I3" i="11"/>
  <c r="H3" i="11"/>
  <c r="G3" i="11"/>
  <c r="I2" i="11"/>
  <c r="H2" i="11"/>
  <c r="H20" i="11" s="1"/>
  <c r="G2" i="11"/>
  <c r="I217" i="10"/>
  <c r="H217" i="10"/>
  <c r="G217" i="10"/>
  <c r="I206" i="10"/>
  <c r="H206" i="10"/>
  <c r="G206" i="10"/>
  <c r="I194" i="10"/>
  <c r="H194" i="10"/>
  <c r="G194" i="10"/>
  <c r="I182" i="10"/>
  <c r="H182" i="10"/>
  <c r="G182" i="10"/>
  <c r="I170" i="10"/>
  <c r="H170" i="10"/>
  <c r="G170" i="10"/>
  <c r="I158" i="10"/>
  <c r="H158" i="10"/>
  <c r="G158" i="10"/>
  <c r="I146" i="10"/>
  <c r="H146" i="10"/>
  <c r="G146" i="10"/>
  <c r="I133" i="10"/>
  <c r="H133" i="10"/>
  <c r="G133" i="10"/>
  <c r="I119" i="10"/>
  <c r="H119" i="10"/>
  <c r="G119" i="10"/>
  <c r="I105" i="10"/>
  <c r="H105" i="10"/>
  <c r="G105" i="10"/>
  <c r="I90" i="10"/>
  <c r="H90" i="10"/>
  <c r="G90" i="10"/>
  <c r="I75" i="10"/>
  <c r="H75" i="10"/>
  <c r="G75" i="10"/>
  <c r="H60" i="10"/>
  <c r="G60" i="10"/>
  <c r="H45" i="10"/>
  <c r="G45" i="10"/>
  <c r="I60" i="10"/>
  <c r="I45" i="10"/>
  <c r="H4" i="10"/>
  <c r="G4" i="10"/>
  <c r="H3" i="10"/>
  <c r="G3" i="10"/>
  <c r="H2" i="10"/>
  <c r="G2" i="10"/>
  <c r="I4" i="10"/>
  <c r="I3" i="10"/>
  <c r="I2" i="10"/>
  <c r="G20" i="11" l="1"/>
  <c r="H19" i="10"/>
  <c r="G19" i="11"/>
  <c r="G19" i="10"/>
  <c r="H19" i="11"/>
</calcChain>
</file>

<file path=xl/sharedStrings.xml><?xml version="1.0" encoding="utf-8"?>
<sst xmlns="http://schemas.openxmlformats.org/spreadsheetml/2006/main" count="16740" uniqueCount="604">
  <si>
    <t>YEAR</t>
  </si>
  <si>
    <t>Cruise</t>
  </si>
  <si>
    <t>Station Name</t>
  </si>
  <si>
    <t>Date</t>
  </si>
  <si>
    <t>S Temp</t>
  </si>
  <si>
    <t>B Temp</t>
  </si>
  <si>
    <t>WQJAN19</t>
  </si>
  <si>
    <t>WQFEB19</t>
  </si>
  <si>
    <t>CHFEB19</t>
  </si>
  <si>
    <t>WQMAR19</t>
  </si>
  <si>
    <t>WQAPR19</t>
  </si>
  <si>
    <t>WQMAY19</t>
  </si>
  <si>
    <t>WQJUN19</t>
  </si>
  <si>
    <t>HYJUN19</t>
  </si>
  <si>
    <t>WQJUL19</t>
  </si>
  <si>
    <t>HYJUL19</t>
  </si>
  <si>
    <t>WQAUG19</t>
  </si>
  <si>
    <t>HYAUG19</t>
  </si>
  <si>
    <t>WQSEP19</t>
  </si>
  <si>
    <t>HYSEP19</t>
  </si>
  <si>
    <t>M3</t>
  </si>
  <si>
    <t>K2</t>
  </si>
  <si>
    <t>J2</t>
  </si>
  <si>
    <t>I2</t>
  </si>
  <si>
    <t>H6</t>
  </si>
  <si>
    <t>H2</t>
  </si>
  <si>
    <t>C1</t>
  </si>
  <si>
    <t>C2</t>
  </si>
  <si>
    <t>09</t>
  </si>
  <si>
    <t>B3</t>
  </si>
  <si>
    <t>A4</t>
  </si>
  <si>
    <t>E1</t>
  </si>
  <si>
    <t>F2</t>
  </si>
  <si>
    <t>F3</t>
  </si>
  <si>
    <t>15</t>
  </si>
  <si>
    <t>D3</t>
  </si>
  <si>
    <t>H4</t>
  </si>
  <si>
    <t>Bottom Temp</t>
  </si>
  <si>
    <t>Surface Temp</t>
  </si>
  <si>
    <t>WQOCT19</t>
  </si>
  <si>
    <t>WQNOV19</t>
  </si>
  <si>
    <t>WQDEC19</t>
  </si>
  <si>
    <t>*</t>
  </si>
  <si>
    <t>WQFEB91</t>
  </si>
  <si>
    <t>WQMAR91</t>
  </si>
  <si>
    <t>WQAPR91</t>
  </si>
  <si>
    <t>WQMAY91</t>
  </si>
  <si>
    <t>WQJUN91</t>
  </si>
  <si>
    <t>WQJUL91</t>
  </si>
  <si>
    <t>WQAUG91</t>
  </si>
  <si>
    <t>WQSEP91</t>
  </si>
  <si>
    <t>WQOCT91</t>
  </si>
  <si>
    <t>WQNOV91</t>
  </si>
  <si>
    <t>WQJAN92</t>
  </si>
  <si>
    <t>WQFEB92</t>
  </si>
  <si>
    <t>WQMAY92</t>
  </si>
  <si>
    <t>WQJUN92</t>
  </si>
  <si>
    <t>WQJUL92</t>
  </si>
  <si>
    <t>WQAUG92</t>
  </si>
  <si>
    <t>WQSEP92</t>
  </si>
  <si>
    <t>WQOCT92</t>
  </si>
  <si>
    <t>WQNOV92</t>
  </si>
  <si>
    <t>WQDEC92</t>
  </si>
  <si>
    <t>WQJAN93</t>
  </si>
  <si>
    <t>WQFEB93</t>
  </si>
  <si>
    <t>WQMAR93</t>
  </si>
  <si>
    <t>WQMAY93</t>
  </si>
  <si>
    <t>WQJUN93</t>
  </si>
  <si>
    <t>WQJUL93</t>
  </si>
  <si>
    <t>WQAUG93</t>
  </si>
  <si>
    <t>WQSEP93</t>
  </si>
  <si>
    <t>WQOCT93</t>
  </si>
  <si>
    <t>WQDEC93</t>
  </si>
  <si>
    <t>WQJAN94</t>
  </si>
  <si>
    <t>WQFEB94</t>
  </si>
  <si>
    <t>WQMAR94</t>
  </si>
  <si>
    <t>WQAPR94</t>
  </si>
  <si>
    <t>WQMAY94</t>
  </si>
  <si>
    <t>WQJUN94</t>
  </si>
  <si>
    <t>HYJUN94</t>
  </si>
  <si>
    <t>WQJUL94</t>
  </si>
  <si>
    <t>HYJUL94</t>
  </si>
  <si>
    <t>WQAUG94</t>
  </si>
  <si>
    <t>HYAUG94</t>
  </si>
  <si>
    <t>WQSEP94</t>
  </si>
  <si>
    <t>HYSEP94</t>
  </si>
  <si>
    <t>WQOCT94</t>
  </si>
  <si>
    <t>WQNOV94</t>
  </si>
  <si>
    <t>WQDEC94</t>
  </si>
  <si>
    <t>WQJAN95</t>
  </si>
  <si>
    <t>WQFEB95</t>
  </si>
  <si>
    <t>WQMAR95</t>
  </si>
  <si>
    <t>WQAPR95</t>
  </si>
  <si>
    <t>WQMAY95</t>
  </si>
  <si>
    <t>WQJUN95</t>
  </si>
  <si>
    <t>HYJUN95</t>
  </si>
  <si>
    <t>WQJUL95</t>
  </si>
  <si>
    <t>HYJUL95</t>
  </si>
  <si>
    <t>WQAUG95</t>
  </si>
  <si>
    <t>HYAUG95</t>
  </si>
  <si>
    <t>WQSEP95</t>
  </si>
  <si>
    <t>WQOCT95</t>
  </si>
  <si>
    <t>WQNOV95</t>
  </si>
  <si>
    <t>WQDEC95</t>
  </si>
  <si>
    <t>WQFEB96</t>
  </si>
  <si>
    <t>WQMAR96</t>
  </si>
  <si>
    <t>WQAPR96</t>
  </si>
  <si>
    <t>WQMAY96</t>
  </si>
  <si>
    <t>WQJUN96</t>
  </si>
  <si>
    <t>HYJUN96</t>
  </si>
  <si>
    <t>WQJUL96</t>
  </si>
  <si>
    <t>HYJUL96</t>
  </si>
  <si>
    <t>WQAUG96</t>
  </si>
  <si>
    <t>HYAUG96</t>
  </si>
  <si>
    <t>WQSEP96</t>
  </si>
  <si>
    <t>WQOCT96</t>
  </si>
  <si>
    <t>WQNOV96</t>
  </si>
  <si>
    <t>WQDEC96</t>
  </si>
  <si>
    <t>WQFEB97</t>
  </si>
  <si>
    <t>WQMAR97</t>
  </si>
  <si>
    <t>WQAPR97</t>
  </si>
  <si>
    <t>WQMAY97</t>
  </si>
  <si>
    <t>WQJUN97</t>
  </si>
  <si>
    <t>HYJUN97</t>
  </si>
  <si>
    <t>HYJUL97</t>
  </si>
  <si>
    <t>WQAUG97</t>
  </si>
  <si>
    <t>HYAUG97</t>
  </si>
  <si>
    <t>WQSEP97</t>
  </si>
  <si>
    <t>WQOCT97</t>
  </si>
  <si>
    <t>WQNOV97</t>
  </si>
  <si>
    <t>WQDEC97</t>
  </si>
  <si>
    <t>WQJAN98</t>
  </si>
  <si>
    <t>WQFEB98</t>
  </si>
  <si>
    <t>CHFEB98</t>
  </si>
  <si>
    <t>WQMAR98</t>
  </si>
  <si>
    <t>CHMAR98</t>
  </si>
  <si>
    <t>WQAPR98</t>
  </si>
  <si>
    <t>WQMAY98</t>
  </si>
  <si>
    <t>WQJUN98</t>
  </si>
  <si>
    <t>HYJUN98</t>
  </si>
  <si>
    <t>WQJUL98</t>
  </si>
  <si>
    <t>HYJUL98</t>
  </si>
  <si>
    <t>WQAUG98</t>
  </si>
  <si>
    <t>HYAUG98</t>
  </si>
  <si>
    <t>WQSEP98</t>
  </si>
  <si>
    <t>HYSEP98</t>
  </si>
  <si>
    <t>WQOCT98</t>
  </si>
  <si>
    <t>WQNOV98</t>
  </si>
  <si>
    <t>WQDEC98</t>
  </si>
  <si>
    <t>WQJAN99</t>
  </si>
  <si>
    <t>WQFEB99</t>
  </si>
  <si>
    <t>CHFEB99</t>
  </si>
  <si>
    <t>WQMAR99</t>
  </si>
  <si>
    <t>CHMAR99</t>
  </si>
  <si>
    <t>WQAPR99</t>
  </si>
  <si>
    <t>WQMAY99</t>
  </si>
  <si>
    <t>WQJUN99</t>
  </si>
  <si>
    <t>HYJUN99</t>
  </si>
  <si>
    <t>WQJUL99</t>
  </si>
  <si>
    <t>HYJUL99</t>
  </si>
  <si>
    <t>WQAUG99</t>
  </si>
  <si>
    <t>HYAUG99</t>
  </si>
  <si>
    <t>WQSEP99</t>
  </si>
  <si>
    <t>WQOCT99</t>
  </si>
  <si>
    <t>WQNOV99</t>
  </si>
  <si>
    <t>WQDEC99</t>
  </si>
  <si>
    <t>WQJAN00</t>
  </si>
  <si>
    <t>WQFEB00</t>
  </si>
  <si>
    <t>CHFEB00</t>
  </si>
  <si>
    <t>WQMAR00</t>
  </si>
  <si>
    <t>CHMAR00</t>
  </si>
  <si>
    <t>WQAPR00</t>
  </si>
  <si>
    <t>WQMAY00</t>
  </si>
  <si>
    <t>WQJUN00</t>
  </si>
  <si>
    <t>HYJUN00</t>
  </si>
  <si>
    <t>WQJUL00</t>
  </si>
  <si>
    <t>HYJUL00</t>
  </si>
  <si>
    <t>WQAUG00</t>
  </si>
  <si>
    <t>HYAUG00</t>
  </si>
  <si>
    <t>WQSEP00</t>
  </si>
  <si>
    <t>WQOCT00</t>
  </si>
  <si>
    <t>WQNOV00</t>
  </si>
  <si>
    <t>WQDEC00</t>
  </si>
  <si>
    <t>WQJAN01</t>
  </si>
  <si>
    <t>WQFEB01</t>
  </si>
  <si>
    <t>CHFEB01</t>
  </si>
  <si>
    <t>WQMAR01</t>
  </si>
  <si>
    <t>WQAPR01</t>
  </si>
  <si>
    <t>WQMAY01</t>
  </si>
  <si>
    <t>WQJUN01</t>
  </si>
  <si>
    <t>HYJUN01</t>
  </si>
  <si>
    <t>WQJUL01</t>
  </si>
  <si>
    <t>HYJUL01</t>
  </si>
  <si>
    <t>WQAUG01</t>
  </si>
  <si>
    <t>HYAUG01</t>
  </si>
  <si>
    <t>SSAUG01</t>
  </si>
  <si>
    <t>WQSEP01</t>
  </si>
  <si>
    <t>HYSEP01</t>
  </si>
  <si>
    <t>WQOCT01</t>
  </si>
  <si>
    <t>WQNOV01</t>
  </si>
  <si>
    <t>WQDEC01</t>
  </si>
  <si>
    <t>WQJAN02</t>
  </si>
  <si>
    <t>WQFEB02</t>
  </si>
  <si>
    <t>CHFEB02</t>
  </si>
  <si>
    <t>WQMAR02</t>
  </si>
  <si>
    <t>CHMAR02</t>
  </si>
  <si>
    <t>WQAPR02</t>
  </si>
  <si>
    <t>WQMAY02</t>
  </si>
  <si>
    <t>WQJUN02</t>
  </si>
  <si>
    <t>HYJUN02</t>
  </si>
  <si>
    <t>WQJUL02</t>
  </si>
  <si>
    <t>HYJUL02</t>
  </si>
  <si>
    <t>WQAUG02</t>
  </si>
  <si>
    <t>HYAUG02</t>
  </si>
  <si>
    <t>WQSEP02</t>
  </si>
  <si>
    <t>WQOCT02</t>
  </si>
  <si>
    <t>WQNOV02</t>
  </si>
  <si>
    <t>WQDEC02</t>
  </si>
  <si>
    <t>WQFEB03</t>
  </si>
  <si>
    <t>WQMAR03</t>
  </si>
  <si>
    <t>CHMAR03</t>
  </si>
  <si>
    <t>WQAPR03</t>
  </si>
  <si>
    <t>WQMAY03</t>
  </si>
  <si>
    <t>WQJUN03</t>
  </si>
  <si>
    <t>HYJUN03</t>
  </si>
  <si>
    <t>WQJUL03</t>
  </si>
  <si>
    <t>HYJUL03</t>
  </si>
  <si>
    <t>WQAUG03</t>
  </si>
  <si>
    <t>HYAUG03</t>
  </si>
  <si>
    <t>WQSEP03</t>
  </si>
  <si>
    <t>WQOCT03</t>
  </si>
  <si>
    <t>WQNOV03</t>
  </si>
  <si>
    <t>WQDEC03</t>
  </si>
  <si>
    <t>WQFEB04</t>
  </si>
  <si>
    <t>CHFEB04</t>
  </si>
  <si>
    <t>WQMAR04</t>
  </si>
  <si>
    <t>CHMAR04</t>
  </si>
  <si>
    <t>WQAPR04</t>
  </si>
  <si>
    <t>WQMAY04</t>
  </si>
  <si>
    <t>WQJUN04</t>
  </si>
  <si>
    <t>HYJUN04</t>
  </si>
  <si>
    <t>WQJUL04</t>
  </si>
  <si>
    <t>HYJUL04</t>
  </si>
  <si>
    <t>WQAUG04</t>
  </si>
  <si>
    <t>HYAUG04</t>
  </si>
  <si>
    <t>WQSEP04</t>
  </si>
  <si>
    <t>WQOCT04</t>
  </si>
  <si>
    <t>WQDEC04</t>
  </si>
  <si>
    <t>WQJAN05</t>
  </si>
  <si>
    <t>WQFEB05</t>
  </si>
  <si>
    <t>WQMAR05</t>
  </si>
  <si>
    <t>WQAPR05</t>
  </si>
  <si>
    <t>WQMAY05</t>
  </si>
  <si>
    <t>WQJUN05</t>
  </si>
  <si>
    <t>HYJUN05</t>
  </si>
  <si>
    <t>WQJUL05</t>
  </si>
  <si>
    <t>HYJUL05</t>
  </si>
  <si>
    <t>WQAUG05</t>
  </si>
  <si>
    <t>HYAUG05</t>
  </si>
  <si>
    <t>WQSEP05</t>
  </si>
  <si>
    <t>SSSEP05</t>
  </si>
  <si>
    <t>WQOCT05</t>
  </si>
  <si>
    <t>WQNOV05</t>
  </si>
  <si>
    <t>WQDEC05</t>
  </si>
  <si>
    <t>WQMAR06</t>
  </si>
  <si>
    <t>WQMAY06</t>
  </si>
  <si>
    <t>WQJUN06</t>
  </si>
  <si>
    <t>HYJUN06</t>
  </si>
  <si>
    <t>WQJUL06</t>
  </si>
  <si>
    <t>HYJUL06</t>
  </si>
  <si>
    <t>WQAUG06</t>
  </si>
  <si>
    <t>HYAUG06</t>
  </si>
  <si>
    <t>WQSEP06</t>
  </si>
  <si>
    <t>WQOCT06</t>
  </si>
  <si>
    <t>WQNOV06</t>
  </si>
  <si>
    <t>WQDEC06</t>
  </si>
  <si>
    <t>WQJAN07</t>
  </si>
  <si>
    <t>WQFEB07</t>
  </si>
  <si>
    <t>WQMAR07</t>
  </si>
  <si>
    <t>CHMAR07</t>
  </si>
  <si>
    <t>WQAPR07</t>
  </si>
  <si>
    <t>WQMAY07</t>
  </si>
  <si>
    <t>WQJUN07</t>
  </si>
  <si>
    <t>HYJUN07</t>
  </si>
  <si>
    <t>WQJUL07</t>
  </si>
  <si>
    <t>HYJUL07</t>
  </si>
  <si>
    <t>WQAUG07</t>
  </si>
  <si>
    <t>HYAUG07</t>
  </si>
  <si>
    <t>WQSEP07</t>
  </si>
  <si>
    <t>HYSEP07</t>
  </si>
  <si>
    <t>WQOCT07</t>
  </si>
  <si>
    <t>WQNOV07</t>
  </si>
  <si>
    <t>WQDEC07</t>
  </si>
  <si>
    <t>WQJAN08</t>
  </si>
  <si>
    <t>WQFEB08</t>
  </si>
  <si>
    <t>CHFEB08</t>
  </si>
  <si>
    <t>WQMAR08</t>
  </si>
  <si>
    <t>CHMAR08</t>
  </si>
  <si>
    <t>WQAPR08</t>
  </si>
  <si>
    <t>WQMAY08</t>
  </si>
  <si>
    <t>WQJUN08</t>
  </si>
  <si>
    <t>HYJUN08</t>
  </si>
  <si>
    <t>WQJUL08</t>
  </si>
  <si>
    <t>HYJUL08</t>
  </si>
  <si>
    <t>WQAUG08</t>
  </si>
  <si>
    <t>HYAUG08</t>
  </si>
  <si>
    <t>WQSEP08</t>
  </si>
  <si>
    <t>HYSEP08</t>
  </si>
  <si>
    <t>WQOCT08</t>
  </si>
  <si>
    <t>WQNOV08</t>
  </si>
  <si>
    <t>WQDEC08</t>
  </si>
  <si>
    <t>WQJAN09</t>
  </si>
  <si>
    <t>WQFEB09</t>
  </si>
  <si>
    <t>CHFEB09</t>
  </si>
  <si>
    <t>WQMAR09</t>
  </si>
  <si>
    <t>CHMAR09</t>
  </si>
  <si>
    <t>WQAPR09</t>
  </si>
  <si>
    <t>WQMAY09</t>
  </si>
  <si>
    <t>WQJUN09</t>
  </si>
  <si>
    <t>HYJUN09</t>
  </si>
  <si>
    <t>WQJUL09</t>
  </si>
  <si>
    <t>HYJUL09</t>
  </si>
  <si>
    <t>WQAUG09</t>
  </si>
  <si>
    <t>HYAUG09</t>
  </si>
  <si>
    <t>WQSEP09</t>
  </si>
  <si>
    <t>WQOCT09</t>
  </si>
  <si>
    <t>WQNOV09</t>
  </si>
  <si>
    <t>WQDEC09</t>
  </si>
  <si>
    <t>WQJAN10</t>
  </si>
  <si>
    <t>WQFEB10</t>
  </si>
  <si>
    <t>WQMAR10</t>
  </si>
  <si>
    <t>CHMAR10</t>
  </si>
  <si>
    <t>WQAPR10</t>
  </si>
  <si>
    <t>WQMAY10</t>
  </si>
  <si>
    <t>WQJUN10</t>
  </si>
  <si>
    <t>HYJUN10</t>
  </si>
  <si>
    <t>WQJUL10</t>
  </si>
  <si>
    <t>HYJUL10</t>
  </si>
  <si>
    <t>WQAUG10</t>
  </si>
  <si>
    <t>HYAUG10</t>
  </si>
  <si>
    <t>WQSEP10</t>
  </si>
  <si>
    <t>WQOCT10</t>
  </si>
  <si>
    <t>WQNOV10</t>
  </si>
  <si>
    <t>WQDEC10</t>
  </si>
  <si>
    <t>WQJAN11</t>
  </si>
  <si>
    <t>WQFEB11</t>
  </si>
  <si>
    <t>CHFEB11</t>
  </si>
  <si>
    <t>WQMAR11</t>
  </si>
  <si>
    <t>WQAPR11</t>
  </si>
  <si>
    <t>WQMAY11</t>
  </si>
  <si>
    <t>WQJUN11</t>
  </si>
  <si>
    <t>HYJUN11</t>
  </si>
  <si>
    <t>WQJUL11</t>
  </si>
  <si>
    <t>HYJUL11</t>
  </si>
  <si>
    <t>WQAUG11</t>
  </si>
  <si>
    <t>HYAUG11</t>
  </si>
  <si>
    <t>WQSEP11</t>
  </si>
  <si>
    <t>WQOCT11</t>
  </si>
  <si>
    <t>WQNOV11</t>
  </si>
  <si>
    <t>WQDEC11</t>
  </si>
  <si>
    <t>WQJAN12</t>
  </si>
  <si>
    <t>WQFEB12</t>
  </si>
  <si>
    <t>CHFEB12</t>
  </si>
  <si>
    <t>WQMAR12</t>
  </si>
  <si>
    <t>CHMAR12</t>
  </si>
  <si>
    <t>WQAPR12</t>
  </si>
  <si>
    <t>WQMAY12</t>
  </si>
  <si>
    <t>WQJUN12</t>
  </si>
  <si>
    <t>HYJUN12</t>
  </si>
  <si>
    <t>WQJUL12</t>
  </si>
  <si>
    <t>HYJUL12</t>
  </si>
  <si>
    <t>WQAUG12</t>
  </si>
  <si>
    <t>HYAUG12</t>
  </si>
  <si>
    <t>WQSEP12</t>
  </si>
  <si>
    <t>HYSEP12</t>
  </si>
  <si>
    <t>WQOCT12</t>
  </si>
  <si>
    <t>WQNOV12</t>
  </si>
  <si>
    <t>WQDEC12</t>
  </si>
  <si>
    <t>WQJAN13</t>
  </si>
  <si>
    <t>WQFEB13</t>
  </si>
  <si>
    <t>CHFEB13</t>
  </si>
  <si>
    <t>WQMAR13</t>
  </si>
  <si>
    <t>WQAPR13</t>
  </si>
  <si>
    <t>WQMAY13</t>
  </si>
  <si>
    <t>WQJUN13</t>
  </si>
  <si>
    <t>HYJUN13</t>
  </si>
  <si>
    <t>WQJUL13</t>
  </si>
  <si>
    <t>HYJUL13</t>
  </si>
  <si>
    <t>WQAUG13</t>
  </si>
  <si>
    <t>HYAUG13</t>
  </si>
  <si>
    <t>WQSEP13</t>
  </si>
  <si>
    <t>HYSEP13</t>
  </si>
  <si>
    <t>WQOCT13</t>
  </si>
  <si>
    <t>WQNOV13</t>
  </si>
  <si>
    <t>WQDEC13</t>
  </si>
  <si>
    <t>WQJAN14</t>
  </si>
  <si>
    <t>WQFEB14</t>
  </si>
  <si>
    <t>CHFEB14</t>
  </si>
  <si>
    <t>WQMAR14</t>
  </si>
  <si>
    <t>WQAPR14</t>
  </si>
  <si>
    <t>WQMAY14</t>
  </si>
  <si>
    <t>WQJUN14</t>
  </si>
  <si>
    <t>HYJUN14</t>
  </si>
  <si>
    <t>WQJUL14</t>
  </si>
  <si>
    <t>HYJUL14</t>
  </si>
  <si>
    <t>WQAUG14</t>
  </si>
  <si>
    <t>HYAUG14</t>
  </si>
  <si>
    <t>WQSEP14</t>
  </si>
  <si>
    <t>HYSEP14</t>
  </si>
  <si>
    <t>WQOCT14</t>
  </si>
  <si>
    <t>WQNOV14</t>
  </si>
  <si>
    <t>WQDEC14</t>
  </si>
  <si>
    <t>WQJAN15</t>
  </si>
  <si>
    <t>WQFEB15</t>
  </si>
  <si>
    <t>WQMAR15</t>
  </si>
  <si>
    <t>CHMAR15</t>
  </si>
  <si>
    <t>WQAPR15</t>
  </si>
  <si>
    <t>WQMAY15</t>
  </si>
  <si>
    <t>WQJUN15</t>
  </si>
  <si>
    <t>HYJUN15</t>
  </si>
  <si>
    <t>WQJUL15</t>
  </si>
  <si>
    <t>HYJUL15</t>
  </si>
  <si>
    <t>WQAUG15</t>
  </si>
  <si>
    <t>HYAUG15</t>
  </si>
  <si>
    <t>WQSEP15</t>
  </si>
  <si>
    <t>HYSEP15</t>
  </si>
  <si>
    <t>WQOCT15</t>
  </si>
  <si>
    <t>WQNOV15</t>
  </si>
  <si>
    <t>WQDEC15</t>
  </si>
  <si>
    <t>WQJAN16</t>
  </si>
  <si>
    <t>WQFEB16</t>
  </si>
  <si>
    <t>CHFEB16</t>
  </si>
  <si>
    <t>WQMAR16</t>
  </si>
  <si>
    <t>CHMAR16</t>
  </si>
  <si>
    <t>WQAPR16</t>
  </si>
  <si>
    <t>WQMAY16</t>
  </si>
  <si>
    <t>WQJUN16</t>
  </si>
  <si>
    <t>HYJUN16</t>
  </si>
  <si>
    <t>WQJUL16</t>
  </si>
  <si>
    <t>HYJUL16</t>
  </si>
  <si>
    <t>WQAUG16</t>
  </si>
  <si>
    <t>HYAUG16</t>
  </si>
  <si>
    <t>WQSEP16</t>
  </si>
  <si>
    <t>HYSEP16</t>
  </si>
  <si>
    <t>WQOCT16</t>
  </si>
  <si>
    <t>WQNOV16</t>
  </si>
  <si>
    <t>WQDEC16</t>
  </si>
  <si>
    <t>WQJAN17</t>
  </si>
  <si>
    <t>WQFEB17</t>
  </si>
  <si>
    <t>CHFEB17</t>
  </si>
  <si>
    <t>WQMAR17</t>
  </si>
  <si>
    <t>WQAPR17</t>
  </si>
  <si>
    <t>WQMAY17</t>
  </si>
  <si>
    <t>WQJUN17</t>
  </si>
  <si>
    <t>HYJUN17</t>
  </si>
  <si>
    <t>WQJUL17</t>
  </si>
  <si>
    <t>HYJUL17</t>
  </si>
  <si>
    <t>WQAUG17</t>
  </si>
  <si>
    <t>HYAUG17</t>
  </si>
  <si>
    <t>WQSEP17</t>
  </si>
  <si>
    <t>WQOCT17</t>
  </si>
  <si>
    <t>WQNOV17</t>
  </si>
  <si>
    <t>WQDEC17</t>
  </si>
  <si>
    <t>WQJAN18</t>
  </si>
  <si>
    <t>WQFEB18</t>
  </si>
  <si>
    <t>CHFEB18</t>
  </si>
  <si>
    <t>WQMAR18</t>
  </si>
  <si>
    <t>WQAPR18</t>
  </si>
  <si>
    <t>WQMAY18</t>
  </si>
  <si>
    <t>WQJUN18</t>
  </si>
  <si>
    <t>HYJUN18</t>
  </si>
  <si>
    <t>WQJUL18</t>
  </si>
  <si>
    <t>HYJUL18</t>
  </si>
  <si>
    <t>WQAUG18</t>
  </si>
  <si>
    <t>HYAUG18</t>
  </si>
  <si>
    <t>WQSEP18</t>
  </si>
  <si>
    <t>HYSEP18</t>
  </si>
  <si>
    <t>WQOCT18</t>
  </si>
  <si>
    <t>WQNOV18</t>
  </si>
  <si>
    <t>WQDEC18</t>
  </si>
  <si>
    <t>Year</t>
  </si>
  <si>
    <t>Bottom Average</t>
  </si>
  <si>
    <t>Surface Average</t>
  </si>
  <si>
    <t>Cruises Completed 2019 = 15</t>
  </si>
  <si>
    <t>2019 Average</t>
  </si>
  <si>
    <t>WEIGHTED Avg</t>
  </si>
  <si>
    <t>xxxxx</t>
  </si>
  <si>
    <t>Station hit on how many cruises?</t>
  </si>
  <si>
    <t># cruises in 2018 = 17</t>
  </si>
  <si>
    <t>Station hit AND temperature recorded on how many cruises?</t>
  </si>
  <si>
    <t>HYSEP96</t>
  </si>
  <si>
    <t>WQJUL97</t>
  </si>
  <si>
    <t>WQJAN91</t>
  </si>
  <si>
    <t>CHFEB92</t>
  </si>
  <si>
    <t>WQNOV93</t>
  </si>
  <si>
    <t>WQJAN96</t>
  </si>
  <si>
    <t>WQJAN97</t>
  </si>
  <si>
    <t>WQJAN04</t>
  </si>
  <si>
    <t>WQAPR06</t>
  </si>
  <si>
    <t>Station</t>
  </si>
  <si>
    <t>SSAUG06</t>
  </si>
  <si>
    <t>(Done through WQOCT - same as other method).</t>
  </si>
  <si>
    <t>WQJAN20</t>
  </si>
  <si>
    <t>WQFEB20</t>
  </si>
  <si>
    <t>WQMAR20</t>
  </si>
  <si>
    <t>WQJUL20</t>
  </si>
  <si>
    <t>WQAUG20</t>
  </si>
  <si>
    <t>WQSEP20</t>
  </si>
  <si>
    <t>WQOCT20</t>
  </si>
  <si>
    <t>WQNOV20</t>
  </si>
  <si>
    <t>WQJUN20</t>
  </si>
  <si>
    <t>HYJUL20</t>
  </si>
  <si>
    <t>HYAUG20</t>
  </si>
  <si>
    <t>HYSEP97</t>
  </si>
  <si>
    <t>h4</t>
  </si>
  <si>
    <t>Row Labels</t>
  </si>
  <si>
    <t>(blank)</t>
  </si>
  <si>
    <t>Grand Total</t>
  </si>
  <si>
    <t>Average of B Temp</t>
  </si>
  <si>
    <t>Average of S Temp</t>
  </si>
  <si>
    <t>Count of Station Name</t>
  </si>
  <si>
    <t>year</t>
  </si>
  <si>
    <t>WQMAR21</t>
  </si>
  <si>
    <t>WQAPR21</t>
  </si>
  <si>
    <t>WQMAY21</t>
  </si>
  <si>
    <t>WQJUN21</t>
  </si>
  <si>
    <t>HYJUN21</t>
  </si>
  <si>
    <t>WQJUL21</t>
  </si>
  <si>
    <t>HYJUL21</t>
  </si>
  <si>
    <t>WQAUG21</t>
  </si>
  <si>
    <t>HYAUG21</t>
  </si>
  <si>
    <t>WQSEP21</t>
  </si>
  <si>
    <t>HYSEP21</t>
  </si>
  <si>
    <t>WQOCT21</t>
  </si>
  <si>
    <t>WQNOV21</t>
  </si>
  <si>
    <t>WQDEC21</t>
  </si>
  <si>
    <t>* Summer data missing for 2010; avg artifically low- KAO 1.20.22</t>
  </si>
  <si>
    <t>* Summer data missing for 2010, avg artifically low KAO 1.20.22</t>
  </si>
  <si>
    <t>* Summer data missing. Avg artifically low. KAO 1.20.22</t>
  </si>
  <si>
    <t>WQFEB22</t>
  </si>
  <si>
    <t>CHFEB22</t>
  </si>
  <si>
    <t>WQMAR22</t>
  </si>
  <si>
    <t>WQAPR22</t>
  </si>
  <si>
    <t>WQMAY22</t>
  </si>
  <si>
    <t>WQJUN22</t>
  </si>
  <si>
    <t>HYJUN22</t>
  </si>
  <si>
    <t>WQJUL22</t>
  </si>
  <si>
    <t>HYJUL22</t>
  </si>
  <si>
    <t>WQAUG22</t>
  </si>
  <si>
    <t>HYAUG22</t>
  </si>
  <si>
    <t>WQSEP22</t>
  </si>
  <si>
    <t>HYSEP22</t>
  </si>
  <si>
    <t>WQOCT22</t>
  </si>
  <si>
    <t>WQNOV22</t>
  </si>
  <si>
    <t>m3</t>
  </si>
  <si>
    <t>*Summer data missining biasing avg low</t>
  </si>
  <si>
    <t>WQDEC22</t>
  </si>
  <si>
    <t>WQJAN23</t>
  </si>
  <si>
    <t>WQFEB23</t>
  </si>
  <si>
    <t>WQAPR23</t>
  </si>
  <si>
    <t>WQMAY23</t>
  </si>
  <si>
    <t>WQJUN23</t>
  </si>
  <si>
    <t>HYJUN23</t>
  </si>
  <si>
    <t>WQJUL23</t>
  </si>
  <si>
    <t>HYJUL23</t>
  </si>
  <si>
    <t>WQAUG23</t>
  </si>
  <si>
    <t>HYAUG23</t>
  </si>
  <si>
    <t>WQSEP23</t>
  </si>
  <si>
    <t>WQOCT23</t>
  </si>
  <si>
    <t>WQNOV23</t>
  </si>
  <si>
    <t>WQDEC23</t>
  </si>
  <si>
    <t>WQJAN24</t>
  </si>
  <si>
    <t>WQFEB24</t>
  </si>
  <si>
    <t>CHFEB24</t>
  </si>
  <si>
    <t>WQMAR24</t>
  </si>
  <si>
    <t>CHMAR24</t>
  </si>
  <si>
    <t>WQAPR24</t>
  </si>
  <si>
    <t>WQMAY24</t>
  </si>
  <si>
    <t>WQJUN24</t>
  </si>
  <si>
    <t>HYJUN24</t>
  </si>
  <si>
    <t>WQJUL24</t>
  </si>
  <si>
    <t>HYJUL24</t>
  </si>
  <si>
    <t>WQAUG24</t>
  </si>
  <si>
    <t>HYAUG24</t>
  </si>
  <si>
    <t>WQSEP24</t>
  </si>
  <si>
    <t>WQOCT24</t>
  </si>
  <si>
    <t>_</t>
  </si>
  <si>
    <t>AVGSURFACE</t>
  </si>
  <si>
    <t>AVGBOTTOM</t>
  </si>
  <si>
    <t xml:space="preserve">Bottom Average </t>
  </si>
  <si>
    <t xml:space="preserve">Surface Average </t>
  </si>
  <si>
    <t>STemp</t>
  </si>
  <si>
    <t>BTemp</t>
  </si>
  <si>
    <t>WQMAR25</t>
  </si>
  <si>
    <t>WQAPR25</t>
  </si>
  <si>
    <t>WQMAY25</t>
  </si>
  <si>
    <t>WQJUN25</t>
  </si>
  <si>
    <t>WQJUL25</t>
  </si>
  <si>
    <t>HYJUL25</t>
  </si>
  <si>
    <t>WQAUG25</t>
  </si>
  <si>
    <t>HYAUG25</t>
  </si>
  <si>
    <t>WQFEB25</t>
  </si>
  <si>
    <t>WQJAN25</t>
  </si>
  <si>
    <t>WQSEP25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</si>
</sst>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4" x14ac:knownFonts="1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C0C0C0"/>
        <bgColor rgb="FFC0C0C0"/>
      </patternFill>
    </fill>
  </fills>
  <borders count="11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thin">
        <color indexed="22"/>
      </left>
      <right/>
      <top/>
      <bottom/>
      <diagonal/>
    </border>
  </borders>
  <cellStyleXfs count="34">
    <xf numFmtId="0" fontId="0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20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left"/>
    </xf>
    <xf numFmtId="0" fontId="2" fillId="2" borderId="3" xfId="3" applyFont="1" applyFill="1" applyBorder="1" applyAlignment="1">
      <alignment horizontal="center"/>
    </xf>
    <xf numFmtId="0" fontId="2" fillId="0" borderId="4" xfId="3" applyFont="1" applyBorder="1" applyAlignment="1">
      <alignment wrapText="1"/>
    </xf>
    <xf numFmtId="14" fontId="2" fillId="0" borderId="4" xfId="3" applyNumberFormat="1" applyFont="1" applyBorder="1" applyAlignment="1">
      <alignment horizontal="right" wrapText="1"/>
    </xf>
    <xf numFmtId="0" fontId="2" fillId="0" borderId="4" xfId="3" applyFont="1" applyBorder="1" applyAlignment="1">
      <alignment horizontal="right" wrapText="1"/>
    </xf>
    <xf numFmtId="0" fontId="3" fillId="0" borderId="0" xfId="3"/>
    <xf numFmtId="0" fontId="6" fillId="0" borderId="4" xfId="3" applyFont="1" applyBorder="1" applyAlignment="1">
      <alignment wrapText="1"/>
    </xf>
    <xf numFmtId="14" fontId="6" fillId="0" borderId="4" xfId="3" applyNumberFormat="1" applyFont="1" applyBorder="1" applyAlignment="1">
      <alignment horizontal="right" wrapText="1"/>
    </xf>
    <xf numFmtId="0" fontId="6" fillId="0" borderId="4" xfId="3" applyFont="1" applyBorder="1" applyAlignment="1">
      <alignment horizontal="right" wrapText="1"/>
    </xf>
    <xf numFmtId="0" fontId="9" fillId="0" borderId="0" xfId="3" applyFont="1"/>
    <xf numFmtId="0" fontId="2" fillId="0" borderId="0" xfId="3" applyFont="1" applyAlignment="1">
      <alignment horizontal="center"/>
    </xf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49" fontId="5" fillId="0" borderId="0" xfId="0" applyNumberFormat="1" applyFont="1"/>
    <xf numFmtId="164" fontId="5" fillId="0" borderId="0" xfId="0" applyNumberFormat="1" applyFont="1"/>
    <xf numFmtId="49" fontId="0" fillId="0" borderId="0" xfId="0" applyNumberFormat="1" applyAlignment="1">
      <alignment horizontal="right"/>
    </xf>
    <xf numFmtId="2" fontId="2" fillId="0" borderId="4" xfId="4" applyNumberFormat="1" applyFont="1" applyBorder="1" applyAlignment="1">
      <alignment horizontal="right" wrapText="1"/>
    </xf>
    <xf numFmtId="49" fontId="2" fillId="2" borderId="3" xfId="4" applyNumberFormat="1" applyFont="1" applyFill="1" applyBorder="1" applyAlignment="1">
      <alignment horizontal="center"/>
    </xf>
    <xf numFmtId="49" fontId="2" fillId="0" borderId="4" xfId="4" applyNumberFormat="1" applyFont="1" applyBorder="1" applyAlignment="1">
      <alignment wrapText="1"/>
    </xf>
    <xf numFmtId="2" fontId="2" fillId="2" borderId="3" xfId="4" applyNumberFormat="1" applyFont="1" applyFill="1" applyBorder="1" applyAlignment="1">
      <alignment horizontal="center"/>
    </xf>
    <xf numFmtId="2" fontId="3" fillId="0" borderId="4" xfId="4" applyNumberFormat="1" applyBorder="1"/>
    <xf numFmtId="2" fontId="2" fillId="0" borderId="0" xfId="4" applyNumberFormat="1" applyFont="1" applyAlignment="1">
      <alignment horizontal="right" wrapText="1"/>
    </xf>
    <xf numFmtId="0" fontId="0" fillId="0" borderId="0" xfId="0" applyAlignment="1">
      <alignment horizontal="right"/>
    </xf>
    <xf numFmtId="0" fontId="2" fillId="0" borderId="5" xfId="3" applyFont="1" applyBorder="1" applyAlignment="1">
      <alignment wrapText="1"/>
    </xf>
    <xf numFmtId="14" fontId="0" fillId="0" borderId="0" xfId="0" applyNumberFormat="1"/>
    <xf numFmtId="0" fontId="2" fillId="0" borderId="5" xfId="3" applyFont="1" applyBorder="1" applyAlignment="1">
      <alignment horizontal="right" wrapText="1"/>
    </xf>
    <xf numFmtId="0" fontId="2" fillId="0" borderId="4" xfId="2" applyFont="1" applyBorder="1" applyAlignment="1">
      <alignment horizontal="right"/>
    </xf>
    <xf numFmtId="0" fontId="10" fillId="0" borderId="4" xfId="5" applyFont="1" applyBorder="1" applyAlignment="1">
      <alignment wrapText="1"/>
    </xf>
    <xf numFmtId="14" fontId="10" fillId="0" borderId="4" xfId="5" applyNumberFormat="1" applyFont="1" applyBorder="1" applyAlignment="1">
      <alignment horizontal="right" wrapText="1"/>
    </xf>
    <xf numFmtId="0" fontId="10" fillId="0" borderId="4" xfId="5" applyFont="1" applyBorder="1" applyAlignment="1">
      <alignment horizontal="right" wrapText="1"/>
    </xf>
    <xf numFmtId="0" fontId="11" fillId="0" borderId="0" xfId="5"/>
    <xf numFmtId="0" fontId="12" fillId="3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vertical="center" wrapText="1"/>
    </xf>
    <xf numFmtId="14" fontId="13" fillId="0" borderId="7" xfId="0" applyNumberFormat="1" applyFont="1" applyBorder="1" applyAlignment="1">
      <alignment horizontal="right" vertical="center" wrapText="1"/>
    </xf>
    <xf numFmtId="0" fontId="13" fillId="0" borderId="7" xfId="0" applyFont="1" applyBorder="1" applyAlignment="1">
      <alignment horizontal="right" vertical="center" wrapText="1"/>
    </xf>
    <xf numFmtId="0" fontId="0" fillId="0" borderId="7" xfId="0" applyBorder="1"/>
    <xf numFmtId="0" fontId="13" fillId="0" borderId="0" xfId="0" applyFont="1" applyAlignment="1">
      <alignment horizontal="right" vertical="center" wrapText="1"/>
    </xf>
    <xf numFmtId="0" fontId="0" fillId="0" borderId="0" xfId="0" pivotButton="1"/>
    <xf numFmtId="0" fontId="12" fillId="3" borderId="8" xfId="0" applyFont="1" applyFill="1" applyBorder="1" applyAlignment="1">
      <alignment horizontal="center" vertical="center"/>
    </xf>
    <xf numFmtId="0" fontId="10" fillId="0" borderId="4" xfId="7" applyFont="1" applyBorder="1" applyAlignment="1">
      <alignment wrapText="1"/>
    </xf>
    <xf numFmtId="14" fontId="10" fillId="0" borderId="4" xfId="7" applyNumberFormat="1" applyFont="1" applyBorder="1" applyAlignment="1">
      <alignment horizontal="right" wrapText="1"/>
    </xf>
    <xf numFmtId="0" fontId="10" fillId="0" borderId="4" xfId="7" applyFont="1" applyBorder="1" applyAlignment="1">
      <alignment horizontal="right" wrapText="1"/>
    </xf>
    <xf numFmtId="0" fontId="10" fillId="0" borderId="4" xfId="8" applyFont="1" applyBorder="1" applyAlignment="1">
      <alignment wrapText="1"/>
    </xf>
    <xf numFmtId="14" fontId="10" fillId="0" borderId="4" xfId="8" applyNumberFormat="1" applyFont="1" applyBorder="1" applyAlignment="1">
      <alignment horizontal="right" wrapText="1"/>
    </xf>
    <xf numFmtId="0" fontId="10" fillId="0" borderId="4" xfId="8" applyFont="1" applyBorder="1" applyAlignment="1">
      <alignment horizontal="right" wrapText="1"/>
    </xf>
    <xf numFmtId="0" fontId="10" fillId="0" borderId="4" xfId="9" applyFont="1" applyBorder="1" applyAlignment="1">
      <alignment wrapText="1"/>
    </xf>
    <xf numFmtId="14" fontId="10" fillId="0" borderId="4" xfId="9" applyNumberFormat="1" applyFont="1" applyBorder="1" applyAlignment="1">
      <alignment horizontal="right" wrapText="1"/>
    </xf>
    <xf numFmtId="0" fontId="10" fillId="0" borderId="4" xfId="9" applyFont="1" applyBorder="1" applyAlignment="1">
      <alignment horizontal="right" wrapText="1"/>
    </xf>
    <xf numFmtId="0" fontId="2" fillId="0" borderId="4" xfId="10" applyFont="1" applyBorder="1" applyAlignment="1">
      <alignment wrapText="1"/>
    </xf>
    <xf numFmtId="14" fontId="2" fillId="0" borderId="4" xfId="10" applyNumberFormat="1" applyFont="1" applyBorder="1" applyAlignment="1">
      <alignment horizontal="right" wrapText="1"/>
    </xf>
    <xf numFmtId="0" fontId="2" fillId="0" borderId="4" xfId="10" applyFont="1" applyBorder="1" applyAlignment="1">
      <alignment horizontal="right" wrapText="1"/>
    </xf>
    <xf numFmtId="0" fontId="3" fillId="0" borderId="0" xfId="10"/>
    <xf numFmtId="0" fontId="2" fillId="0" borderId="4" xfId="11" applyFont="1" applyBorder="1" applyAlignment="1">
      <alignment wrapText="1"/>
    </xf>
    <xf numFmtId="14" fontId="2" fillId="0" borderId="4" xfId="11" applyNumberFormat="1" applyFont="1" applyBorder="1" applyAlignment="1">
      <alignment horizontal="right" wrapText="1"/>
    </xf>
    <xf numFmtId="0" fontId="2" fillId="0" borderId="4" xfId="11" applyFont="1" applyBorder="1" applyAlignment="1">
      <alignment horizontal="right" wrapText="1"/>
    </xf>
    <xf numFmtId="0" fontId="2" fillId="0" borderId="4" xfId="12" applyFont="1" applyBorder="1" applyAlignment="1">
      <alignment wrapText="1"/>
    </xf>
    <xf numFmtId="14" fontId="2" fillId="0" borderId="4" xfId="12" applyNumberFormat="1" applyFont="1" applyBorder="1" applyAlignment="1">
      <alignment horizontal="right" wrapText="1"/>
    </xf>
    <xf numFmtId="0" fontId="2" fillId="0" borderId="4" xfId="12" applyFont="1" applyBorder="1" applyAlignment="1">
      <alignment horizontal="right" wrapText="1"/>
    </xf>
    <xf numFmtId="0" fontId="2" fillId="0" borderId="4" xfId="13" applyFont="1" applyBorder="1" applyAlignment="1">
      <alignment wrapText="1"/>
    </xf>
    <xf numFmtId="14" fontId="2" fillId="0" borderId="4" xfId="13" applyNumberFormat="1" applyFont="1" applyBorder="1" applyAlignment="1">
      <alignment horizontal="right" wrapText="1"/>
    </xf>
    <xf numFmtId="0" fontId="2" fillId="0" borderId="4" xfId="13" applyFont="1" applyBorder="1" applyAlignment="1">
      <alignment horizontal="right" wrapText="1"/>
    </xf>
    <xf numFmtId="0" fontId="2" fillId="0" borderId="4" xfId="14" applyFont="1" applyBorder="1" applyAlignment="1">
      <alignment wrapText="1"/>
    </xf>
    <xf numFmtId="14" fontId="2" fillId="0" borderId="4" xfId="14" applyNumberFormat="1" applyFont="1" applyBorder="1" applyAlignment="1">
      <alignment horizontal="right" wrapText="1"/>
    </xf>
    <xf numFmtId="0" fontId="2" fillId="0" borderId="4" xfId="14" applyFont="1" applyBorder="1" applyAlignment="1">
      <alignment horizontal="right" wrapText="1"/>
    </xf>
    <xf numFmtId="0" fontId="2" fillId="0" borderId="4" xfId="15" applyFont="1" applyBorder="1" applyAlignment="1">
      <alignment wrapText="1"/>
    </xf>
    <xf numFmtId="14" fontId="2" fillId="0" borderId="4" xfId="15" applyNumberFormat="1" applyFont="1" applyBorder="1" applyAlignment="1">
      <alignment horizontal="right" wrapText="1"/>
    </xf>
    <xf numFmtId="0" fontId="2" fillId="0" borderId="4" xfId="15" applyFont="1" applyBorder="1" applyAlignment="1">
      <alignment horizontal="right" wrapText="1"/>
    </xf>
    <xf numFmtId="0" fontId="3" fillId="0" borderId="0" xfId="15"/>
    <xf numFmtId="0" fontId="2" fillId="0" borderId="4" xfId="16" applyFont="1" applyBorder="1" applyAlignment="1">
      <alignment wrapText="1"/>
    </xf>
    <xf numFmtId="14" fontId="2" fillId="0" borderId="4" xfId="16" applyNumberFormat="1" applyFont="1" applyBorder="1" applyAlignment="1">
      <alignment horizontal="right" wrapText="1"/>
    </xf>
    <xf numFmtId="0" fontId="2" fillId="0" borderId="4" xfId="16" applyFont="1" applyBorder="1" applyAlignment="1">
      <alignment horizontal="right" wrapText="1"/>
    </xf>
    <xf numFmtId="0" fontId="10" fillId="0" borderId="4" xfId="17" applyFont="1" applyBorder="1" applyAlignment="1">
      <alignment wrapText="1"/>
    </xf>
    <xf numFmtId="14" fontId="10" fillId="0" borderId="4" xfId="17" applyNumberFormat="1" applyFont="1" applyBorder="1" applyAlignment="1">
      <alignment horizontal="right" wrapText="1"/>
    </xf>
    <xf numFmtId="0" fontId="10" fillId="0" borderId="4" xfId="17" applyFont="1" applyBorder="1" applyAlignment="1">
      <alignment horizontal="right" wrapText="1"/>
    </xf>
    <xf numFmtId="0" fontId="10" fillId="0" borderId="4" xfId="18" applyFont="1" applyBorder="1" applyAlignment="1">
      <alignment wrapText="1"/>
    </xf>
    <xf numFmtId="14" fontId="10" fillId="0" borderId="4" xfId="18" applyNumberFormat="1" applyFont="1" applyBorder="1" applyAlignment="1">
      <alignment horizontal="right" wrapText="1"/>
    </xf>
    <xf numFmtId="0" fontId="10" fillId="0" borderId="4" xfId="18" applyFont="1" applyBorder="1" applyAlignment="1">
      <alignment horizontal="right" wrapText="1"/>
    </xf>
    <xf numFmtId="0" fontId="11" fillId="0" borderId="0" xfId="9"/>
    <xf numFmtId="0" fontId="10" fillId="0" borderId="4" xfId="19" applyFont="1" applyBorder="1" applyAlignment="1">
      <alignment wrapText="1"/>
    </xf>
    <xf numFmtId="14" fontId="10" fillId="0" borderId="4" xfId="19" applyNumberFormat="1" applyFont="1" applyBorder="1" applyAlignment="1">
      <alignment horizontal="right" wrapText="1"/>
    </xf>
    <xf numFmtId="0" fontId="10" fillId="0" borderId="4" xfId="19" applyFont="1" applyBorder="1" applyAlignment="1">
      <alignment horizontal="right" wrapText="1"/>
    </xf>
    <xf numFmtId="0" fontId="10" fillId="0" borderId="4" xfId="20" applyFont="1" applyBorder="1" applyAlignment="1">
      <alignment wrapText="1"/>
    </xf>
    <xf numFmtId="14" fontId="10" fillId="0" borderId="4" xfId="20" applyNumberFormat="1" applyFont="1" applyBorder="1" applyAlignment="1">
      <alignment horizontal="right" wrapText="1"/>
    </xf>
    <xf numFmtId="0" fontId="10" fillId="0" borderId="4" xfId="20" applyFont="1" applyBorder="1" applyAlignment="1">
      <alignment horizontal="right" wrapText="1"/>
    </xf>
    <xf numFmtId="0" fontId="10" fillId="0" borderId="4" xfId="21" applyFont="1" applyBorder="1" applyAlignment="1">
      <alignment wrapText="1"/>
    </xf>
    <xf numFmtId="14" fontId="10" fillId="0" borderId="4" xfId="21" applyNumberFormat="1" applyFont="1" applyBorder="1" applyAlignment="1">
      <alignment horizontal="right" wrapText="1"/>
    </xf>
    <xf numFmtId="0" fontId="10" fillId="0" borderId="4" xfId="21" applyFont="1" applyBorder="1" applyAlignment="1">
      <alignment horizontal="right" wrapText="1"/>
    </xf>
    <xf numFmtId="0" fontId="10" fillId="0" borderId="4" xfId="22" applyFont="1" applyBorder="1" applyAlignment="1">
      <alignment wrapText="1"/>
    </xf>
    <xf numFmtId="14" fontId="10" fillId="0" borderId="4" xfId="22" applyNumberFormat="1" applyFont="1" applyBorder="1" applyAlignment="1">
      <alignment horizontal="right" wrapText="1"/>
    </xf>
    <xf numFmtId="0" fontId="10" fillId="0" borderId="4" xfId="22" applyFont="1" applyBorder="1" applyAlignment="1">
      <alignment horizontal="right" wrapText="1"/>
    </xf>
    <xf numFmtId="0" fontId="10" fillId="0" borderId="4" xfId="23" applyFont="1" applyBorder="1" applyAlignment="1">
      <alignment wrapText="1"/>
    </xf>
    <xf numFmtId="14" fontId="10" fillId="0" borderId="4" xfId="23" applyNumberFormat="1" applyFont="1" applyBorder="1" applyAlignment="1">
      <alignment horizontal="right" wrapText="1"/>
    </xf>
    <xf numFmtId="0" fontId="10" fillId="0" borderId="4" xfId="23" applyFont="1" applyBorder="1" applyAlignment="1">
      <alignment horizontal="right" wrapText="1"/>
    </xf>
    <xf numFmtId="0" fontId="10" fillId="0" borderId="4" xfId="24" applyFont="1" applyBorder="1" applyAlignment="1">
      <alignment wrapText="1"/>
    </xf>
    <xf numFmtId="14" fontId="10" fillId="0" borderId="4" xfId="24" applyNumberFormat="1" applyFont="1" applyBorder="1" applyAlignment="1">
      <alignment horizontal="right" wrapText="1"/>
    </xf>
    <xf numFmtId="0" fontId="10" fillId="0" borderId="4" xfId="24" applyFont="1" applyBorder="1" applyAlignment="1">
      <alignment horizontal="right" wrapText="1"/>
    </xf>
    <xf numFmtId="0" fontId="11" fillId="0" borderId="0" xfId="24"/>
    <xf numFmtId="0" fontId="10" fillId="0" borderId="4" xfId="25" applyFont="1" applyBorder="1" applyAlignment="1">
      <alignment wrapText="1"/>
    </xf>
    <xf numFmtId="14" fontId="10" fillId="0" borderId="4" xfId="25" applyNumberFormat="1" applyFont="1" applyBorder="1" applyAlignment="1">
      <alignment horizontal="right" wrapText="1"/>
    </xf>
    <xf numFmtId="0" fontId="10" fillId="0" borderId="4" xfId="25" applyFont="1" applyBorder="1" applyAlignment="1">
      <alignment horizontal="right" wrapText="1"/>
    </xf>
    <xf numFmtId="0" fontId="11" fillId="0" borderId="0" xfId="18"/>
    <xf numFmtId="0" fontId="10" fillId="0" borderId="4" xfId="26" applyFont="1" applyBorder="1" applyAlignment="1">
      <alignment wrapText="1"/>
    </xf>
    <xf numFmtId="14" fontId="10" fillId="0" borderId="4" xfId="26" applyNumberFormat="1" applyFont="1" applyBorder="1" applyAlignment="1">
      <alignment horizontal="right" wrapText="1"/>
    </xf>
    <xf numFmtId="0" fontId="10" fillId="0" borderId="4" xfId="26" applyFont="1" applyBorder="1" applyAlignment="1">
      <alignment horizontal="right" wrapText="1"/>
    </xf>
    <xf numFmtId="0" fontId="11" fillId="0" borderId="0" xfId="26"/>
    <xf numFmtId="0" fontId="0" fillId="0" borderId="9" xfId="0" applyBorder="1"/>
    <xf numFmtId="0" fontId="2" fillId="0" borderId="4" xfId="27" applyFont="1" applyBorder="1" applyAlignment="1">
      <alignment wrapText="1"/>
    </xf>
    <xf numFmtId="14" fontId="2" fillId="0" borderId="4" xfId="27" applyNumberFormat="1" applyFont="1" applyBorder="1" applyAlignment="1">
      <alignment horizontal="right" wrapText="1"/>
    </xf>
    <xf numFmtId="0" fontId="2" fillId="0" borderId="4" xfId="27" applyFont="1" applyBorder="1" applyAlignment="1">
      <alignment horizontal="right" wrapText="1"/>
    </xf>
    <xf numFmtId="0" fontId="2" fillId="0" borderId="4" xfId="28" applyFont="1" applyBorder="1" applyAlignment="1">
      <alignment wrapText="1"/>
    </xf>
    <xf numFmtId="14" fontId="2" fillId="0" borderId="4" xfId="28" applyNumberFormat="1" applyFont="1" applyBorder="1" applyAlignment="1">
      <alignment horizontal="right" wrapText="1"/>
    </xf>
    <xf numFmtId="0" fontId="2" fillId="0" borderId="4" xfId="28" applyFont="1" applyBorder="1" applyAlignment="1">
      <alignment horizontal="right" wrapText="1"/>
    </xf>
    <xf numFmtId="0" fontId="0" fillId="0" borderId="9" xfId="0" applyBorder="1" applyAlignment="1">
      <alignment horizontal="left"/>
    </xf>
    <xf numFmtId="0" fontId="2" fillId="0" borderId="4" xfId="29" applyFont="1" applyBorder="1" applyAlignment="1">
      <alignment wrapText="1"/>
    </xf>
    <xf numFmtId="14" fontId="2" fillId="0" borderId="4" xfId="29" applyNumberFormat="1" applyFont="1" applyBorder="1" applyAlignment="1">
      <alignment horizontal="right" wrapText="1"/>
    </xf>
    <xf numFmtId="0" fontId="2" fillId="0" borderId="4" xfId="29" applyFont="1" applyBorder="1" applyAlignment="1">
      <alignment horizontal="right" wrapText="1"/>
    </xf>
    <xf numFmtId="0" fontId="3" fillId="0" borderId="0" xfId="29"/>
    <xf numFmtId="0" fontId="10" fillId="2" borderId="3" xfId="20" applyFont="1" applyFill="1" applyBorder="1" applyAlignment="1">
      <alignment horizontal="center"/>
    </xf>
    <xf numFmtId="0" fontId="11" fillId="0" borderId="0" xfId="20"/>
    <xf numFmtId="0" fontId="5" fillId="0" borderId="9" xfId="0" applyFont="1" applyBorder="1" applyAlignment="1">
      <alignment horizontal="left"/>
    </xf>
    <xf numFmtId="0" fontId="5" fillId="0" borderId="9" xfId="0" applyFont="1" applyBorder="1"/>
    <xf numFmtId="0" fontId="7" fillId="0" borderId="0" xfId="0" applyFont="1"/>
    <xf numFmtId="0" fontId="10" fillId="0" borderId="5" xfId="8" applyFont="1" applyBorder="1" applyAlignment="1">
      <alignment wrapText="1"/>
    </xf>
    <xf numFmtId="0" fontId="10" fillId="0" borderId="5" xfId="8" applyFont="1" applyBorder="1" applyAlignment="1">
      <alignment horizontal="right" wrapText="1"/>
    </xf>
    <xf numFmtId="0" fontId="2" fillId="0" borderId="5" xfId="28" applyFont="1" applyBorder="1" applyAlignment="1">
      <alignment wrapText="1"/>
    </xf>
    <xf numFmtId="0" fontId="2" fillId="0" borderId="5" xfId="28" applyFont="1" applyBorder="1" applyAlignment="1">
      <alignment horizontal="right" wrapText="1"/>
    </xf>
    <xf numFmtId="0" fontId="2" fillId="0" borderId="5" xfId="19" applyFont="1" applyBorder="1" applyAlignment="1">
      <alignment wrapText="1"/>
    </xf>
    <xf numFmtId="0" fontId="2" fillId="0" borderId="5" xfId="19" applyFont="1" applyBorder="1" applyAlignment="1">
      <alignment horizontal="right" wrapText="1"/>
    </xf>
    <xf numFmtId="0" fontId="10" fillId="0" borderId="5" xfId="20" applyFont="1" applyBorder="1" applyAlignment="1">
      <alignment wrapText="1"/>
    </xf>
    <xf numFmtId="0" fontId="10" fillId="0" borderId="5" xfId="20" applyFont="1" applyBorder="1" applyAlignment="1">
      <alignment horizontal="right" wrapText="1"/>
    </xf>
    <xf numFmtId="0" fontId="10" fillId="0" borderId="10" xfId="20" applyFont="1" applyBorder="1" applyAlignment="1">
      <alignment horizontal="right" wrapText="1"/>
    </xf>
    <xf numFmtId="0" fontId="10" fillId="0" borderId="5" xfId="21" applyFont="1" applyBorder="1" applyAlignment="1">
      <alignment wrapText="1"/>
    </xf>
    <xf numFmtId="0" fontId="10" fillId="0" borderId="5" xfId="21" applyFont="1" applyBorder="1" applyAlignment="1">
      <alignment horizontal="right" wrapText="1"/>
    </xf>
    <xf numFmtId="0" fontId="10" fillId="0" borderId="5" xfId="22" applyFont="1" applyBorder="1" applyAlignment="1">
      <alignment wrapText="1"/>
    </xf>
    <xf numFmtId="0" fontId="10" fillId="0" borderId="5" xfId="22" applyFont="1" applyBorder="1" applyAlignment="1">
      <alignment horizontal="right" wrapText="1"/>
    </xf>
    <xf numFmtId="0" fontId="10" fillId="0" borderId="5" xfId="23" applyFont="1" applyBorder="1" applyAlignment="1">
      <alignment wrapText="1"/>
    </xf>
    <xf numFmtId="0" fontId="10" fillId="0" borderId="5" xfId="23" applyFont="1" applyBorder="1" applyAlignment="1">
      <alignment horizontal="right" wrapText="1"/>
    </xf>
    <xf numFmtId="0" fontId="10" fillId="0" borderId="5" xfId="24" applyFont="1" applyBorder="1" applyAlignment="1">
      <alignment wrapText="1"/>
    </xf>
    <xf numFmtId="0" fontId="10" fillId="0" borderId="5" xfId="24" applyFont="1" applyBorder="1" applyAlignment="1">
      <alignment horizontal="right" wrapText="1"/>
    </xf>
    <xf numFmtId="0" fontId="10" fillId="0" borderId="5" xfId="17" applyFont="1" applyBorder="1" applyAlignment="1">
      <alignment wrapText="1"/>
    </xf>
    <xf numFmtId="0" fontId="10" fillId="0" borderId="5" xfId="17" applyFont="1" applyBorder="1" applyAlignment="1">
      <alignment horizontal="right" wrapText="1"/>
    </xf>
    <xf numFmtId="0" fontId="10" fillId="0" borderId="5" xfId="18" applyFont="1" applyBorder="1" applyAlignment="1">
      <alignment wrapText="1"/>
    </xf>
    <xf numFmtId="0" fontId="10" fillId="0" borderId="5" xfId="18" applyFont="1" applyBorder="1" applyAlignment="1">
      <alignment horizontal="right" wrapText="1"/>
    </xf>
    <xf numFmtId="0" fontId="10" fillId="0" borderId="5" xfId="26" applyFont="1" applyBorder="1" applyAlignment="1">
      <alignment wrapText="1"/>
    </xf>
    <xf numFmtId="0" fontId="10" fillId="0" borderId="5" xfId="26" applyFont="1" applyBorder="1" applyAlignment="1">
      <alignment horizontal="right" wrapText="1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10" fillId="0" borderId="0" xfId="6" applyFont="1" applyAlignment="1">
      <alignment horizontal="right" wrapText="1"/>
    </xf>
    <xf numFmtId="0" fontId="10" fillId="0" borderId="0" xfId="7" applyFont="1" applyAlignment="1">
      <alignment horizontal="right" wrapText="1"/>
    </xf>
    <xf numFmtId="0" fontId="10" fillId="2" borderId="3" xfId="30" applyFont="1" applyFill="1" applyBorder="1" applyAlignment="1">
      <alignment horizontal="center"/>
    </xf>
    <xf numFmtId="0" fontId="10" fillId="0" borderId="4" xfId="30" applyFont="1" applyBorder="1" applyAlignment="1">
      <alignment wrapText="1"/>
    </xf>
    <xf numFmtId="14" fontId="10" fillId="0" borderId="4" xfId="30" applyNumberFormat="1" applyFont="1" applyBorder="1" applyAlignment="1">
      <alignment horizontal="right" wrapText="1"/>
    </xf>
    <xf numFmtId="0" fontId="10" fillId="0" borderId="4" xfId="30" applyFont="1" applyBorder="1" applyAlignment="1">
      <alignment horizontal="right" wrapText="1"/>
    </xf>
    <xf numFmtId="0" fontId="11" fillId="0" borderId="0" xfId="30"/>
    <xf numFmtId="0" fontId="10" fillId="2" borderId="0" xfId="30" applyFont="1" applyFill="1" applyAlignment="1">
      <alignment horizontal="center"/>
    </xf>
    <xf numFmtId="0" fontId="10" fillId="0" borderId="0" xfId="30" applyFont="1" applyAlignment="1">
      <alignment horizontal="right" wrapText="1"/>
    </xf>
    <xf numFmtId="0" fontId="10" fillId="2" borderId="3" xfId="31" applyFont="1" applyFill="1" applyBorder="1" applyAlignment="1">
      <alignment horizontal="center"/>
    </xf>
    <xf numFmtId="0" fontId="10" fillId="0" borderId="4" xfId="31" applyFont="1" applyBorder="1" applyAlignment="1">
      <alignment wrapText="1"/>
    </xf>
    <xf numFmtId="14" fontId="10" fillId="0" borderId="4" xfId="31" applyNumberFormat="1" applyFont="1" applyBorder="1" applyAlignment="1">
      <alignment horizontal="right" wrapText="1"/>
    </xf>
    <xf numFmtId="0" fontId="11" fillId="0" borderId="0" xfId="31"/>
    <xf numFmtId="0" fontId="10" fillId="0" borderId="4" xfId="31" applyFont="1" applyBorder="1" applyAlignment="1">
      <alignment horizontal="right" wrapText="1"/>
    </xf>
    <xf numFmtId="1" fontId="10" fillId="2" borderId="0" xfId="31" applyNumberFormat="1" applyFont="1" applyFill="1" applyAlignment="1">
      <alignment horizontal="center"/>
    </xf>
    <xf numFmtId="1" fontId="10" fillId="0" borderId="0" xfId="31" applyNumberFormat="1" applyFont="1" applyAlignment="1">
      <alignment horizontal="right" wrapText="1"/>
    </xf>
    <xf numFmtId="1" fontId="0" fillId="0" borderId="0" xfId="0" applyNumberFormat="1"/>
    <xf numFmtId="165" fontId="10" fillId="2" borderId="0" xfId="31" applyNumberFormat="1" applyFont="1" applyFill="1" applyAlignment="1">
      <alignment horizontal="center"/>
    </xf>
    <xf numFmtId="165" fontId="10" fillId="0" borderId="0" xfId="31" applyNumberFormat="1" applyFont="1" applyAlignment="1">
      <alignment horizontal="right" wrapText="1"/>
    </xf>
    <xf numFmtId="165" fontId="0" fillId="0" borderId="0" xfId="0" applyNumberFormat="1"/>
    <xf numFmtId="0" fontId="2" fillId="2" borderId="0" xfId="3" applyFont="1" applyFill="1" applyAlignment="1">
      <alignment horizontal="center"/>
    </xf>
    <xf numFmtId="0" fontId="2" fillId="0" borderId="0" xfId="3" applyFont="1" applyAlignment="1">
      <alignment horizontal="right" wrapText="1"/>
    </xf>
    <xf numFmtId="0" fontId="6" fillId="0" borderId="0" xfId="3" applyFont="1" applyAlignment="1">
      <alignment horizontal="right" wrapText="1"/>
    </xf>
    <xf numFmtId="0" fontId="2" fillId="0" borderId="0" xfId="2" applyFont="1" applyAlignment="1">
      <alignment horizontal="right"/>
    </xf>
    <xf numFmtId="0" fontId="10" fillId="0" borderId="0" xfId="5" applyFont="1" applyAlignment="1">
      <alignment horizontal="right" wrapText="1"/>
    </xf>
    <xf numFmtId="0" fontId="10" fillId="2" borderId="3" xfId="32" applyFont="1" applyFill="1" applyBorder="1" applyAlignment="1">
      <alignment horizontal="center"/>
    </xf>
    <xf numFmtId="0" fontId="10" fillId="0" borderId="4" xfId="32" applyFont="1" applyBorder="1" applyAlignment="1">
      <alignment wrapText="1"/>
    </xf>
    <xf numFmtId="14" fontId="10" fillId="0" borderId="4" xfId="32" applyNumberFormat="1" applyFont="1" applyBorder="1" applyAlignment="1">
      <alignment horizontal="right" wrapText="1"/>
    </xf>
    <xf numFmtId="0" fontId="10" fillId="0" borderId="4" xfId="32" applyFont="1" applyBorder="1" applyAlignment="1">
      <alignment horizontal="right" wrapText="1"/>
    </xf>
    <xf numFmtId="0" fontId="11" fillId="0" borderId="0" xfId="32"/>
    <xf numFmtId="0" fontId="10" fillId="2" borderId="0" xfId="32" applyFont="1" applyFill="1" applyAlignment="1">
      <alignment horizontal="center"/>
    </xf>
    <xf numFmtId="0" fontId="10" fillId="0" borderId="0" xfId="32" applyFont="1" applyAlignment="1">
      <alignment horizontal="right" wrapText="1"/>
    </xf>
    <xf numFmtId="0" fontId="10" fillId="2" borderId="3" xfId="33" applyFont="1" applyFill="1" applyBorder="1" applyAlignment="1">
      <alignment horizontal="center"/>
    </xf>
    <xf numFmtId="0" fontId="10" fillId="0" borderId="4" xfId="33" applyFont="1" applyBorder="1" applyAlignment="1">
      <alignment wrapText="1"/>
    </xf>
    <xf numFmtId="14" fontId="10" fillId="0" borderId="4" xfId="33" applyNumberFormat="1" applyFont="1" applyBorder="1" applyAlignment="1">
      <alignment horizontal="right" wrapText="1"/>
    </xf>
    <xf numFmtId="0" fontId="11" fillId="0" borderId="0" xfId="33"/>
    <xf numFmtId="0" fontId="10" fillId="0" borderId="4" xfId="33" applyFont="1" applyBorder="1" applyAlignment="1">
      <alignment horizontal="right" wrapText="1"/>
    </xf>
    <xf numFmtId="0" fontId="10" fillId="2" borderId="0" xfId="33" applyFont="1" applyFill="1" applyAlignment="1">
      <alignment horizontal="center"/>
    </xf>
    <xf numFmtId="14" fontId="10" fillId="0" borderId="0" xfId="33" applyNumberFormat="1" applyFont="1" applyAlignment="1">
      <alignment horizontal="right" wrapText="1"/>
    </xf>
    <xf numFmtId="1" fontId="10" fillId="2" borderId="0" xfId="33" applyNumberFormat="1" applyFont="1" applyFill="1" applyAlignment="1">
      <alignment horizontal="center"/>
    </xf>
    <xf numFmtId="1" fontId="10" fillId="0" borderId="0" xfId="33" applyNumberFormat="1" applyFont="1" applyAlignment="1">
      <alignment horizontal="right" wrapText="1"/>
    </xf>
    <xf numFmtId="1" fontId="0" fillId="0" borderId="0" xfId="0" applyNumberFormat="1" applyAlignment="1">
      <alignment horizontal="center"/>
    </xf>
    <xf numFmtId="1" fontId="7" fillId="0" borderId="0" xfId="0" applyNumberFormat="1" applyFont="1"/>
    <xf numFmtId="1" fontId="0" fillId="0" borderId="0" xfId="0" applyNumberFormat="1" applyAlignment="1">
      <alignment horizontal="left"/>
    </xf>
    <xf numFmtId="2" fontId="2" fillId="0" borderId="0" xfId="1" applyNumberFormat="1" applyFont="1" applyAlignment="1">
      <alignment horizontal="center"/>
    </xf>
    <xf numFmtId="2" fontId="0" fillId="0" borderId="9" xfId="0" applyNumberFormat="1" applyBorder="1"/>
    <xf numFmtId="0" fontId="2" fillId="0" borderId="0" xfId="3" applyFont="1" applyFill="1" applyAlignment="1">
      <alignment horizontal="right" wrapText="1"/>
    </xf>
    <xf numFmtId="0" fontId="10" fillId="0" borderId="5" xfId="33" applyFont="1" applyFill="1" applyBorder="1" applyAlignment="1">
      <alignment wrapText="1"/>
    </xf>
    <xf numFmtId="0" fontId="10" fillId="0" borderId="5" xfId="30" applyFont="1" applyFill="1" applyBorder="1" applyAlignment="1">
      <alignment wrapText="1"/>
    </xf>
    <xf numFmtId="0" fontId="0" fillId="0" borderId="0" xfId="0" quotePrefix="1"/>
    <xf numFmtId="0" fontId="10" fillId="0" borderId="0" xfId="32" applyFont="1" applyFill="1" applyAlignment="1">
      <alignment horizontal="right" wrapText="1"/>
    </xf>
    <xf numFmtId="1" fontId="7" fillId="0" borderId="0" xfId="0" applyNumberFormat="1" applyFont="1" applyAlignment="1">
      <alignment horizontal="left"/>
    </xf>
  </cellXfs>
  <cellStyles count="34">
    <cellStyle name="Normal" xfId="0" builtinId="0"/>
    <cellStyle name="Normal_A4" xfId="30" xr:uid="{6FFCB648-3E51-4BC3-AB36-EBAC52BF735B}"/>
    <cellStyle name="Normal_B3" xfId="31" xr:uid="{3A1FE0C0-D959-4BB5-9E92-5CAAE70A957C}"/>
    <cellStyle name="Normal_CTDEEP_2020&amp;2021 AvgTemp" xfId="7" xr:uid="{F9D91F23-F47B-465B-8AF6-C4EE05FA6B51}"/>
    <cellStyle name="Normal_I2" xfId="32" xr:uid="{CEE13B9F-8162-4CE8-ACAB-B8B46E15B993}"/>
    <cellStyle name="Normal_M3" xfId="33" xr:uid="{1E4A1BE1-4AA9-4585-B3CB-A3A5E7026EC0}"/>
    <cellStyle name="Normal_Sheet1" xfId="2" xr:uid="{00000000-0005-0000-0000-000001000000}"/>
    <cellStyle name="Normal_Sheet2" xfId="1" xr:uid="{00000000-0005-0000-0000-000002000000}"/>
    <cellStyle name="Normal_Sheet5" xfId="4" xr:uid="{00000000-0005-0000-0000-000003000000}"/>
    <cellStyle name="Normal_Station 09" xfId="10" xr:uid="{E8834062-B24B-4F6B-B66B-1A309DB496BD}"/>
    <cellStyle name="Normal_Station 09_1" xfId="19" xr:uid="{F25110EA-9D99-4410-BF8D-6E9D0B8F8FF8}"/>
    <cellStyle name="Normal_Station 15" xfId="11" xr:uid="{274353FF-47A8-4E8F-BD04-C8CD3D7B6175}"/>
    <cellStyle name="Normal_Station 15_1" xfId="20" xr:uid="{E2ACD701-BFB0-4CC1-9D2B-B82AE024CC1C}"/>
    <cellStyle name="Normal_Station A4_1" xfId="6" xr:uid="{00000000-0005-0000-0000-000005000000}"/>
    <cellStyle name="Normal_Station C1" xfId="8" xr:uid="{F9A2CB1C-4B50-494C-B10A-DE89C9C107CC}"/>
    <cellStyle name="Normal_Station C1_1" xfId="27" xr:uid="{F0DADD35-B734-4F8C-95C7-2D6732A4E2B2}"/>
    <cellStyle name="Normal_Station C2" xfId="9" xr:uid="{2EC87E2F-1448-41AD-B1F0-A4D95A633E4C}"/>
    <cellStyle name="Normal_Station C2_1" xfId="28" xr:uid="{858E26EE-04AC-47CF-8020-F4E4323E2FA8}"/>
    <cellStyle name="Normal_Station D3" xfId="3" xr:uid="{00000000-0005-0000-0000-000007000000}"/>
    <cellStyle name="Normal_Station D3_1" xfId="5" xr:uid="{00000000-0005-0000-0000-000008000000}"/>
    <cellStyle name="Normal_Station E1" xfId="12" xr:uid="{B167F25E-7B63-44D5-9DA5-CC9E4472712D}"/>
    <cellStyle name="Normal_Station E1_1" xfId="21" xr:uid="{5B3A2CFA-9752-407D-8461-352F10BBFBEC}"/>
    <cellStyle name="Normal_Station F2" xfId="13" xr:uid="{1C5FE3FA-659C-4CC2-AD49-404D34F13506}"/>
    <cellStyle name="Normal_Station F2_1" xfId="22" xr:uid="{891525C5-D7AA-4BF0-AC07-E1C8930F4215}"/>
    <cellStyle name="Normal_Station F3" xfId="14" xr:uid="{A369C329-9E0D-47AC-A644-063ECBAEB51C}"/>
    <cellStyle name="Normal_Station F3_1" xfId="23" xr:uid="{8D074D61-3C56-4DE9-AE4C-AFE5A8FA4DB2}"/>
    <cellStyle name="Normal_Station H2" xfId="15" xr:uid="{DED58E95-CA42-4F5E-BAF0-8AA524973B90}"/>
    <cellStyle name="Normal_Station H2_1" xfId="24" xr:uid="{AEDE2D16-987D-4594-895E-505927140EBC}"/>
    <cellStyle name="Normal_Station H4" xfId="16" xr:uid="{81DE1238-994B-464F-88EC-CFB7FFCF7893}"/>
    <cellStyle name="Normal_Station H4_1" xfId="25" xr:uid="{EA00024A-A822-4A6D-ACE8-8A8A52C1E5CF}"/>
    <cellStyle name="Normal_Station H6" xfId="17" xr:uid="{661E5741-FAFE-43BD-B231-8631F5FD9E49}"/>
    <cellStyle name="Normal_Station J2" xfId="18" xr:uid="{2914D9B7-5AB0-4F63-982B-9F608B0643D1}"/>
    <cellStyle name="Normal_Station K2" xfId="26" xr:uid="{8FA44D28-3439-42E8-96F5-D3DD65292922}"/>
    <cellStyle name="Normal_Station K2_1" xfId="29" xr:uid="{8A53B091-A162-4791-9629-658D322E1F8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34" Type="http://schemas.openxmlformats.org/officeDocument/2006/relationships/pivotCacheDefinition" Target="pivotCache/pivotCacheDefinition1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33" Type="http://schemas.openxmlformats.org/officeDocument/2006/relationships/pivotCacheDefinition" Target="pivotCache/pivotCacheDefinition1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openxmlformats.org/officeDocument/2006/relationships/pivotCacheDefinition" Target="pivotCache/pivotCacheDefinition12.xml"/><Relationship Id="rId37" Type="http://schemas.openxmlformats.org/officeDocument/2006/relationships/pivotCacheDefinition" Target="pivotCache/pivotCacheDefinition1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8.xml"/><Relationship Id="rId36" Type="http://schemas.openxmlformats.org/officeDocument/2006/relationships/pivotCacheDefinition" Target="pivotCache/pivotCacheDefinition1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7.xml"/><Relationship Id="rId30" Type="http://schemas.openxmlformats.org/officeDocument/2006/relationships/pivotCacheDefinition" Target="pivotCache/pivotCacheDefinition10.xml"/><Relationship Id="rId35" Type="http://schemas.openxmlformats.org/officeDocument/2006/relationships/pivotCacheDefinition" Target="pivotCache/pivotCacheDefinition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Average Temperature</a:t>
            </a:r>
            <a:r>
              <a:rPr lang="en-US" baseline="0"/>
              <a:t> of Long Island Sound </a:t>
            </a:r>
          </a:p>
          <a:p>
            <a:pPr>
              <a:defRPr/>
            </a:pPr>
            <a:r>
              <a:rPr lang="en-US" baseline="0"/>
              <a:t>(1991 - 2025)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AvgTempChart!$B$1</c:f>
              <c:strCache>
                <c:ptCount val="1"/>
                <c:pt idx="0">
                  <c:v>AVGSURFACE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22225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300771645250505"/>
                  <c:y val="-9.65403690279963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AvgTempChart!$A$2:$A$36</c:f>
              <c:numCache>
                <c:formatCode>0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xVal>
          <c:yVal>
            <c:numRef>
              <c:f>AvgTempChart!$B$2:$B$36</c:f>
              <c:numCache>
                <c:formatCode>0.00</c:formatCode>
                <c:ptCount val="35"/>
                <c:pt idx="0">
                  <c:v>14.551219642857145</c:v>
                </c:pt>
                <c:pt idx="1">
                  <c:v>12.207588059701498</c:v>
                </c:pt>
                <c:pt idx="2">
                  <c:v>15.273027450980393</c:v>
                </c:pt>
                <c:pt idx="3">
                  <c:v>18.482944557823128</c:v>
                </c:pt>
                <c:pt idx="4">
                  <c:v>11.141750000000004</c:v>
                </c:pt>
                <c:pt idx="5">
                  <c:v>16.653554193548384</c:v>
                </c:pt>
                <c:pt idx="6">
                  <c:v>16.192166785714303</c:v>
                </c:pt>
                <c:pt idx="7">
                  <c:v>17.803113086419746</c:v>
                </c:pt>
                <c:pt idx="8">
                  <c:v>17.134333080808073</c:v>
                </c:pt>
                <c:pt idx="9">
                  <c:v>16.633897169811313</c:v>
                </c:pt>
                <c:pt idx="10">
                  <c:v>17.681043410852713</c:v>
                </c:pt>
                <c:pt idx="11">
                  <c:v>14.909986131386866</c:v>
                </c:pt>
                <c:pt idx="12">
                  <c:v>15.669723939393942</c:v>
                </c:pt>
                <c:pt idx="13">
                  <c:v>17.035140955631395</c:v>
                </c:pt>
                <c:pt idx="14">
                  <c:v>17.502046979865781</c:v>
                </c:pt>
                <c:pt idx="15">
                  <c:v>18.666583448275865</c:v>
                </c:pt>
                <c:pt idx="16">
                  <c:v>16.781344444444443</c:v>
                </c:pt>
                <c:pt idx="17">
                  <c:v>16.463443296089384</c:v>
                </c:pt>
                <c:pt idx="18">
                  <c:v>14.864309900990094</c:v>
                </c:pt>
                <c:pt idx="19">
                  <c:v>16.380146263345218</c:v>
                </c:pt>
                <c:pt idx="20">
                  <c:v>16.757059878419451</c:v>
                </c:pt>
                <c:pt idx="21">
                  <c:v>17.683542821158689</c:v>
                </c:pt>
                <c:pt idx="22">
                  <c:v>17.140527525252523</c:v>
                </c:pt>
                <c:pt idx="23">
                  <c:v>16.304540920716121</c:v>
                </c:pt>
                <c:pt idx="24">
                  <c:v>16.879134133333327</c:v>
                </c:pt>
                <c:pt idx="25">
                  <c:v>17.274034540389984</c:v>
                </c:pt>
                <c:pt idx="26">
                  <c:v>18.29688942307693</c:v>
                </c:pt>
                <c:pt idx="27">
                  <c:v>14.272313725490198</c:v>
                </c:pt>
                <c:pt idx="28">
                  <c:v>13.830384615384617</c:v>
                </c:pt>
                <c:pt idx="29">
                  <c:v>16.89941520467837</c:v>
                </c:pt>
                <c:pt idx="30">
                  <c:v>16.655342465753421</c:v>
                </c:pt>
                <c:pt idx="31">
                  <c:v>14.861021276595743</c:v>
                </c:pt>
                <c:pt idx="32">
                  <c:v>15.738356164383561</c:v>
                </c:pt>
                <c:pt idx="33">
                  <c:v>15.097523809523805</c:v>
                </c:pt>
                <c:pt idx="34">
                  <c:v>14.68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5F-4013-92DF-D97215F4C3C9}"/>
            </c:ext>
          </c:extLst>
        </c:ser>
        <c:ser>
          <c:idx val="1"/>
          <c:order val="1"/>
          <c:tx>
            <c:strRef>
              <c:f>AvgTempChart!$C$1</c:f>
              <c:strCache>
                <c:ptCount val="1"/>
                <c:pt idx="0">
                  <c:v>AVGBOTTOM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22225" cap="rnd">
                <a:solidFill>
                  <a:srgbClr val="0070C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2321528529312984E-2"/>
                  <c:y val="0.105972878978839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AvgTempChart!$A$2:$A$36</c:f>
              <c:numCache>
                <c:formatCode>0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xVal>
          <c:yVal>
            <c:numRef>
              <c:f>AvgTempChart!$C$2:$C$36</c:f>
              <c:numCache>
                <c:formatCode>0.00</c:formatCode>
                <c:ptCount val="35"/>
                <c:pt idx="0">
                  <c:v>13.267019642857147</c:v>
                </c:pt>
                <c:pt idx="1">
                  <c:v>11.084627536231885</c:v>
                </c:pt>
                <c:pt idx="2">
                  <c:v>11.258387500000001</c:v>
                </c:pt>
                <c:pt idx="3">
                  <c:v>10.109010112359549</c:v>
                </c:pt>
                <c:pt idx="4">
                  <c:v>12.347900425531918</c:v>
                </c:pt>
                <c:pt idx="5">
                  <c:v>11.966351612903221</c:v>
                </c:pt>
                <c:pt idx="6">
                  <c:v>12.117467142857132</c:v>
                </c:pt>
                <c:pt idx="7">
                  <c:v>12.941916194331982</c:v>
                </c:pt>
                <c:pt idx="8">
                  <c:v>12.311642187500002</c:v>
                </c:pt>
                <c:pt idx="9">
                  <c:v>12.032005490196077</c:v>
                </c:pt>
                <c:pt idx="10">
                  <c:v>12.926708870967744</c:v>
                </c:pt>
                <c:pt idx="11">
                  <c:v>12.440276446280995</c:v>
                </c:pt>
                <c:pt idx="12">
                  <c:v>11.341413122171941</c:v>
                </c:pt>
                <c:pt idx="13">
                  <c:v>12.645331018518515</c:v>
                </c:pt>
                <c:pt idx="14">
                  <c:v>12.443033596837953</c:v>
                </c:pt>
                <c:pt idx="15">
                  <c:v>14.990842543859658</c:v>
                </c:pt>
                <c:pt idx="16">
                  <c:v>12.764724031007752</c:v>
                </c:pt>
                <c:pt idx="17">
                  <c:v>12.130273200000001</c:v>
                </c:pt>
                <c:pt idx="18">
                  <c:v>11.574757199999999</c:v>
                </c:pt>
                <c:pt idx="19">
                  <c:v>12.756010204081635</c:v>
                </c:pt>
                <c:pt idx="20">
                  <c:v>11.92756696832579</c:v>
                </c:pt>
                <c:pt idx="21">
                  <c:v>13.661042471042471</c:v>
                </c:pt>
                <c:pt idx="22">
                  <c:v>12.939243461538458</c:v>
                </c:pt>
                <c:pt idx="23">
                  <c:v>11.953458687258692</c:v>
                </c:pt>
                <c:pt idx="24">
                  <c:v>12.659690234374999</c:v>
                </c:pt>
                <c:pt idx="25">
                  <c:v>13.551704705882358</c:v>
                </c:pt>
                <c:pt idx="26">
                  <c:v>14.089071808510633</c:v>
                </c:pt>
                <c:pt idx="27">
                  <c:v>12.7836328125</c:v>
                </c:pt>
                <c:pt idx="28">
                  <c:v>12.593730769230801</c:v>
                </c:pt>
                <c:pt idx="29">
                  <c:v>15.350872093023261</c:v>
                </c:pt>
                <c:pt idx="30">
                  <c:v>15.067545454545453</c:v>
                </c:pt>
                <c:pt idx="31">
                  <c:v>13.865529953917058</c:v>
                </c:pt>
                <c:pt idx="32">
                  <c:v>14.32657534246575</c:v>
                </c:pt>
                <c:pt idx="33">
                  <c:v>13.372009569377994</c:v>
                </c:pt>
                <c:pt idx="34">
                  <c:v>12.8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5F-4013-92DF-D97215F4C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73320"/>
        <c:axId val="167973712"/>
      </c:scatterChart>
      <c:valAx>
        <c:axId val="167973320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73712"/>
        <c:crosses val="autoZero"/>
        <c:crossBetween val="midCat"/>
      </c:valAx>
      <c:valAx>
        <c:axId val="167973712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Temperature </a:t>
                </a:r>
                <a:r>
                  <a:rPr lang="en-US" sz="1200" b="0" i="0" baseline="0">
                    <a:effectLst/>
                    <a:sym typeface="Symbol" panose="05050102010706020507" pitchFamily="18" charset="2"/>
                  </a:rPr>
                  <a:t></a:t>
                </a:r>
                <a:r>
                  <a:rPr lang="en-US" sz="1200" b="0" i="0" baseline="0">
                    <a:effectLst/>
                  </a:rPr>
                  <a:t>C</a:t>
                </a:r>
                <a:endParaRPr lang="en-US" sz="1200" b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73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1995-2024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A4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'A4'!$P$2</c:f>
              <c:strCache>
                <c:ptCount val="1"/>
                <c:pt idx="0">
                  <c:v>Bottom Average</c:v>
                </c:pt>
              </c:strCache>
            </c:strRef>
          </c:tx>
          <c:spPr>
            <a:ln w="254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70C0"/>
                </a:solidFill>
                <a:prstDash val="solid"/>
              </a:ln>
              <a:effectLst/>
            </c:spPr>
          </c:marker>
          <c:xVal>
            <c:numRef>
              <c:f>'A4'!$N$3:$N$32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'A4'!$P$3:$P$32</c:f>
              <c:numCache>
                <c:formatCode>General</c:formatCode>
                <c:ptCount val="30"/>
                <c:pt idx="0">
                  <c:v>12.614749999999999</c:v>
                </c:pt>
                <c:pt idx="1">
                  <c:v>13.422307692307694</c:v>
                </c:pt>
                <c:pt idx="2">
                  <c:v>12.591666666666667</c:v>
                </c:pt>
                <c:pt idx="3">
                  <c:v>13.139375000000001</c:v>
                </c:pt>
                <c:pt idx="4">
                  <c:v>12.22549411764706</c:v>
                </c:pt>
                <c:pt idx="5">
                  <c:v>11.601176470588236</c:v>
                </c:pt>
                <c:pt idx="6">
                  <c:v>12.867142857142857</c:v>
                </c:pt>
                <c:pt idx="7">
                  <c:v>12.420000000000002</c:v>
                </c:pt>
                <c:pt idx="8">
                  <c:v>11.128666666666668</c:v>
                </c:pt>
                <c:pt idx="9">
                  <c:v>11.327333333333335</c:v>
                </c:pt>
                <c:pt idx="10">
                  <c:v>12.867999999999999</c:v>
                </c:pt>
                <c:pt idx="11">
                  <c:v>14.610000000000001</c:v>
                </c:pt>
                <c:pt idx="12">
                  <c:v>12.22</c:v>
                </c:pt>
                <c:pt idx="13">
                  <c:v>12.169444444444444</c:v>
                </c:pt>
                <c:pt idx="14">
                  <c:v>11.215624999999998</c:v>
                </c:pt>
                <c:pt idx="15">
                  <c:v>12.371874999999999</c:v>
                </c:pt>
                <c:pt idx="16">
                  <c:v>11.309333333333335</c:v>
                </c:pt>
                <c:pt idx="17">
                  <c:v>13.533333333333333</c:v>
                </c:pt>
                <c:pt idx="18">
                  <c:v>12.956470588235295</c:v>
                </c:pt>
                <c:pt idx="19">
                  <c:v>11.888823529411765</c:v>
                </c:pt>
                <c:pt idx="20">
                  <c:v>11.949375</c:v>
                </c:pt>
                <c:pt idx="21">
                  <c:v>13.423333333333332</c:v>
                </c:pt>
                <c:pt idx="22">
                  <c:v>12.887499999999999</c:v>
                </c:pt>
                <c:pt idx="23">
                  <c:v>13.510624999999999</c:v>
                </c:pt>
                <c:pt idx="24">
                  <c:v>12.595294117647059</c:v>
                </c:pt>
                <c:pt idx="25">
                  <c:v>16.018000000000001</c:v>
                </c:pt>
                <c:pt idx="26">
                  <c:v>15.592142857142855</c:v>
                </c:pt>
                <c:pt idx="27">
                  <c:v>13.528125000000001</c:v>
                </c:pt>
                <c:pt idx="28">
                  <c:v>14.996428571428568</c:v>
                </c:pt>
                <c:pt idx="29">
                  <c:v>12.395999999999999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C7-4164-BF34-865D38364DB1}"/>
            </c:ext>
          </c:extLst>
        </c:ser>
        <c:ser>
          <c:idx val="0"/>
          <c:order val="1"/>
          <c:tx>
            <c:strRef>
              <c:f>'A4'!$O$2</c:f>
              <c:strCache>
                <c:ptCount val="1"/>
                <c:pt idx="0">
                  <c:v>Surface Average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C00000"/>
                </a:solidFill>
                <a:prstDash val="dash"/>
              </a:ln>
              <a:effectLst/>
            </c:spPr>
          </c:marker>
          <c:xVal>
            <c:numRef>
              <c:f>'A4'!$N$3:$N$32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'A4'!$O$3:$O$32</c:f>
              <c:numCache>
                <c:formatCode>General</c:formatCode>
                <c:ptCount val="30"/>
                <c:pt idx="0">
                  <c:v>13.618585714285715</c:v>
                </c:pt>
                <c:pt idx="1">
                  <c:v>27.27785714285714</c:v>
                </c:pt>
                <c:pt idx="2">
                  <c:v>14.089285714285712</c:v>
                </c:pt>
                <c:pt idx="3">
                  <c:v>14.166111111111112</c:v>
                </c:pt>
                <c:pt idx="4">
                  <c:v>13.502005882352943</c:v>
                </c:pt>
                <c:pt idx="5">
                  <c:v>12.548823529411765</c:v>
                </c:pt>
                <c:pt idx="6">
                  <c:v>14.552</c:v>
                </c:pt>
                <c:pt idx="7">
                  <c:v>13.48764705882353</c:v>
                </c:pt>
                <c:pt idx="8">
                  <c:v>11.806428571428571</c:v>
                </c:pt>
                <c:pt idx="9">
                  <c:v>12.441333333333334</c:v>
                </c:pt>
                <c:pt idx="10">
                  <c:v>14.28375</c:v>
                </c:pt>
                <c:pt idx="11">
                  <c:v>15.97</c:v>
                </c:pt>
                <c:pt idx="12">
                  <c:v>13.284117647058824</c:v>
                </c:pt>
                <c:pt idx="13">
                  <c:v>13.108333333333333</c:v>
                </c:pt>
                <c:pt idx="14">
                  <c:v>12.204375000000001</c:v>
                </c:pt>
                <c:pt idx="15">
                  <c:v>13.521874999999998</c:v>
                </c:pt>
                <c:pt idx="16">
                  <c:v>12.623333333333331</c:v>
                </c:pt>
                <c:pt idx="17">
                  <c:v>14.449444444444444</c:v>
                </c:pt>
                <c:pt idx="18">
                  <c:v>13.94294117647059</c:v>
                </c:pt>
                <c:pt idx="19">
                  <c:v>13.054117647058822</c:v>
                </c:pt>
                <c:pt idx="20">
                  <c:v>12.875624999999999</c:v>
                </c:pt>
                <c:pt idx="21">
                  <c:v>14.348823529411765</c:v>
                </c:pt>
                <c:pt idx="22">
                  <c:v>13.807500000000003</c:v>
                </c:pt>
                <c:pt idx="23">
                  <c:v>14.644375000000002</c:v>
                </c:pt>
                <c:pt idx="24">
                  <c:v>13.592941176470587</c:v>
                </c:pt>
                <c:pt idx="25">
                  <c:v>17.481000000000002</c:v>
                </c:pt>
                <c:pt idx="26">
                  <c:v>17.229285714285716</c:v>
                </c:pt>
                <c:pt idx="27">
                  <c:v>14.491874999999999</c:v>
                </c:pt>
                <c:pt idx="28">
                  <c:v>16.096428571428572</c:v>
                </c:pt>
                <c:pt idx="29">
                  <c:v>14.164000000000003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C7-4164-BF34-865D38364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5768"/>
        <c:axId val="168676160"/>
      </c:scatterChart>
      <c:valAx>
        <c:axId val="168675768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6160"/>
        <c:crosses val="autoZero"/>
        <c:crossBetween val="midCat"/>
      </c:valAx>
      <c:valAx>
        <c:axId val="168676160"/>
        <c:scaling>
          <c:orientation val="minMax"/>
          <c:max val="18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57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1991-2024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B3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'B3'!$M$2</c:f>
              <c:strCache>
                <c:ptCount val="1"/>
                <c:pt idx="0">
                  <c:v>Bottom Average </c:v>
                </c:pt>
              </c:strCache>
            </c:strRef>
          </c:tx>
          <c:spPr>
            <a:ln w="254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70C0"/>
                </a:solidFill>
                <a:prstDash val="solid"/>
              </a:ln>
              <a:effectLst/>
            </c:spPr>
          </c:marker>
          <c:xVal>
            <c:numRef>
              <c:f>'B3'!$L$3:$L$36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xVal>
          <c:yVal>
            <c:numRef>
              <c:f>'B3'!$M$3:$M$36</c:f>
              <c:numCache>
                <c:formatCode>General</c:formatCode>
                <c:ptCount val="34"/>
                <c:pt idx="0">
                  <c:v>14.703724999999999</c:v>
                </c:pt>
                <c:pt idx="1">
                  <c:v>11.798190000000002</c:v>
                </c:pt>
                <c:pt idx="2">
                  <c:v>11.055509999999998</c:v>
                </c:pt>
                <c:pt idx="3">
                  <c:v>9.9066666666666663</c:v>
                </c:pt>
                <c:pt idx="4">
                  <c:v>12.737026666666669</c:v>
                </c:pt>
                <c:pt idx="5">
                  <c:v>13.106923076923078</c:v>
                </c:pt>
                <c:pt idx="6">
                  <c:v>12.369166666666667</c:v>
                </c:pt>
                <c:pt idx="7">
                  <c:v>12.834375</c:v>
                </c:pt>
                <c:pt idx="8">
                  <c:v>12.009411764705883</c:v>
                </c:pt>
                <c:pt idx="9">
                  <c:v>11.48294117647059</c:v>
                </c:pt>
                <c:pt idx="10">
                  <c:v>12.731428571428571</c:v>
                </c:pt>
                <c:pt idx="11">
                  <c:v>12.230588235294119</c:v>
                </c:pt>
                <c:pt idx="12">
                  <c:v>11.037333333333333</c:v>
                </c:pt>
                <c:pt idx="13">
                  <c:v>11.062666666666665</c:v>
                </c:pt>
                <c:pt idx="14">
                  <c:v>11.907333333333334</c:v>
                </c:pt>
                <c:pt idx="15">
                  <c:v>14.553636363636365</c:v>
                </c:pt>
                <c:pt idx="16">
                  <c:v>12.258235294117648</c:v>
                </c:pt>
                <c:pt idx="17">
                  <c:v>11.960555555555553</c:v>
                </c:pt>
                <c:pt idx="18">
                  <c:v>11.186470588235293</c:v>
                </c:pt>
                <c:pt idx="19">
                  <c:v>12.143125</c:v>
                </c:pt>
                <c:pt idx="20">
                  <c:v>11.062000000000001</c:v>
                </c:pt>
                <c:pt idx="21">
                  <c:v>13.354444444444445</c:v>
                </c:pt>
                <c:pt idx="22">
                  <c:v>12.841764705882353</c:v>
                </c:pt>
                <c:pt idx="23">
                  <c:v>11.744117647058824</c:v>
                </c:pt>
                <c:pt idx="24">
                  <c:v>11.761875</c:v>
                </c:pt>
                <c:pt idx="25">
                  <c:v>13.036470588235295</c:v>
                </c:pt>
                <c:pt idx="26">
                  <c:v>12.811250000000003</c:v>
                </c:pt>
                <c:pt idx="27">
                  <c:v>12.560588235294118</c:v>
                </c:pt>
                <c:pt idx="28">
                  <c:v>12.491764705882352</c:v>
                </c:pt>
                <c:pt idx="29">
                  <c:v>15.781000000000001</c:v>
                </c:pt>
                <c:pt idx="30">
                  <c:v>15.302142857142856</c:v>
                </c:pt>
                <c:pt idx="31">
                  <c:v>13.53125</c:v>
                </c:pt>
                <c:pt idx="32">
                  <c:v>14.849999999999998</c:v>
                </c:pt>
                <c:pt idx="33">
                  <c:v>12.208666666666666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B4-4FCB-A1C9-FDF3F0C11F7E}"/>
            </c:ext>
          </c:extLst>
        </c:ser>
        <c:ser>
          <c:idx val="0"/>
          <c:order val="1"/>
          <c:tx>
            <c:strRef>
              <c:f>'B3'!$N$2</c:f>
              <c:strCache>
                <c:ptCount val="1"/>
                <c:pt idx="0">
                  <c:v>Surface Average 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C00000"/>
                </a:solidFill>
                <a:prstDash val="dash"/>
              </a:ln>
              <a:effectLst/>
            </c:spPr>
          </c:marker>
          <c:xVal>
            <c:numRef>
              <c:f>'B3'!$L$3:$L$36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xVal>
          <c:yVal>
            <c:numRef>
              <c:f>'B3'!$N$3:$N$36</c:f>
              <c:numCache>
                <c:formatCode>0.000000</c:formatCode>
                <c:ptCount val="34"/>
                <c:pt idx="0">
                  <c:v>15.776087499999999</c:v>
                </c:pt>
                <c:pt idx="1">
                  <c:v>12.384462500000001</c:v>
                </c:pt>
                <c:pt idx="2">
                  <c:v>14.872737500000001</c:v>
                </c:pt>
                <c:pt idx="3">
                  <c:v>13.266666666666667</c:v>
                </c:pt>
                <c:pt idx="4">
                  <c:v>14.091706666666665</c:v>
                </c:pt>
                <c:pt idx="5">
                  <c:v>15.213571428571429</c:v>
                </c:pt>
                <c:pt idx="6">
                  <c:v>14.523999999999999</c:v>
                </c:pt>
                <c:pt idx="7">
                  <c:v>14.497777777777779</c:v>
                </c:pt>
                <c:pt idx="8">
                  <c:v>13.708823529411763</c:v>
                </c:pt>
                <c:pt idx="9">
                  <c:v>12.570000000000002</c:v>
                </c:pt>
                <c:pt idx="10">
                  <c:v>14.648666666666667</c:v>
                </c:pt>
                <c:pt idx="11">
                  <c:v>13.669411764705883</c:v>
                </c:pt>
                <c:pt idx="12">
                  <c:v>12.57066666666667</c:v>
                </c:pt>
                <c:pt idx="13">
                  <c:v>12.694000000000001</c:v>
                </c:pt>
                <c:pt idx="14">
                  <c:v>13.465</c:v>
                </c:pt>
                <c:pt idx="15">
                  <c:v>16.257272727272728</c:v>
                </c:pt>
                <c:pt idx="16">
                  <c:v>13.341874999999998</c:v>
                </c:pt>
                <c:pt idx="17">
                  <c:v>13.412222222222223</c:v>
                </c:pt>
                <c:pt idx="18">
                  <c:v>12.431764705882353</c:v>
                </c:pt>
                <c:pt idx="19">
                  <c:v>13.575625000000002</c:v>
                </c:pt>
                <c:pt idx="20">
                  <c:v>12.823333333333332</c:v>
                </c:pt>
                <c:pt idx="21">
                  <c:v>14.496666666666666</c:v>
                </c:pt>
                <c:pt idx="22">
                  <c:v>14.32529411764706</c:v>
                </c:pt>
                <c:pt idx="23">
                  <c:v>13.157058823529415</c:v>
                </c:pt>
                <c:pt idx="24">
                  <c:v>13.169375</c:v>
                </c:pt>
                <c:pt idx="25">
                  <c:v>14.799375</c:v>
                </c:pt>
                <c:pt idx="26">
                  <c:v>13.949374999999998</c:v>
                </c:pt>
                <c:pt idx="27">
                  <c:v>14.070588235294117</c:v>
                </c:pt>
                <c:pt idx="28">
                  <c:v>13.788823529411763</c:v>
                </c:pt>
                <c:pt idx="29">
                  <c:v>17.837</c:v>
                </c:pt>
                <c:pt idx="30">
                  <c:v>17.337142857142855</c:v>
                </c:pt>
                <c:pt idx="31">
                  <c:v>14.709375</c:v>
                </c:pt>
                <c:pt idx="32">
                  <c:v>16.175000000000001</c:v>
                </c:pt>
                <c:pt idx="33">
                  <c:v>14.012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B4-4FCB-A1C9-FDF3F0C11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5768"/>
        <c:axId val="168676160"/>
      </c:scatterChart>
      <c:valAx>
        <c:axId val="168675768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6160"/>
        <c:crosses val="autoZero"/>
        <c:crossBetween val="midCat"/>
      </c:valAx>
      <c:valAx>
        <c:axId val="168676160"/>
        <c:scaling>
          <c:orientation val="minMax"/>
          <c:max val="18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57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1995-2024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C1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Average Bottom Temperature</c:v>
          </c:tx>
          <c:spPr>
            <a:ln w="254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70C0"/>
                </a:solidFill>
                <a:prstDash val="solid"/>
              </a:ln>
              <a:effectLst/>
            </c:spPr>
          </c:marker>
          <c:xVal>
            <c:numRef>
              <c:f>'C1'!$N$2:$N$31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'C1'!$P$2:$P$30</c:f>
              <c:numCache>
                <c:formatCode>General</c:formatCode>
                <c:ptCount val="29"/>
                <c:pt idx="0">
                  <c:v>13.516799999999998</c:v>
                </c:pt>
                <c:pt idx="1">
                  <c:v>13.114615384615384</c:v>
                </c:pt>
                <c:pt idx="2">
                  <c:v>12.792307692307693</c:v>
                </c:pt>
                <c:pt idx="3">
                  <c:v>13.570714285714287</c:v>
                </c:pt>
                <c:pt idx="4">
                  <c:v>13.183999999999997</c:v>
                </c:pt>
                <c:pt idx="5">
                  <c:v>12.620000000000001</c:v>
                </c:pt>
                <c:pt idx="6">
                  <c:v>12.169230769230769</c:v>
                </c:pt>
                <c:pt idx="7">
                  <c:v>13.273999999999997</c:v>
                </c:pt>
                <c:pt idx="8">
                  <c:v>11.635714285714286</c:v>
                </c:pt>
                <c:pt idx="9">
                  <c:v>12.353846153846156</c:v>
                </c:pt>
                <c:pt idx="10">
                  <c:v>11.884000000000002</c:v>
                </c:pt>
                <c:pt idx="11">
                  <c:v>13.955000000000002</c:v>
                </c:pt>
                <c:pt idx="12">
                  <c:v>12.851875</c:v>
                </c:pt>
                <c:pt idx="13">
                  <c:v>12.977499999999999</c:v>
                </c:pt>
                <c:pt idx="14">
                  <c:v>12.182</c:v>
                </c:pt>
                <c:pt idx="15">
                  <c:v>12.713333333333333</c:v>
                </c:pt>
                <c:pt idx="16">
                  <c:v>12.497333333333332</c:v>
                </c:pt>
                <c:pt idx="17">
                  <c:v>14.369374999999998</c:v>
                </c:pt>
                <c:pt idx="18">
                  <c:v>13.553750000000003</c:v>
                </c:pt>
                <c:pt idx="19">
                  <c:v>12.477499999999999</c:v>
                </c:pt>
                <c:pt idx="20">
                  <c:v>12.532499999999999</c:v>
                </c:pt>
                <c:pt idx="21">
                  <c:v>14.386875</c:v>
                </c:pt>
                <c:pt idx="22">
                  <c:v>13.434666666666667</c:v>
                </c:pt>
                <c:pt idx="23">
                  <c:v>13.825333333333333</c:v>
                </c:pt>
                <c:pt idx="24">
                  <c:v>13.102500000000001</c:v>
                </c:pt>
                <c:pt idx="25">
                  <c:v>15.831999999999997</c:v>
                </c:pt>
                <c:pt idx="26">
                  <c:v>17.484285714285715</c:v>
                </c:pt>
                <c:pt idx="27">
                  <c:v>14.931250000000002</c:v>
                </c:pt>
                <c:pt idx="28">
                  <c:v>14.62142857142857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B5-4C93-B4D5-A7CC4386CFCF}"/>
            </c:ext>
          </c:extLst>
        </c:ser>
        <c:ser>
          <c:idx val="0"/>
          <c:order val="1"/>
          <c:tx>
            <c:v>Average Surface Temperature</c:v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C00000"/>
                </a:solidFill>
                <a:prstDash val="dash"/>
              </a:ln>
              <a:effectLst/>
            </c:spPr>
          </c:marker>
          <c:xVal>
            <c:numRef>
              <c:f>'C1'!$N$2:$N$31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'C1'!$O$2:$O$31</c:f>
              <c:numCache>
                <c:formatCode>General</c:formatCode>
                <c:ptCount val="30"/>
                <c:pt idx="0">
                  <c:v>14.077142857142858</c:v>
                </c:pt>
                <c:pt idx="1">
                  <c:v>15.299285714285716</c:v>
                </c:pt>
                <c:pt idx="2">
                  <c:v>14.200714290000001</c:v>
                </c:pt>
                <c:pt idx="3">
                  <c:v>15.98</c:v>
                </c:pt>
                <c:pt idx="4">
                  <c:v>15.094000000000001</c:v>
                </c:pt>
                <c:pt idx="5">
                  <c:v>13.978</c:v>
                </c:pt>
                <c:pt idx="6">
                  <c:v>14.426428571428572</c:v>
                </c:pt>
                <c:pt idx="7">
                  <c:v>14.940000000000001</c:v>
                </c:pt>
                <c:pt idx="8">
                  <c:v>13.675000000000001</c:v>
                </c:pt>
                <c:pt idx="9">
                  <c:v>14.427692307692309</c:v>
                </c:pt>
                <c:pt idx="10">
                  <c:v>14.228</c:v>
                </c:pt>
                <c:pt idx="11">
                  <c:v>15.653999999999996</c:v>
                </c:pt>
                <c:pt idx="12">
                  <c:v>14.87875</c:v>
                </c:pt>
                <c:pt idx="13">
                  <c:v>14.708750000000002</c:v>
                </c:pt>
                <c:pt idx="14">
                  <c:v>14.276666666666669</c:v>
                </c:pt>
                <c:pt idx="15">
                  <c:v>14.435999999999998</c:v>
                </c:pt>
                <c:pt idx="16">
                  <c:v>14.681333333333335</c:v>
                </c:pt>
                <c:pt idx="17">
                  <c:v>15.799375</c:v>
                </c:pt>
                <c:pt idx="18">
                  <c:v>15.168124999999998</c:v>
                </c:pt>
                <c:pt idx="19">
                  <c:v>14.134999999999998</c:v>
                </c:pt>
                <c:pt idx="20">
                  <c:v>14.452500000000002</c:v>
                </c:pt>
                <c:pt idx="21">
                  <c:v>15.759999999999998</c:v>
                </c:pt>
                <c:pt idx="22">
                  <c:v>14.934000000000001</c:v>
                </c:pt>
                <c:pt idx="23">
                  <c:v>15.817333333333334</c:v>
                </c:pt>
                <c:pt idx="24">
                  <c:v>14.762499999999999</c:v>
                </c:pt>
                <c:pt idx="25">
                  <c:v>17.949000000000002</c:v>
                </c:pt>
                <c:pt idx="26">
                  <c:v>15.241428571428569</c:v>
                </c:pt>
                <c:pt idx="27">
                  <c:v>13.324375000000002</c:v>
                </c:pt>
                <c:pt idx="28">
                  <c:v>16.213571428571431</c:v>
                </c:pt>
                <c:pt idx="29">
                  <c:v>14.471333333333332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B5-4C93-B4D5-A7CC4386C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5768"/>
        <c:axId val="168676160"/>
      </c:scatterChart>
      <c:valAx>
        <c:axId val="168675768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6160"/>
        <c:crosses val="autoZero"/>
        <c:crossBetween val="midCat"/>
      </c:valAx>
      <c:valAx>
        <c:axId val="168676160"/>
        <c:scaling>
          <c:orientation val="minMax"/>
          <c:max val="2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57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1995-2024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C2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Average Bottom Temperature</c:v>
          </c:tx>
          <c:spPr>
            <a:ln w="254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70C0"/>
                </a:solidFill>
                <a:prstDash val="solid"/>
              </a:ln>
              <a:effectLst/>
            </c:spPr>
          </c:marker>
          <c:xVal>
            <c:numRef>
              <c:f>'C2'!$M$2:$M$31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'C2'!$O$2:$O$31</c:f>
              <c:numCache>
                <c:formatCode>General</c:formatCode>
                <c:ptCount val="30"/>
                <c:pt idx="0">
                  <c:v>12.271414285714286</c:v>
                </c:pt>
                <c:pt idx="1">
                  <c:v>12.797499999999999</c:v>
                </c:pt>
                <c:pt idx="2">
                  <c:v>12.174999999999999</c:v>
                </c:pt>
                <c:pt idx="3">
                  <c:v>13.335333333333333</c:v>
                </c:pt>
                <c:pt idx="4">
                  <c:v>13.131333333333334</c:v>
                </c:pt>
                <c:pt idx="5">
                  <c:v>12.591333333333333</c:v>
                </c:pt>
                <c:pt idx="6">
                  <c:v>11.902307692307691</c:v>
                </c:pt>
                <c:pt idx="7">
                  <c:v>13.166</c:v>
                </c:pt>
                <c:pt idx="8">
                  <c:v>11.501428571428573</c:v>
                </c:pt>
                <c:pt idx="9">
                  <c:v>12.246153846153847</c:v>
                </c:pt>
                <c:pt idx="10">
                  <c:v>11.698666666666666</c:v>
                </c:pt>
                <c:pt idx="11">
                  <c:v>14.260000000000002</c:v>
                </c:pt>
                <c:pt idx="12">
                  <c:v>12.836875000000001</c:v>
                </c:pt>
                <c:pt idx="13">
                  <c:v>12.921249999999999</c:v>
                </c:pt>
                <c:pt idx="14">
                  <c:v>11.979333333333335</c:v>
                </c:pt>
                <c:pt idx="15">
                  <c:v>12.581999999999999</c:v>
                </c:pt>
                <c:pt idx="16">
                  <c:v>12.021428571428572</c:v>
                </c:pt>
                <c:pt idx="17">
                  <c:v>14.193125</c:v>
                </c:pt>
                <c:pt idx="18">
                  <c:v>13.388124999999999</c:v>
                </c:pt>
                <c:pt idx="19">
                  <c:v>12.395624999999999</c:v>
                </c:pt>
                <c:pt idx="20">
                  <c:v>12.278666666666664</c:v>
                </c:pt>
                <c:pt idx="21">
                  <c:v>13.724666666666669</c:v>
                </c:pt>
                <c:pt idx="22">
                  <c:v>13.11066666666667</c:v>
                </c:pt>
                <c:pt idx="23">
                  <c:v>12.813749999999999</c:v>
                </c:pt>
                <c:pt idx="24">
                  <c:v>12.974375000000002</c:v>
                </c:pt>
                <c:pt idx="25">
                  <c:v>15.596</c:v>
                </c:pt>
                <c:pt idx="26">
                  <c:v>15.049285714285714</c:v>
                </c:pt>
                <c:pt idx="27">
                  <c:v>14.227333333333332</c:v>
                </c:pt>
                <c:pt idx="28">
                  <c:v>14.303571428571431</c:v>
                </c:pt>
                <c:pt idx="29">
                  <c:v>11.544285714285715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68-49A4-93A0-33DF53655E9E}"/>
            </c:ext>
          </c:extLst>
        </c:ser>
        <c:ser>
          <c:idx val="0"/>
          <c:order val="1"/>
          <c:tx>
            <c:v>Average Surface Temperature</c:v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C00000"/>
                </a:solidFill>
                <a:prstDash val="dash"/>
              </a:ln>
              <a:effectLst/>
            </c:spPr>
          </c:marker>
          <c:xVal>
            <c:numRef>
              <c:f>'C2'!$M$2:$M$31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'C2'!$N$2:$N$31</c:f>
              <c:numCache>
                <c:formatCode>General</c:formatCode>
                <c:ptCount val="30"/>
                <c:pt idx="0">
                  <c:v>13.794285714285715</c:v>
                </c:pt>
                <c:pt idx="1">
                  <c:v>14.86</c:v>
                </c:pt>
                <c:pt idx="2">
                  <c:v>14.026428571428569</c:v>
                </c:pt>
                <c:pt idx="3">
                  <c:v>15.510624999999999</c:v>
                </c:pt>
                <c:pt idx="4">
                  <c:v>14.772</c:v>
                </c:pt>
                <c:pt idx="5">
                  <c:v>13.949333333333334</c:v>
                </c:pt>
                <c:pt idx="6">
                  <c:v>14.174999999999999</c:v>
                </c:pt>
                <c:pt idx="7">
                  <c:v>14.637999999999998</c:v>
                </c:pt>
                <c:pt idx="8">
                  <c:v>13.437142857142858</c:v>
                </c:pt>
                <c:pt idx="9">
                  <c:v>13.304166666666669</c:v>
                </c:pt>
                <c:pt idx="10">
                  <c:v>13.885999999999999</c:v>
                </c:pt>
                <c:pt idx="11">
                  <c:v>16.204545454545453</c:v>
                </c:pt>
                <c:pt idx="12">
                  <c:v>14.60375</c:v>
                </c:pt>
                <c:pt idx="13">
                  <c:v>14.608124999999999</c:v>
                </c:pt>
                <c:pt idx="14">
                  <c:v>13.989333333333331</c:v>
                </c:pt>
                <c:pt idx="15">
                  <c:v>14.384666666666666</c:v>
                </c:pt>
                <c:pt idx="16">
                  <c:v>14.337333333333333</c:v>
                </c:pt>
                <c:pt idx="17">
                  <c:v>15.500625000000003</c:v>
                </c:pt>
                <c:pt idx="18">
                  <c:v>14.972500000000002</c:v>
                </c:pt>
                <c:pt idx="19">
                  <c:v>13.913125000000001</c:v>
                </c:pt>
                <c:pt idx="20">
                  <c:v>13.970666666666666</c:v>
                </c:pt>
                <c:pt idx="21">
                  <c:v>14.918000000000001</c:v>
                </c:pt>
                <c:pt idx="22">
                  <c:v>14.742666666666667</c:v>
                </c:pt>
                <c:pt idx="23">
                  <c:v>14.787499999999998</c:v>
                </c:pt>
                <c:pt idx="24">
                  <c:v>14.596249999999998</c:v>
                </c:pt>
                <c:pt idx="25">
                  <c:v>17.605</c:v>
                </c:pt>
                <c:pt idx="26">
                  <c:v>17.084285714285709</c:v>
                </c:pt>
                <c:pt idx="27">
                  <c:v>15.489333333333336</c:v>
                </c:pt>
                <c:pt idx="28">
                  <c:v>16.073571428571427</c:v>
                </c:pt>
                <c:pt idx="29">
                  <c:v>13.577857142857143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68-49A4-93A0-33DF53655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5768"/>
        <c:axId val="168676160"/>
      </c:scatterChart>
      <c:valAx>
        <c:axId val="168675768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6160"/>
        <c:crosses val="autoZero"/>
        <c:crossBetween val="midCat"/>
      </c:valAx>
      <c:valAx>
        <c:axId val="168676160"/>
        <c:scaling>
          <c:orientation val="minMax"/>
          <c:max val="18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57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1991-2024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D3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'D3'!$N$2</c:f>
              <c:strCache>
                <c:ptCount val="1"/>
                <c:pt idx="0">
                  <c:v>Bottom Average</c:v>
                </c:pt>
              </c:strCache>
            </c:strRef>
          </c:tx>
          <c:spPr>
            <a:ln w="254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70C0"/>
                </a:solidFill>
                <a:prstDash val="solid"/>
              </a:ln>
              <a:effectLst/>
            </c:spPr>
          </c:marker>
          <c:xVal>
            <c:numRef>
              <c:f>'D3'!$M$3:$M$36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xVal>
          <c:yVal>
            <c:numRef>
              <c:f>'D3'!$N$3:$N$36</c:f>
              <c:numCache>
                <c:formatCode>General</c:formatCode>
                <c:ptCount val="34"/>
                <c:pt idx="0">
                  <c:v>15.820683333333333</c:v>
                </c:pt>
                <c:pt idx="1">
                  <c:v>11.769970000000001</c:v>
                </c:pt>
                <c:pt idx="2">
                  <c:v>11.064755555555555</c:v>
                </c:pt>
                <c:pt idx="3">
                  <c:v>9.7275000000000009</c:v>
                </c:pt>
                <c:pt idx="4">
                  <c:v>12.089921428571428</c:v>
                </c:pt>
                <c:pt idx="5">
                  <c:v>12.752307692307692</c:v>
                </c:pt>
                <c:pt idx="6">
                  <c:v>11.966363636363637</c:v>
                </c:pt>
                <c:pt idx="7">
                  <c:v>13.247857142857145</c:v>
                </c:pt>
                <c:pt idx="8">
                  <c:v>11.822352941176472</c:v>
                </c:pt>
                <c:pt idx="9">
                  <c:v>11.243529411764706</c:v>
                </c:pt>
                <c:pt idx="10">
                  <c:v>12.559285714285716</c:v>
                </c:pt>
                <c:pt idx="11">
                  <c:v>12.078823529411764</c:v>
                </c:pt>
                <c:pt idx="12">
                  <c:v>10.618666666666668</c:v>
                </c:pt>
                <c:pt idx="13">
                  <c:v>10.643333333333334</c:v>
                </c:pt>
                <c:pt idx="14">
                  <c:v>12.234999999999999</c:v>
                </c:pt>
                <c:pt idx="15">
                  <c:v>13.986363636363633</c:v>
                </c:pt>
                <c:pt idx="16">
                  <c:v>11.901764705882352</c:v>
                </c:pt>
                <c:pt idx="17">
                  <c:v>11.747222222222224</c:v>
                </c:pt>
                <c:pt idx="18">
                  <c:v>11.093125000000001</c:v>
                </c:pt>
                <c:pt idx="19">
                  <c:v>11.944375000000003</c:v>
                </c:pt>
                <c:pt idx="20">
                  <c:v>10.854666666666668</c:v>
                </c:pt>
                <c:pt idx="21">
                  <c:v>13.168888888888889</c:v>
                </c:pt>
                <c:pt idx="22">
                  <c:v>12.481176470588235</c:v>
                </c:pt>
                <c:pt idx="23">
                  <c:v>11.434117647058823</c:v>
                </c:pt>
                <c:pt idx="24">
                  <c:v>11.537058823529412</c:v>
                </c:pt>
                <c:pt idx="25">
                  <c:v>12.477058823529411</c:v>
                </c:pt>
                <c:pt idx="26">
                  <c:v>12.25625</c:v>
                </c:pt>
                <c:pt idx="27">
                  <c:v>12.524374999999999</c:v>
                </c:pt>
                <c:pt idx="28">
                  <c:v>12.302352941176471</c:v>
                </c:pt>
                <c:pt idx="29">
                  <c:v>14.822222222222226</c:v>
                </c:pt>
                <c:pt idx="30">
                  <c:v>14.932142857142855</c:v>
                </c:pt>
                <c:pt idx="31">
                  <c:v>13.255625</c:v>
                </c:pt>
                <c:pt idx="32">
                  <c:v>14.102857142857143</c:v>
                </c:pt>
                <c:pt idx="33">
                  <c:v>12.074666666666669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FA-4A15-969D-08C5CD48FAA0}"/>
            </c:ext>
          </c:extLst>
        </c:ser>
        <c:ser>
          <c:idx val="0"/>
          <c:order val="1"/>
          <c:tx>
            <c:strRef>
              <c:f>'D3'!$O$2</c:f>
              <c:strCache>
                <c:ptCount val="1"/>
                <c:pt idx="0">
                  <c:v>Surface Average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C00000"/>
                </a:solidFill>
                <a:prstDash val="dash"/>
              </a:ln>
              <a:effectLst/>
            </c:spPr>
          </c:marker>
          <c:xVal>
            <c:numRef>
              <c:f>'D3'!$M$3:$M$36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xVal>
          <c:yVal>
            <c:numRef>
              <c:f>'D3'!$O$3:$O$36</c:f>
              <c:numCache>
                <c:formatCode>General</c:formatCode>
                <c:ptCount val="34"/>
                <c:pt idx="0">
                  <c:v>16.067700000000002</c:v>
                </c:pt>
                <c:pt idx="1">
                  <c:v>12.030142857142858</c:v>
                </c:pt>
                <c:pt idx="2">
                  <c:v>15.15632857142857</c:v>
                </c:pt>
                <c:pt idx="3">
                  <c:v>13.555624999999999</c:v>
                </c:pt>
                <c:pt idx="4">
                  <c:v>14.166666666666664</c:v>
                </c:pt>
                <c:pt idx="5">
                  <c:v>14.767692307692309</c:v>
                </c:pt>
                <c:pt idx="6">
                  <c:v>13.700769230769229</c:v>
                </c:pt>
                <c:pt idx="7">
                  <c:v>14.883750000000003</c:v>
                </c:pt>
                <c:pt idx="8">
                  <c:v>13.362352941176468</c:v>
                </c:pt>
                <c:pt idx="9">
                  <c:v>12.615882352941178</c:v>
                </c:pt>
                <c:pt idx="10">
                  <c:v>15.161250000000001</c:v>
                </c:pt>
                <c:pt idx="11">
                  <c:v>13.691764705882354</c:v>
                </c:pt>
                <c:pt idx="12">
                  <c:v>12.397333333333334</c:v>
                </c:pt>
                <c:pt idx="13">
                  <c:v>12.882857142857143</c:v>
                </c:pt>
                <c:pt idx="14">
                  <c:v>13.782666666666668</c:v>
                </c:pt>
                <c:pt idx="15">
                  <c:v>16.405454545454543</c:v>
                </c:pt>
                <c:pt idx="16">
                  <c:v>13.581176470588233</c:v>
                </c:pt>
                <c:pt idx="17">
                  <c:v>12.99388888888889</c:v>
                </c:pt>
                <c:pt idx="18">
                  <c:v>12.950000000000001</c:v>
                </c:pt>
                <c:pt idx="19">
                  <c:v>13.709999999999999</c:v>
                </c:pt>
                <c:pt idx="20">
                  <c:v>13.479285714285714</c:v>
                </c:pt>
                <c:pt idx="21">
                  <c:v>14.601111111111114</c:v>
                </c:pt>
                <c:pt idx="22">
                  <c:v>14.272941176470589</c:v>
                </c:pt>
                <c:pt idx="23">
                  <c:v>13.401764705882353</c:v>
                </c:pt>
                <c:pt idx="24">
                  <c:v>13.224117647058824</c:v>
                </c:pt>
                <c:pt idx="25">
                  <c:v>13.802352941176471</c:v>
                </c:pt>
                <c:pt idx="26">
                  <c:v>13.985625000000001</c:v>
                </c:pt>
                <c:pt idx="27">
                  <c:v>14.790000000000003</c:v>
                </c:pt>
                <c:pt idx="28">
                  <c:v>13.906470588235294</c:v>
                </c:pt>
                <c:pt idx="29">
                  <c:v>16.913333333333334</c:v>
                </c:pt>
                <c:pt idx="30">
                  <c:v>17.242142857142856</c:v>
                </c:pt>
                <c:pt idx="31">
                  <c:v>14.706875000000002</c:v>
                </c:pt>
                <c:pt idx="32">
                  <c:v>15.662857142857145</c:v>
                </c:pt>
                <c:pt idx="33">
                  <c:v>14.156666666666668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FA-4A15-969D-08C5CD48F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6944"/>
        <c:axId val="169528424"/>
      </c:scatterChart>
      <c:valAx>
        <c:axId val="168676944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8424"/>
        <c:crosses val="autoZero"/>
        <c:crossBetween val="midCat"/>
      </c:valAx>
      <c:valAx>
        <c:axId val="169528424"/>
        <c:scaling>
          <c:orientation val="minMax"/>
          <c:max val="18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6944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1994-2024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09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Average Bottom Temperature</c:v>
          </c:tx>
          <c:spPr>
            <a:ln w="254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70C0"/>
                </a:solidFill>
                <a:prstDash val="solid"/>
              </a:ln>
              <a:effectLst/>
            </c:spPr>
          </c:marker>
          <c:xVal>
            <c:numRef>
              <c:f>'09'!$N$2:$N$31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'09'!$P$2:$P$31</c:f>
              <c:numCache>
                <c:formatCode>General</c:formatCode>
                <c:ptCount val="30"/>
                <c:pt idx="0">
                  <c:v>10.939418181818182</c:v>
                </c:pt>
                <c:pt idx="1">
                  <c:v>12.407272727272726</c:v>
                </c:pt>
                <c:pt idx="2">
                  <c:v>12.334166666666667</c:v>
                </c:pt>
                <c:pt idx="3">
                  <c:v>12.317500000000001</c:v>
                </c:pt>
                <c:pt idx="4">
                  <c:v>13.787999999999998</c:v>
                </c:pt>
                <c:pt idx="5">
                  <c:v>11.896153846153847</c:v>
                </c:pt>
                <c:pt idx="6">
                  <c:v>12.696428571428571</c:v>
                </c:pt>
                <c:pt idx="7">
                  <c:v>13.567333333333334</c:v>
                </c:pt>
                <c:pt idx="8">
                  <c:v>11.932142857142855</c:v>
                </c:pt>
                <c:pt idx="9">
                  <c:v>13.096923076923076</c:v>
                </c:pt>
                <c:pt idx="10">
                  <c:v>12.347333333333333</c:v>
                </c:pt>
                <c:pt idx="11">
                  <c:v>15.034166666666664</c:v>
                </c:pt>
                <c:pt idx="12">
                  <c:v>13.695999999999998</c:v>
                </c:pt>
                <c:pt idx="13">
                  <c:v>13.208666666666666</c:v>
                </c:pt>
                <c:pt idx="14">
                  <c:v>12.947333333333335</c:v>
                </c:pt>
                <c:pt idx="15">
                  <c:v>13.259999999999998</c:v>
                </c:pt>
                <c:pt idx="16">
                  <c:v>12.929333333333334</c:v>
                </c:pt>
                <c:pt idx="17">
                  <c:v>15.017333333333333</c:v>
                </c:pt>
                <c:pt idx="18">
                  <c:v>13.8675</c:v>
                </c:pt>
                <c:pt idx="19">
                  <c:v>12.811250000000003</c:v>
                </c:pt>
                <c:pt idx="20">
                  <c:v>13.054999999999998</c:v>
                </c:pt>
                <c:pt idx="21">
                  <c:v>14.363125</c:v>
                </c:pt>
                <c:pt idx="22">
                  <c:v>13.925333333333331</c:v>
                </c:pt>
                <c:pt idx="23">
                  <c:v>13.764375000000001</c:v>
                </c:pt>
                <c:pt idx="24">
                  <c:v>13.356249999999999</c:v>
                </c:pt>
                <c:pt idx="25">
                  <c:v>16.026</c:v>
                </c:pt>
                <c:pt idx="26">
                  <c:v>15.518571428571429</c:v>
                </c:pt>
                <c:pt idx="27">
                  <c:v>14.13</c:v>
                </c:pt>
                <c:pt idx="28">
                  <c:v>15.035714285714288</c:v>
                </c:pt>
                <c:pt idx="29">
                  <c:v>12.257142857142856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DA-4C12-AA26-C1DAD900B1E2}"/>
            </c:ext>
          </c:extLst>
        </c:ser>
        <c:ser>
          <c:idx val="0"/>
          <c:order val="1"/>
          <c:tx>
            <c:v>Average Surface Temperature</c:v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C00000"/>
                </a:solidFill>
                <a:prstDash val="dash"/>
              </a:ln>
              <a:effectLst/>
            </c:spPr>
          </c:marker>
          <c:xVal>
            <c:numRef>
              <c:f>'09'!$N$2:$N$31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'09'!$O$2:$O$31</c:f>
              <c:numCache>
                <c:formatCode>General</c:formatCode>
                <c:ptCount val="30"/>
                <c:pt idx="0">
                  <c:v>13.980106666666666</c:v>
                </c:pt>
                <c:pt idx="1">
                  <c:v>14.160769230769231</c:v>
                </c:pt>
                <c:pt idx="2">
                  <c:v>13.790000000000001</c:v>
                </c:pt>
                <c:pt idx="3">
                  <c:v>15.07625</c:v>
                </c:pt>
                <c:pt idx="4">
                  <c:v>14.30533333333333</c:v>
                </c:pt>
                <c:pt idx="5">
                  <c:v>13.380666666666665</c:v>
                </c:pt>
                <c:pt idx="6">
                  <c:v>13.127142857142855</c:v>
                </c:pt>
                <c:pt idx="7">
                  <c:v>13.930666666666665</c:v>
                </c:pt>
                <c:pt idx="8">
                  <c:v>12.846428571428572</c:v>
                </c:pt>
                <c:pt idx="9">
                  <c:v>13.442307692307695</c:v>
                </c:pt>
                <c:pt idx="10">
                  <c:v>13.011333333333333</c:v>
                </c:pt>
                <c:pt idx="11">
                  <c:v>15.477499999999999</c:v>
                </c:pt>
                <c:pt idx="12">
                  <c:v>14.209333333333332</c:v>
                </c:pt>
                <c:pt idx="13">
                  <c:v>14.074374999999998</c:v>
                </c:pt>
                <c:pt idx="14">
                  <c:v>13.471333333333332</c:v>
                </c:pt>
                <c:pt idx="15">
                  <c:v>13.871333333333332</c:v>
                </c:pt>
                <c:pt idx="16">
                  <c:v>13.753333333333332</c:v>
                </c:pt>
                <c:pt idx="17">
                  <c:v>15.099375</c:v>
                </c:pt>
                <c:pt idx="18">
                  <c:v>14.6275</c:v>
                </c:pt>
                <c:pt idx="19">
                  <c:v>13.408750000000001</c:v>
                </c:pt>
                <c:pt idx="20">
                  <c:v>13.816874999999998</c:v>
                </c:pt>
                <c:pt idx="21">
                  <c:v>14.838125</c:v>
                </c:pt>
                <c:pt idx="22">
                  <c:v>14.343333333333334</c:v>
                </c:pt>
                <c:pt idx="23">
                  <c:v>14.193125000000002</c:v>
                </c:pt>
                <c:pt idx="24">
                  <c:v>13.893125</c:v>
                </c:pt>
                <c:pt idx="25">
                  <c:v>17.330000000000002</c:v>
                </c:pt>
                <c:pt idx="26">
                  <c:v>16.316923076923079</c:v>
                </c:pt>
                <c:pt idx="27">
                  <c:v>14.486875</c:v>
                </c:pt>
                <c:pt idx="28">
                  <c:v>15.67642857142857</c:v>
                </c:pt>
                <c:pt idx="29">
                  <c:v>13.312857142857142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DA-4C12-AA26-C1DAD900B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5768"/>
        <c:axId val="168676160"/>
      </c:scatterChart>
      <c:valAx>
        <c:axId val="168675768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6160"/>
        <c:crosses val="autoZero"/>
        <c:crossBetween val="midCat"/>
      </c:valAx>
      <c:valAx>
        <c:axId val="168676160"/>
        <c:scaling>
          <c:orientation val="minMax"/>
          <c:max val="18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57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1994-2024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15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Average Bottom Temperature</c:v>
          </c:tx>
          <c:spPr>
            <a:ln w="254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70C0"/>
                </a:solidFill>
                <a:prstDash val="solid"/>
              </a:ln>
              <a:effectLst/>
            </c:spPr>
          </c:marker>
          <c:xVal>
            <c:numRef>
              <c:f>'15'!$N$2:$N$31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'15'!$P$2:$P$31</c:f>
              <c:numCache>
                <c:formatCode>General</c:formatCode>
                <c:ptCount val="30"/>
                <c:pt idx="0">
                  <c:v>12.982142857142858</c:v>
                </c:pt>
                <c:pt idx="1">
                  <c:v>12.006153846153845</c:v>
                </c:pt>
                <c:pt idx="2">
                  <c:v>11.157</c:v>
                </c:pt>
                <c:pt idx="3">
                  <c:v>14.535678571428573</c:v>
                </c:pt>
                <c:pt idx="4">
                  <c:v>13.947333333333335</c:v>
                </c:pt>
                <c:pt idx="5">
                  <c:v>13.770714285714288</c:v>
                </c:pt>
                <c:pt idx="6">
                  <c:v>13.274285714285714</c:v>
                </c:pt>
                <c:pt idx="7">
                  <c:v>13.572142857142859</c:v>
                </c:pt>
                <c:pt idx="8">
                  <c:v>12.261428571428572</c:v>
                </c:pt>
                <c:pt idx="9">
                  <c:v>12.59</c:v>
                </c:pt>
                <c:pt idx="10">
                  <c:v>12.33714285714286</c:v>
                </c:pt>
                <c:pt idx="11">
                  <c:v>14.085384615384616</c:v>
                </c:pt>
                <c:pt idx="12">
                  <c:v>12.912000000000001</c:v>
                </c:pt>
                <c:pt idx="13">
                  <c:v>12.908571428571429</c:v>
                </c:pt>
                <c:pt idx="14">
                  <c:v>12.427999999999999</c:v>
                </c:pt>
                <c:pt idx="15">
                  <c:v>13.143333333333333</c:v>
                </c:pt>
                <c:pt idx="16">
                  <c:v>12.600714285714286</c:v>
                </c:pt>
                <c:pt idx="17">
                  <c:v>14.640000000000002</c:v>
                </c:pt>
                <c:pt idx="18">
                  <c:v>14.009375</c:v>
                </c:pt>
                <c:pt idx="19">
                  <c:v>13.1425</c:v>
                </c:pt>
                <c:pt idx="20">
                  <c:v>13.094374999999999</c:v>
                </c:pt>
                <c:pt idx="21">
                  <c:v>14.889375000000001</c:v>
                </c:pt>
                <c:pt idx="22">
                  <c:v>13.627333333333334</c:v>
                </c:pt>
                <c:pt idx="23">
                  <c:v>13.470625000000002</c:v>
                </c:pt>
                <c:pt idx="24">
                  <c:v>13.50625</c:v>
                </c:pt>
                <c:pt idx="25">
                  <c:v>15.269090909090909</c:v>
                </c:pt>
                <c:pt idx="26">
                  <c:v>16.039285714285711</c:v>
                </c:pt>
                <c:pt idx="27">
                  <c:v>14.098571428571429</c:v>
                </c:pt>
                <c:pt idx="28">
                  <c:v>14.803571428571429</c:v>
                </c:pt>
                <c:pt idx="29">
                  <c:v>13.423636363636364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68-43B5-BA3A-5A37BB0BAF97}"/>
            </c:ext>
          </c:extLst>
        </c:ser>
        <c:ser>
          <c:idx val="0"/>
          <c:order val="1"/>
          <c:tx>
            <c:v>Average Surface Temperature</c:v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C00000"/>
                </a:solidFill>
                <a:prstDash val="dash"/>
              </a:ln>
              <a:effectLst/>
            </c:spPr>
          </c:marker>
          <c:xVal>
            <c:numRef>
              <c:f>'15'!$N$2:$N$31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'15'!$O$2:$O$31</c:f>
              <c:numCache>
                <c:formatCode>General</c:formatCode>
                <c:ptCount val="30"/>
                <c:pt idx="0">
                  <c:v>14.064666666666666</c:v>
                </c:pt>
                <c:pt idx="1">
                  <c:v>13.749285714285715</c:v>
                </c:pt>
                <c:pt idx="2">
                  <c:v>13.690769230769231</c:v>
                </c:pt>
                <c:pt idx="3">
                  <c:v>16.445006666666664</c:v>
                </c:pt>
                <c:pt idx="4">
                  <c:v>14.888000000000002</c:v>
                </c:pt>
                <c:pt idx="5">
                  <c:v>14.539285714285715</c:v>
                </c:pt>
                <c:pt idx="6">
                  <c:v>14.182142857142855</c:v>
                </c:pt>
                <c:pt idx="7">
                  <c:v>14.182142857142859</c:v>
                </c:pt>
                <c:pt idx="8">
                  <c:v>13.337857142857144</c:v>
                </c:pt>
                <c:pt idx="9">
                  <c:v>13.718571428571432</c:v>
                </c:pt>
                <c:pt idx="10">
                  <c:v>13.657142857142857</c:v>
                </c:pt>
                <c:pt idx="11">
                  <c:v>15.958461538461536</c:v>
                </c:pt>
                <c:pt idx="12">
                  <c:v>13.697333333333336</c:v>
                </c:pt>
                <c:pt idx="13">
                  <c:v>14.158666666666671</c:v>
                </c:pt>
                <c:pt idx="14">
                  <c:v>13.479333333333335</c:v>
                </c:pt>
                <c:pt idx="15">
                  <c:v>14.652666666666667</c:v>
                </c:pt>
                <c:pt idx="16">
                  <c:v>14.173999999999999</c:v>
                </c:pt>
                <c:pt idx="17">
                  <c:v>15.662500000000001</c:v>
                </c:pt>
                <c:pt idx="18">
                  <c:v>14.938749999999999</c:v>
                </c:pt>
                <c:pt idx="19">
                  <c:v>13.791874999999997</c:v>
                </c:pt>
                <c:pt idx="20">
                  <c:v>14.070625</c:v>
                </c:pt>
                <c:pt idx="21">
                  <c:v>15.960625000000002</c:v>
                </c:pt>
                <c:pt idx="22">
                  <c:v>14.555333333333332</c:v>
                </c:pt>
                <c:pt idx="23">
                  <c:v>14.441249999999998</c:v>
                </c:pt>
                <c:pt idx="24">
                  <c:v>14.727500000000001</c:v>
                </c:pt>
                <c:pt idx="25">
                  <c:v>16.393636363636361</c:v>
                </c:pt>
                <c:pt idx="26">
                  <c:v>17.339285714285712</c:v>
                </c:pt>
                <c:pt idx="27">
                  <c:v>15.270714285714282</c:v>
                </c:pt>
                <c:pt idx="28">
                  <c:v>15.995000000000001</c:v>
                </c:pt>
                <c:pt idx="29">
                  <c:v>15.592499999999999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68-43B5-BA3A-5A37BB0BA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5768"/>
        <c:axId val="168676160"/>
      </c:scatterChart>
      <c:valAx>
        <c:axId val="168675768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6160"/>
        <c:crosses val="autoZero"/>
        <c:crossBetween val="midCat"/>
      </c:valAx>
      <c:valAx>
        <c:axId val="168676160"/>
        <c:scaling>
          <c:orientation val="minMax"/>
          <c:max val="18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57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1995-2024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E1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Bottom Temperature</c:v>
          </c:tx>
          <c:spPr>
            <a:ln w="254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  <a:prstDash val="solid"/>
              </a:ln>
              <a:effectLst/>
            </c:spPr>
          </c:marker>
          <c:xVal>
            <c:numRef>
              <c:f>'E1'!$N$2:$N$31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'E1'!$P$2:$P$31</c:f>
              <c:numCache>
                <c:formatCode>General</c:formatCode>
                <c:ptCount val="30"/>
                <c:pt idx="0">
                  <c:v>12.180571428571429</c:v>
                </c:pt>
                <c:pt idx="1">
                  <c:v>11.984285714285713</c:v>
                </c:pt>
                <c:pt idx="2">
                  <c:v>12.348000000000001</c:v>
                </c:pt>
                <c:pt idx="3">
                  <c:v>13.829230769230769</c:v>
                </c:pt>
                <c:pt idx="4">
                  <c:v>13.104666666666667</c:v>
                </c:pt>
                <c:pt idx="5">
                  <c:v>12.089285714285714</c:v>
                </c:pt>
                <c:pt idx="6">
                  <c:v>12.367857142857144</c:v>
                </c:pt>
                <c:pt idx="7">
                  <c:v>12.958</c:v>
                </c:pt>
                <c:pt idx="8">
                  <c:v>11.277142857142859</c:v>
                </c:pt>
                <c:pt idx="9">
                  <c:v>11.922307692307694</c:v>
                </c:pt>
                <c:pt idx="10">
                  <c:v>11.531428571428572</c:v>
                </c:pt>
                <c:pt idx="11">
                  <c:v>13.45923076923077</c:v>
                </c:pt>
                <c:pt idx="12">
                  <c:v>12.671428571428573</c:v>
                </c:pt>
                <c:pt idx="13">
                  <c:v>12.39133333333333</c:v>
                </c:pt>
                <c:pt idx="14">
                  <c:v>11.485333333333333</c:v>
                </c:pt>
                <c:pt idx="15">
                  <c:v>12.421333333333335</c:v>
                </c:pt>
                <c:pt idx="16">
                  <c:v>12.276666666666667</c:v>
                </c:pt>
                <c:pt idx="17">
                  <c:v>14.160666666666666</c:v>
                </c:pt>
                <c:pt idx="18">
                  <c:v>12.928750000000001</c:v>
                </c:pt>
                <c:pt idx="19">
                  <c:v>12.018666666666665</c:v>
                </c:pt>
                <c:pt idx="20">
                  <c:v>12.310625</c:v>
                </c:pt>
                <c:pt idx="21">
                  <c:v>13.841333333333331</c:v>
                </c:pt>
                <c:pt idx="22">
                  <c:v>12.688666666666666</c:v>
                </c:pt>
                <c:pt idx="23">
                  <c:v>12.38</c:v>
                </c:pt>
                <c:pt idx="24">
                  <c:v>12.778749999999999</c:v>
                </c:pt>
                <c:pt idx="25">
                  <c:v>14.540909090909089</c:v>
                </c:pt>
                <c:pt idx="26">
                  <c:v>14.77</c:v>
                </c:pt>
                <c:pt idx="27">
                  <c:v>13.274374999999997</c:v>
                </c:pt>
                <c:pt idx="28">
                  <c:v>13.826153846153847</c:v>
                </c:pt>
                <c:pt idx="29">
                  <c:v>12.078666666666667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58-495C-9BB7-F1DFFDDD203D}"/>
            </c:ext>
          </c:extLst>
        </c:ser>
        <c:ser>
          <c:idx val="1"/>
          <c:order val="1"/>
          <c:tx>
            <c:v>Average Surface Temperature</c:v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dash"/>
              </a:ln>
              <a:effectLst/>
            </c:spPr>
          </c:marker>
          <c:xVal>
            <c:numRef>
              <c:f>'E1'!$N$2:$N$31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'E1'!$O$2:$O$31</c:f>
              <c:numCache>
                <c:formatCode>General</c:formatCode>
                <c:ptCount val="30"/>
                <c:pt idx="0">
                  <c:v>14.91642857142857</c:v>
                </c:pt>
                <c:pt idx="1">
                  <c:v>13.967857142857143</c:v>
                </c:pt>
                <c:pt idx="2">
                  <c:v>14.046666666666665</c:v>
                </c:pt>
                <c:pt idx="3">
                  <c:v>16.518571428571427</c:v>
                </c:pt>
                <c:pt idx="4">
                  <c:v>14.965999999999999</c:v>
                </c:pt>
                <c:pt idx="5">
                  <c:v>13.919333333333334</c:v>
                </c:pt>
                <c:pt idx="6">
                  <c:v>14.207857142857138</c:v>
                </c:pt>
                <c:pt idx="7">
                  <c:v>14.735999999999999</c:v>
                </c:pt>
                <c:pt idx="8">
                  <c:v>13.693571428571429</c:v>
                </c:pt>
                <c:pt idx="9">
                  <c:v>14.234615384615385</c:v>
                </c:pt>
                <c:pt idx="10">
                  <c:v>14.033571428571429</c:v>
                </c:pt>
                <c:pt idx="11">
                  <c:v>15.879230769230768</c:v>
                </c:pt>
                <c:pt idx="12">
                  <c:v>15.032857142857143</c:v>
                </c:pt>
                <c:pt idx="13">
                  <c:v>14.257999999999999</c:v>
                </c:pt>
                <c:pt idx="14">
                  <c:v>13.67</c:v>
                </c:pt>
                <c:pt idx="15">
                  <c:v>14.324000000000002</c:v>
                </c:pt>
                <c:pt idx="16">
                  <c:v>14.346666666666666</c:v>
                </c:pt>
                <c:pt idx="17">
                  <c:v>15.657999999999999</c:v>
                </c:pt>
                <c:pt idx="18">
                  <c:v>14.936249999999998</c:v>
                </c:pt>
                <c:pt idx="19">
                  <c:v>13.759333333333334</c:v>
                </c:pt>
                <c:pt idx="20">
                  <c:v>14.167499999999999</c:v>
                </c:pt>
                <c:pt idx="21">
                  <c:v>16.087499999999999</c:v>
                </c:pt>
                <c:pt idx="22">
                  <c:v>14.841333333333331</c:v>
                </c:pt>
                <c:pt idx="23">
                  <c:v>14.732499999999998</c:v>
                </c:pt>
                <c:pt idx="24">
                  <c:v>14.591249999999997</c:v>
                </c:pt>
                <c:pt idx="25">
                  <c:v>16.738181818181818</c:v>
                </c:pt>
                <c:pt idx="26">
                  <c:v>17.243571428571425</c:v>
                </c:pt>
                <c:pt idx="27">
                  <c:v>15.300000000000002</c:v>
                </c:pt>
                <c:pt idx="28">
                  <c:v>16.247692307692304</c:v>
                </c:pt>
                <c:pt idx="29">
                  <c:v>14.306666666666668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58-495C-9BB7-F1DFFDDD2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5768"/>
        <c:axId val="168676160"/>
      </c:scatterChart>
      <c:valAx>
        <c:axId val="168675768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6160"/>
        <c:crosses val="autoZero"/>
        <c:crossBetween val="midCat"/>
      </c:valAx>
      <c:valAx>
        <c:axId val="168676160"/>
        <c:scaling>
          <c:orientation val="minMax"/>
          <c:max val="18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57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1995-2024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F2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Bottom Temperature</c:v>
          </c:tx>
          <c:spPr>
            <a:ln w="254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  <a:prstDash val="solid"/>
              </a:ln>
              <a:effectLst/>
            </c:spPr>
          </c:marker>
          <c:xVal>
            <c:numRef>
              <c:f>'F2'!$N$2:$N$31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'F2'!$P$2:$P$31</c:f>
              <c:numCache>
                <c:formatCode>General</c:formatCode>
                <c:ptCount val="30"/>
                <c:pt idx="0">
                  <c:v>12.429021428571428</c:v>
                </c:pt>
                <c:pt idx="1">
                  <c:v>10.799090909090911</c:v>
                </c:pt>
                <c:pt idx="2">
                  <c:v>12.032727272727273</c:v>
                </c:pt>
                <c:pt idx="3">
                  <c:v>13.309999999999999</c:v>
                </c:pt>
                <c:pt idx="4">
                  <c:v>13.346000000000004</c:v>
                </c:pt>
                <c:pt idx="5">
                  <c:v>12.466666666666665</c:v>
                </c:pt>
                <c:pt idx="6">
                  <c:v>12.985714285714286</c:v>
                </c:pt>
                <c:pt idx="7">
                  <c:v>12.524615384615384</c:v>
                </c:pt>
                <c:pt idx="8">
                  <c:v>11.539166666666667</c:v>
                </c:pt>
                <c:pt idx="9">
                  <c:v>12.29076923076923</c:v>
                </c:pt>
                <c:pt idx="10">
                  <c:v>11.903571428571428</c:v>
                </c:pt>
                <c:pt idx="11">
                  <c:v>14.016923076923076</c:v>
                </c:pt>
                <c:pt idx="12">
                  <c:v>13.025</c:v>
                </c:pt>
                <c:pt idx="13">
                  <c:v>12.687333333333333</c:v>
                </c:pt>
                <c:pt idx="14">
                  <c:v>11.974</c:v>
                </c:pt>
                <c:pt idx="15">
                  <c:v>12.651428571428571</c:v>
                </c:pt>
                <c:pt idx="16">
                  <c:v>12.036923076923078</c:v>
                </c:pt>
                <c:pt idx="17">
                  <c:v>13.845333333333333</c:v>
                </c:pt>
                <c:pt idx="18">
                  <c:v>13.319375000000001</c:v>
                </c:pt>
                <c:pt idx="19">
                  <c:v>12.3325</c:v>
                </c:pt>
                <c:pt idx="20">
                  <c:v>12.673124999999999</c:v>
                </c:pt>
                <c:pt idx="21">
                  <c:v>14.41625</c:v>
                </c:pt>
                <c:pt idx="22">
                  <c:v>13.304666666666666</c:v>
                </c:pt>
                <c:pt idx="23">
                  <c:v>12.799375000000001</c:v>
                </c:pt>
                <c:pt idx="24">
                  <c:v>13.060625000000002</c:v>
                </c:pt>
                <c:pt idx="25">
                  <c:v>14.958181818181815</c:v>
                </c:pt>
                <c:pt idx="26">
                  <c:v>15.213571428571429</c:v>
                </c:pt>
                <c:pt idx="27">
                  <c:v>13.734285714285717</c:v>
                </c:pt>
                <c:pt idx="28">
                  <c:v>14.406153846153849</c:v>
                </c:pt>
                <c:pt idx="29">
                  <c:v>13.546923076923077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0E-4D58-A533-48B69CE7C9F9}"/>
            </c:ext>
          </c:extLst>
        </c:ser>
        <c:ser>
          <c:idx val="1"/>
          <c:order val="1"/>
          <c:tx>
            <c:v>Average Surface Temperature</c:v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dash"/>
              </a:ln>
              <a:effectLst/>
            </c:spPr>
          </c:marker>
          <c:xVal>
            <c:numRef>
              <c:f>'F2'!$N$2:$N$31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'F2'!$O$2:$O$31</c:f>
              <c:numCache>
                <c:formatCode>General</c:formatCode>
                <c:ptCount val="30"/>
                <c:pt idx="0">
                  <c:v>14.136666666666667</c:v>
                </c:pt>
                <c:pt idx="1">
                  <c:v>11.936363636363636</c:v>
                </c:pt>
                <c:pt idx="2">
                  <c:v>13.297692307692309</c:v>
                </c:pt>
                <c:pt idx="3">
                  <c:v>14.909333333333334</c:v>
                </c:pt>
                <c:pt idx="4">
                  <c:v>14.526666666666666</c:v>
                </c:pt>
                <c:pt idx="5">
                  <c:v>13.562666666666669</c:v>
                </c:pt>
                <c:pt idx="6">
                  <c:v>14.036428571428573</c:v>
                </c:pt>
                <c:pt idx="7">
                  <c:v>13.126923076923077</c:v>
                </c:pt>
                <c:pt idx="8">
                  <c:v>13.462857142857143</c:v>
                </c:pt>
                <c:pt idx="9">
                  <c:v>13.956153846153846</c:v>
                </c:pt>
                <c:pt idx="10">
                  <c:v>13.510714285714286</c:v>
                </c:pt>
                <c:pt idx="11">
                  <c:v>15.133846153846154</c:v>
                </c:pt>
                <c:pt idx="12">
                  <c:v>14.617142857142856</c:v>
                </c:pt>
                <c:pt idx="13">
                  <c:v>13.776</c:v>
                </c:pt>
                <c:pt idx="14">
                  <c:v>13.226666666666667</c:v>
                </c:pt>
                <c:pt idx="15">
                  <c:v>14.20857142857143</c:v>
                </c:pt>
                <c:pt idx="16">
                  <c:v>13.284615384615384</c:v>
                </c:pt>
                <c:pt idx="17">
                  <c:v>15.065333333333331</c:v>
                </c:pt>
                <c:pt idx="18">
                  <c:v>14.733124999999999</c:v>
                </c:pt>
                <c:pt idx="19">
                  <c:v>14.765999999999998</c:v>
                </c:pt>
                <c:pt idx="20">
                  <c:v>14.215624999999999</c:v>
                </c:pt>
                <c:pt idx="21">
                  <c:v>15.56875</c:v>
                </c:pt>
                <c:pt idx="22">
                  <c:v>14.128000000000002</c:v>
                </c:pt>
                <c:pt idx="23">
                  <c:v>14.498125</c:v>
                </c:pt>
                <c:pt idx="24">
                  <c:v>14.334374999999998</c:v>
                </c:pt>
                <c:pt idx="25">
                  <c:v>16.510909090909092</c:v>
                </c:pt>
                <c:pt idx="26">
                  <c:v>16.680714285714284</c:v>
                </c:pt>
                <c:pt idx="27">
                  <c:v>15.071428571428569</c:v>
                </c:pt>
                <c:pt idx="28">
                  <c:v>15.738461538461538</c:v>
                </c:pt>
                <c:pt idx="29">
                  <c:v>14.75230769230769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0E-4D58-A533-48B69CE7C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5768"/>
        <c:axId val="168676160"/>
      </c:scatterChart>
      <c:valAx>
        <c:axId val="168675768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6160"/>
        <c:crosses val="autoZero"/>
        <c:crossBetween val="midCat"/>
      </c:valAx>
      <c:valAx>
        <c:axId val="168676160"/>
        <c:scaling>
          <c:orientation val="minMax"/>
          <c:max val="18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57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1991-2024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F3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Bottom Temperature</c:v>
          </c:tx>
          <c:spPr>
            <a:ln w="254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  <a:prstDash val="solid"/>
              </a:ln>
              <a:effectLst/>
            </c:spPr>
          </c:marker>
          <c:xVal>
            <c:numRef>
              <c:f>'F3'!$M$2:$M$35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xVal>
          <c:yVal>
            <c:numRef>
              <c:f>'F3'!$O$2:$O$35</c:f>
              <c:numCache>
                <c:formatCode>General</c:formatCode>
                <c:ptCount val="34"/>
                <c:pt idx="0">
                  <c:v>11.743128571428571</c:v>
                </c:pt>
                <c:pt idx="1">
                  <c:v>11.102311111111112</c:v>
                </c:pt>
                <c:pt idx="2">
                  <c:v>10.981400000000001</c:v>
                </c:pt>
                <c:pt idx="3">
                  <c:v>9.9341666666666661</c:v>
                </c:pt>
                <c:pt idx="4">
                  <c:v>12.159128571428571</c:v>
                </c:pt>
                <c:pt idx="5">
                  <c:v>12.926153846153849</c:v>
                </c:pt>
                <c:pt idx="6">
                  <c:v>11.706363636363635</c:v>
                </c:pt>
                <c:pt idx="7">
                  <c:v>12.922666666666666</c:v>
                </c:pt>
                <c:pt idx="8">
                  <c:v>13.196</c:v>
                </c:pt>
                <c:pt idx="9">
                  <c:v>12.176</c:v>
                </c:pt>
                <c:pt idx="10">
                  <c:v>12.445000000000004</c:v>
                </c:pt>
                <c:pt idx="11">
                  <c:v>12.883571428571427</c:v>
                </c:pt>
                <c:pt idx="12">
                  <c:v>11.386428571428571</c:v>
                </c:pt>
                <c:pt idx="13">
                  <c:v>11.619230769230768</c:v>
                </c:pt>
                <c:pt idx="14">
                  <c:v>11.560714285714283</c:v>
                </c:pt>
                <c:pt idx="15">
                  <c:v>13.56307692307692</c:v>
                </c:pt>
                <c:pt idx="16">
                  <c:v>11.981333333333334</c:v>
                </c:pt>
                <c:pt idx="17">
                  <c:v>12.418000000000001</c:v>
                </c:pt>
                <c:pt idx="18">
                  <c:v>11.574666666666667</c:v>
                </c:pt>
                <c:pt idx="19">
                  <c:v>12.486428571428574</c:v>
                </c:pt>
                <c:pt idx="20">
                  <c:v>12.269285714285713</c:v>
                </c:pt>
                <c:pt idx="21">
                  <c:v>13.650666666666668</c:v>
                </c:pt>
                <c:pt idx="22">
                  <c:v>13.054999999999998</c:v>
                </c:pt>
                <c:pt idx="23">
                  <c:v>12.304375</c:v>
                </c:pt>
                <c:pt idx="24">
                  <c:v>12.353333333333333</c:v>
                </c:pt>
                <c:pt idx="25">
                  <c:v>14.291333333333336</c:v>
                </c:pt>
                <c:pt idx="26">
                  <c:v>12.848000000000001</c:v>
                </c:pt>
                <c:pt idx="27">
                  <c:v>12.423750000000004</c:v>
                </c:pt>
                <c:pt idx="28">
                  <c:v>12.307999999999998</c:v>
                </c:pt>
                <c:pt idx="29">
                  <c:v>14.641818181818183</c:v>
                </c:pt>
                <c:pt idx="30">
                  <c:v>14.847142857142856</c:v>
                </c:pt>
                <c:pt idx="31">
                  <c:v>13.71142857142857</c:v>
                </c:pt>
                <c:pt idx="32">
                  <c:v>13.83769230769231</c:v>
                </c:pt>
                <c:pt idx="33">
                  <c:v>13.475384615384614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CE-4B9F-B005-7898E6A843FB}"/>
            </c:ext>
          </c:extLst>
        </c:ser>
        <c:ser>
          <c:idx val="1"/>
          <c:order val="1"/>
          <c:tx>
            <c:v>Average Surface Temperature</c:v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dash"/>
              </a:ln>
              <a:effectLst/>
            </c:spPr>
          </c:marker>
          <c:xVal>
            <c:numRef>
              <c:f>'F3'!$M$2:$M$35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xVal>
          <c:yVal>
            <c:numRef>
              <c:f>'F3'!$N$2:$N$35</c:f>
              <c:numCache>
                <c:formatCode>General</c:formatCode>
                <c:ptCount val="34"/>
                <c:pt idx="0">
                  <c:v>14.057355555555553</c:v>
                </c:pt>
                <c:pt idx="1">
                  <c:v>13.577516666666668</c:v>
                </c:pt>
                <c:pt idx="2">
                  <c:v>15.444425000000001</c:v>
                </c:pt>
                <c:pt idx="3">
                  <c:v>13.642000000000001</c:v>
                </c:pt>
                <c:pt idx="4">
                  <c:v>13.48076923076923</c:v>
                </c:pt>
                <c:pt idx="5">
                  <c:v>13.948571428571427</c:v>
                </c:pt>
                <c:pt idx="6">
                  <c:v>13.644615384615385</c:v>
                </c:pt>
                <c:pt idx="7">
                  <c:v>14.975333333333333</c:v>
                </c:pt>
                <c:pt idx="8">
                  <c:v>15.108666666666666</c:v>
                </c:pt>
                <c:pt idx="9">
                  <c:v>13.598666666666668</c:v>
                </c:pt>
                <c:pt idx="10">
                  <c:v>13.987142857142857</c:v>
                </c:pt>
                <c:pt idx="11">
                  <c:v>14.215000000000002</c:v>
                </c:pt>
                <c:pt idx="12">
                  <c:v>13.58</c:v>
                </c:pt>
                <c:pt idx="13">
                  <c:v>13.815384615384614</c:v>
                </c:pt>
                <c:pt idx="14">
                  <c:v>13.967142857142859</c:v>
                </c:pt>
                <c:pt idx="15">
                  <c:v>15.724615384615383</c:v>
                </c:pt>
                <c:pt idx="16">
                  <c:v>14.091999999999997</c:v>
                </c:pt>
                <c:pt idx="17">
                  <c:v>14.198666666666666</c:v>
                </c:pt>
                <c:pt idx="18">
                  <c:v>13.539333333333333</c:v>
                </c:pt>
                <c:pt idx="19">
                  <c:v>14.680714285714284</c:v>
                </c:pt>
                <c:pt idx="20">
                  <c:v>14.495714285714282</c:v>
                </c:pt>
                <c:pt idx="21">
                  <c:v>15.322666666666663</c:v>
                </c:pt>
                <c:pt idx="22">
                  <c:v>15</c:v>
                </c:pt>
                <c:pt idx="23">
                  <c:v>14.0725</c:v>
                </c:pt>
                <c:pt idx="24">
                  <c:v>14.207999999999998</c:v>
                </c:pt>
                <c:pt idx="25">
                  <c:v>15.670666666666664</c:v>
                </c:pt>
                <c:pt idx="26">
                  <c:v>14.705333333333336</c:v>
                </c:pt>
                <c:pt idx="27">
                  <c:v>14.698125000000001</c:v>
                </c:pt>
                <c:pt idx="28">
                  <c:v>14.021333333333333</c:v>
                </c:pt>
                <c:pt idx="29">
                  <c:v>16.255000000000003</c:v>
                </c:pt>
                <c:pt idx="30">
                  <c:v>17.190714285714286</c:v>
                </c:pt>
                <c:pt idx="31">
                  <c:v>15.31642857142857</c:v>
                </c:pt>
                <c:pt idx="32">
                  <c:v>15.943076923076923</c:v>
                </c:pt>
                <c:pt idx="33">
                  <c:v>15.66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CE-4B9F-B005-7898E6A84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5768"/>
        <c:axId val="168676160"/>
      </c:scatterChart>
      <c:valAx>
        <c:axId val="168675768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6160"/>
        <c:crosses val="autoZero"/>
        <c:crossBetween val="midCat"/>
      </c:valAx>
      <c:valAx>
        <c:axId val="168676160"/>
        <c:scaling>
          <c:orientation val="minMax"/>
          <c:max val="18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57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1995-2024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H2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Bottom Temperature</c:v>
          </c:tx>
          <c:spPr>
            <a:ln w="254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  <a:prstDash val="solid"/>
              </a:ln>
              <a:effectLst/>
            </c:spPr>
          </c:marker>
          <c:xVal>
            <c:numRef>
              <c:f>'H2'!$M$2:$M$31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'H2'!$O$2:$O$31</c:f>
              <c:numCache>
                <c:formatCode>General</c:formatCode>
                <c:ptCount val="30"/>
                <c:pt idx="0">
                  <c:v>12.046215384615383</c:v>
                </c:pt>
                <c:pt idx="1">
                  <c:v>11.267142857142858</c:v>
                </c:pt>
                <c:pt idx="2">
                  <c:v>11.502499999999998</c:v>
                </c:pt>
                <c:pt idx="3">
                  <c:v>12.875384615384615</c:v>
                </c:pt>
                <c:pt idx="4">
                  <c:v>13.507999999999999</c:v>
                </c:pt>
                <c:pt idx="5">
                  <c:v>12.810666666666666</c:v>
                </c:pt>
                <c:pt idx="6">
                  <c:v>12.837692307692306</c:v>
                </c:pt>
                <c:pt idx="7">
                  <c:v>12.862307692307693</c:v>
                </c:pt>
                <c:pt idx="8">
                  <c:v>12.125454545454547</c:v>
                </c:pt>
                <c:pt idx="9">
                  <c:v>12.416153846153849</c:v>
                </c:pt>
                <c:pt idx="10">
                  <c:v>12.447142857142856</c:v>
                </c:pt>
                <c:pt idx="11">
                  <c:v>14.144166666666669</c:v>
                </c:pt>
                <c:pt idx="12">
                  <c:v>13.137857142857145</c:v>
                </c:pt>
                <c:pt idx="13">
                  <c:v>12.296153846153846</c:v>
                </c:pt>
                <c:pt idx="14">
                  <c:v>12.123571428571427</c:v>
                </c:pt>
                <c:pt idx="15">
                  <c:v>12.991428571428573</c:v>
                </c:pt>
                <c:pt idx="16">
                  <c:v>12.618333333333332</c:v>
                </c:pt>
                <c:pt idx="17">
                  <c:v>14.035</c:v>
                </c:pt>
                <c:pt idx="18">
                  <c:v>13.562000000000001</c:v>
                </c:pt>
                <c:pt idx="19">
                  <c:v>12.535333333333334</c:v>
                </c:pt>
                <c:pt idx="20">
                  <c:v>12.04857142857143</c:v>
                </c:pt>
                <c:pt idx="21">
                  <c:v>14.712</c:v>
                </c:pt>
                <c:pt idx="22">
                  <c:v>14.08</c:v>
                </c:pt>
                <c:pt idx="23">
                  <c:v>13.55153846153846</c:v>
                </c:pt>
                <c:pt idx="24">
                  <c:v>12.744285714285713</c:v>
                </c:pt>
                <c:pt idx="25">
                  <c:v>16.333000000000002</c:v>
                </c:pt>
                <c:pt idx="26">
                  <c:v>15.774545454545454</c:v>
                </c:pt>
                <c:pt idx="27">
                  <c:v>13.8925</c:v>
                </c:pt>
                <c:pt idx="28">
                  <c:v>15.142307692307689</c:v>
                </c:pt>
                <c:pt idx="29">
                  <c:v>13.64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66-4F8E-9D0A-C7E606665026}"/>
            </c:ext>
          </c:extLst>
        </c:ser>
        <c:ser>
          <c:idx val="1"/>
          <c:order val="1"/>
          <c:tx>
            <c:v>Average Surface Temperature</c:v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dash"/>
              </a:ln>
              <a:effectLst/>
            </c:spPr>
          </c:marker>
          <c:xVal>
            <c:numRef>
              <c:f>'H2'!$M$2:$M$31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'H2'!$N$2:$N$31</c:f>
              <c:numCache>
                <c:formatCode>General</c:formatCode>
                <c:ptCount val="30"/>
                <c:pt idx="0">
                  <c:v>14.056428571428572</c:v>
                </c:pt>
                <c:pt idx="1">
                  <c:v>13.232666666666667</c:v>
                </c:pt>
                <c:pt idx="2">
                  <c:v>12.515384615384617</c:v>
                </c:pt>
                <c:pt idx="3">
                  <c:v>15.024666666666668</c:v>
                </c:pt>
                <c:pt idx="4">
                  <c:v>14.665999999999999</c:v>
                </c:pt>
                <c:pt idx="5">
                  <c:v>13.547333333333334</c:v>
                </c:pt>
                <c:pt idx="6">
                  <c:v>13.929230769230768</c:v>
                </c:pt>
                <c:pt idx="7">
                  <c:v>13.780769230769231</c:v>
                </c:pt>
                <c:pt idx="8">
                  <c:v>14.125454545454545</c:v>
                </c:pt>
                <c:pt idx="9">
                  <c:v>13.604615384615386</c:v>
                </c:pt>
                <c:pt idx="10">
                  <c:v>14.055714285714286</c:v>
                </c:pt>
                <c:pt idx="11">
                  <c:v>15.349999999999996</c:v>
                </c:pt>
                <c:pt idx="12">
                  <c:v>14.37785714285714</c:v>
                </c:pt>
                <c:pt idx="13">
                  <c:v>13.413846153846153</c:v>
                </c:pt>
                <c:pt idx="14">
                  <c:v>13.524285714285716</c:v>
                </c:pt>
                <c:pt idx="15">
                  <c:v>14.932857142857143</c:v>
                </c:pt>
                <c:pt idx="16">
                  <c:v>14.068461538461539</c:v>
                </c:pt>
                <c:pt idx="17">
                  <c:v>14.715</c:v>
                </c:pt>
                <c:pt idx="18">
                  <c:v>15.022666666666664</c:v>
                </c:pt>
                <c:pt idx="19">
                  <c:v>13.848000000000003</c:v>
                </c:pt>
                <c:pt idx="20">
                  <c:v>13.354571428571429</c:v>
                </c:pt>
                <c:pt idx="21">
                  <c:v>16.163333333333334</c:v>
                </c:pt>
                <c:pt idx="22">
                  <c:v>15.340769230769231</c:v>
                </c:pt>
                <c:pt idx="23">
                  <c:v>15.190769230769233</c:v>
                </c:pt>
                <c:pt idx="24">
                  <c:v>13.927142857142858</c:v>
                </c:pt>
                <c:pt idx="25">
                  <c:v>18.315000000000001</c:v>
                </c:pt>
                <c:pt idx="26">
                  <c:v>16.645454545454541</c:v>
                </c:pt>
                <c:pt idx="27">
                  <c:v>15.4275</c:v>
                </c:pt>
                <c:pt idx="28">
                  <c:v>16.232307692307696</c:v>
                </c:pt>
                <c:pt idx="29">
                  <c:v>14.9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66-4F8E-9D0A-C7E606665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5768"/>
        <c:axId val="168676160"/>
      </c:scatterChart>
      <c:valAx>
        <c:axId val="168675768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6160"/>
        <c:crosses val="autoZero"/>
        <c:crossBetween val="midCat"/>
      </c:valAx>
      <c:valAx>
        <c:axId val="168676160"/>
        <c:scaling>
          <c:orientation val="minMax"/>
          <c:max val="2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57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1995-2024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H4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Bottom Temperature</c:v>
          </c:tx>
          <c:spPr>
            <a:ln w="254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  <a:prstDash val="solid"/>
              </a:ln>
              <a:effectLst/>
            </c:spPr>
          </c:marker>
          <c:xVal>
            <c:numRef>
              <c:f>'H4'!$M$2:$M$31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'H4'!$O$2:$O$31</c:f>
              <c:numCache>
                <c:formatCode>General</c:formatCode>
                <c:ptCount val="30"/>
                <c:pt idx="0">
                  <c:v>12.544592857142858</c:v>
                </c:pt>
                <c:pt idx="1">
                  <c:v>11.694666666666667</c:v>
                </c:pt>
                <c:pt idx="2">
                  <c:v>11.813076923076922</c:v>
                </c:pt>
                <c:pt idx="3">
                  <c:v>13.059285714285716</c:v>
                </c:pt>
                <c:pt idx="4">
                  <c:v>13.410666666666666</c:v>
                </c:pt>
                <c:pt idx="5">
                  <c:v>13.020714285714286</c:v>
                </c:pt>
                <c:pt idx="6">
                  <c:v>13.17818181818182</c:v>
                </c:pt>
                <c:pt idx="7">
                  <c:v>13.150714285714287</c:v>
                </c:pt>
                <c:pt idx="8">
                  <c:v>11.800769230769228</c:v>
                </c:pt>
                <c:pt idx="9">
                  <c:v>11.762307692307692</c:v>
                </c:pt>
                <c:pt idx="10">
                  <c:v>12.049285714285718</c:v>
                </c:pt>
                <c:pt idx="11">
                  <c:v>14.112500000000002</c:v>
                </c:pt>
                <c:pt idx="12">
                  <c:v>12.293571428571429</c:v>
                </c:pt>
                <c:pt idx="13">
                  <c:v>11.926923076923076</c:v>
                </c:pt>
                <c:pt idx="14">
                  <c:v>11.828571428571427</c:v>
                </c:pt>
                <c:pt idx="15">
                  <c:v>12.79857142857143</c:v>
                </c:pt>
                <c:pt idx="16">
                  <c:v>12.725714285714288</c:v>
                </c:pt>
                <c:pt idx="17">
                  <c:v>13.959999999999999</c:v>
                </c:pt>
                <c:pt idx="18">
                  <c:v>12.682142857142859</c:v>
                </c:pt>
                <c:pt idx="19">
                  <c:v>12.464</c:v>
                </c:pt>
                <c:pt idx="20">
                  <c:v>12.079333333333333</c:v>
                </c:pt>
                <c:pt idx="21">
                  <c:v>14.307142857142855</c:v>
                </c:pt>
                <c:pt idx="22">
                  <c:v>13.147142857142857</c:v>
                </c:pt>
                <c:pt idx="23">
                  <c:v>12.422857142857142</c:v>
                </c:pt>
                <c:pt idx="24">
                  <c:v>12.597857142857142</c:v>
                </c:pt>
                <c:pt idx="25">
                  <c:v>15.05818181818182</c:v>
                </c:pt>
                <c:pt idx="26">
                  <c:v>14.639999999999999</c:v>
                </c:pt>
                <c:pt idx="27">
                  <c:v>14.00923076923077</c:v>
                </c:pt>
                <c:pt idx="28">
                  <c:v>14.847500000000002</c:v>
                </c:pt>
                <c:pt idx="29">
                  <c:v>13.424166666666665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55-4F39-B4B4-BBDC8FB0986C}"/>
            </c:ext>
          </c:extLst>
        </c:ser>
        <c:ser>
          <c:idx val="1"/>
          <c:order val="1"/>
          <c:tx>
            <c:v>Average Surface Temperature</c:v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dash"/>
              </a:ln>
              <a:effectLst/>
            </c:spPr>
          </c:marker>
          <c:xVal>
            <c:numRef>
              <c:f>'H4'!$M$2:$M$31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'H4'!$N$2:$N$31</c:f>
              <c:numCache>
                <c:formatCode>General</c:formatCode>
                <c:ptCount val="30"/>
                <c:pt idx="0">
                  <c:v>12.936666666666667</c:v>
                </c:pt>
                <c:pt idx="1">
                  <c:v>13.127999999999997</c:v>
                </c:pt>
                <c:pt idx="2">
                  <c:v>13.120714285714286</c:v>
                </c:pt>
                <c:pt idx="3">
                  <c:v>15.035333333333332</c:v>
                </c:pt>
                <c:pt idx="4">
                  <c:v>14.830000000000002</c:v>
                </c:pt>
                <c:pt idx="5">
                  <c:v>14.428571428571431</c:v>
                </c:pt>
                <c:pt idx="6">
                  <c:v>14.538181818181817</c:v>
                </c:pt>
                <c:pt idx="7">
                  <c:v>14.297142857142857</c:v>
                </c:pt>
                <c:pt idx="8">
                  <c:v>13.613846153846152</c:v>
                </c:pt>
                <c:pt idx="9">
                  <c:v>13.186923076923078</c:v>
                </c:pt>
                <c:pt idx="10">
                  <c:v>14.133571428571429</c:v>
                </c:pt>
                <c:pt idx="11">
                  <c:v>15.817500000000001</c:v>
                </c:pt>
                <c:pt idx="12">
                  <c:v>14.124999999999998</c:v>
                </c:pt>
                <c:pt idx="13">
                  <c:v>13.110769230769229</c:v>
                </c:pt>
                <c:pt idx="14">
                  <c:v>13.638571428571428</c:v>
                </c:pt>
                <c:pt idx="15">
                  <c:v>14.674285714285714</c:v>
                </c:pt>
                <c:pt idx="16">
                  <c:v>14.346428571428572</c:v>
                </c:pt>
                <c:pt idx="17">
                  <c:v>14.957142857142856</c:v>
                </c:pt>
                <c:pt idx="18">
                  <c:v>14.495000000000001</c:v>
                </c:pt>
                <c:pt idx="19">
                  <c:v>13.756666666666666</c:v>
                </c:pt>
                <c:pt idx="20">
                  <c:v>13.935333333333331</c:v>
                </c:pt>
                <c:pt idx="21">
                  <c:v>15.256428571428572</c:v>
                </c:pt>
                <c:pt idx="22">
                  <c:v>14.748571428571429</c:v>
                </c:pt>
                <c:pt idx="23">
                  <c:v>14.330714285714285</c:v>
                </c:pt>
                <c:pt idx="24">
                  <c:v>14.178571428571431</c:v>
                </c:pt>
                <c:pt idx="25">
                  <c:v>16.829090909090908</c:v>
                </c:pt>
                <c:pt idx="26">
                  <c:v>16.716666666666665</c:v>
                </c:pt>
                <c:pt idx="27">
                  <c:v>15.638461538461534</c:v>
                </c:pt>
                <c:pt idx="28">
                  <c:v>17.022499999999997</c:v>
                </c:pt>
                <c:pt idx="29">
                  <c:v>15.469999999999999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55-4F39-B4B4-BBDC8FB09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5768"/>
        <c:axId val="168676160"/>
      </c:scatterChart>
      <c:valAx>
        <c:axId val="168675768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6160"/>
        <c:crosses val="autoZero"/>
        <c:crossBetween val="midCat"/>
      </c:valAx>
      <c:valAx>
        <c:axId val="168676160"/>
        <c:scaling>
          <c:orientation val="minMax"/>
          <c:max val="18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57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1991-2024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H6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Bottom Temperature</c:v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'H6'!$M$2:$M$35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xVal>
          <c:yVal>
            <c:numRef>
              <c:f>'H6'!$O$2:$O$35</c:f>
              <c:numCache>
                <c:formatCode>General</c:formatCode>
                <c:ptCount val="34"/>
                <c:pt idx="0">
                  <c:v>11.427899999999999</c:v>
                </c:pt>
                <c:pt idx="1">
                  <c:v>9.6763124999999981</c:v>
                </c:pt>
                <c:pt idx="2">
                  <c:v>11.028272727272729</c:v>
                </c:pt>
                <c:pt idx="3">
                  <c:v>10.065833333333332</c:v>
                </c:pt>
                <c:pt idx="4">
                  <c:v>12.186207692307692</c:v>
                </c:pt>
                <c:pt idx="5">
                  <c:v>11.374000000000001</c:v>
                </c:pt>
                <c:pt idx="6">
                  <c:v>12.400833333333333</c:v>
                </c:pt>
                <c:pt idx="7">
                  <c:v>12.714666666666664</c:v>
                </c:pt>
                <c:pt idx="8">
                  <c:v>13.234666666666667</c:v>
                </c:pt>
                <c:pt idx="9">
                  <c:v>12.87</c:v>
                </c:pt>
                <c:pt idx="10">
                  <c:v>12.455384615384615</c:v>
                </c:pt>
                <c:pt idx="11">
                  <c:v>11.756666666666666</c:v>
                </c:pt>
                <c:pt idx="12">
                  <c:v>12.089166666666669</c:v>
                </c:pt>
                <c:pt idx="13">
                  <c:v>11.639285714285716</c:v>
                </c:pt>
                <c:pt idx="14">
                  <c:v>11.452857142857143</c:v>
                </c:pt>
                <c:pt idx="15">
                  <c:v>13.381818181818181</c:v>
                </c:pt>
                <c:pt idx="16">
                  <c:v>12.100000000000003</c:v>
                </c:pt>
                <c:pt idx="17">
                  <c:v>12.133571428571429</c:v>
                </c:pt>
                <c:pt idx="18">
                  <c:v>11.255714285714287</c:v>
                </c:pt>
                <c:pt idx="19">
                  <c:v>12.537142857142856</c:v>
                </c:pt>
                <c:pt idx="20">
                  <c:v>12.285714285714286</c:v>
                </c:pt>
                <c:pt idx="21">
                  <c:v>13.632857142857144</c:v>
                </c:pt>
                <c:pt idx="22">
                  <c:v>12.30142857142857</c:v>
                </c:pt>
                <c:pt idx="23">
                  <c:v>11.740714285714285</c:v>
                </c:pt>
                <c:pt idx="24">
                  <c:v>11.460666666666667</c:v>
                </c:pt>
                <c:pt idx="25">
                  <c:v>14.035</c:v>
                </c:pt>
                <c:pt idx="26">
                  <c:v>12.34</c:v>
                </c:pt>
                <c:pt idx="27">
                  <c:v>12.025714285714285</c:v>
                </c:pt>
                <c:pt idx="28">
                  <c:v>12.287857142857144</c:v>
                </c:pt>
                <c:pt idx="29">
                  <c:v>14.819090909090908</c:v>
                </c:pt>
                <c:pt idx="30">
                  <c:v>14.282500000000001</c:v>
                </c:pt>
                <c:pt idx="31">
                  <c:v>13.786153846153846</c:v>
                </c:pt>
                <c:pt idx="32">
                  <c:v>14.277500000000003</c:v>
                </c:pt>
                <c:pt idx="33">
                  <c:v>13.301666666666668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7B-46FB-A1F4-C001FD338ADA}"/>
            </c:ext>
          </c:extLst>
        </c:ser>
        <c:ser>
          <c:idx val="1"/>
          <c:order val="1"/>
          <c:tx>
            <c:v>Average Surface Temperature</c:v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dash"/>
              </a:ln>
              <a:effectLst/>
            </c:spPr>
          </c:marker>
          <c:xVal>
            <c:numRef>
              <c:f>'H6'!$M$2:$M$35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xVal>
          <c:yVal>
            <c:numRef>
              <c:f>'H6'!$N$2:$N$35</c:f>
              <c:numCache>
                <c:formatCode>General</c:formatCode>
                <c:ptCount val="34"/>
                <c:pt idx="0">
                  <c:v>13.856619999999998</c:v>
                </c:pt>
                <c:pt idx="1">
                  <c:v>12.4547875</c:v>
                </c:pt>
                <c:pt idx="2">
                  <c:v>15.307155555555555</c:v>
                </c:pt>
                <c:pt idx="3">
                  <c:v>12.974285714285715</c:v>
                </c:pt>
                <c:pt idx="4">
                  <c:v>13.95</c:v>
                </c:pt>
                <c:pt idx="5">
                  <c:v>13.249333333333333</c:v>
                </c:pt>
                <c:pt idx="6">
                  <c:v>13.790000000000001</c:v>
                </c:pt>
                <c:pt idx="7">
                  <c:v>14.903999999999996</c:v>
                </c:pt>
                <c:pt idx="8">
                  <c:v>15.057333333333331</c:v>
                </c:pt>
                <c:pt idx="9">
                  <c:v>14.427142857142858</c:v>
                </c:pt>
                <c:pt idx="10">
                  <c:v>13.818461538461539</c:v>
                </c:pt>
                <c:pt idx="11">
                  <c:v>12.919166666666667</c:v>
                </c:pt>
                <c:pt idx="12">
                  <c:v>14.115833333333333</c:v>
                </c:pt>
                <c:pt idx="13">
                  <c:v>13.686428571428573</c:v>
                </c:pt>
                <c:pt idx="14">
                  <c:v>13.85642857142857</c:v>
                </c:pt>
                <c:pt idx="15">
                  <c:v>16.022500000000001</c:v>
                </c:pt>
                <c:pt idx="16">
                  <c:v>14.11857142857143</c:v>
                </c:pt>
                <c:pt idx="17">
                  <c:v>14.015000000000001</c:v>
                </c:pt>
                <c:pt idx="18">
                  <c:v>13.724285714285713</c:v>
                </c:pt>
                <c:pt idx="19">
                  <c:v>14.632857142857139</c:v>
                </c:pt>
                <c:pt idx="20">
                  <c:v>14.712857142857143</c:v>
                </c:pt>
                <c:pt idx="21">
                  <c:v>15.088571428571429</c:v>
                </c:pt>
                <c:pt idx="22">
                  <c:v>14.287857142857144</c:v>
                </c:pt>
                <c:pt idx="23">
                  <c:v>13.255714285714285</c:v>
                </c:pt>
                <c:pt idx="24">
                  <c:v>13.936666666666666</c:v>
                </c:pt>
                <c:pt idx="25">
                  <c:v>14.766923076923076</c:v>
                </c:pt>
                <c:pt idx="26">
                  <c:v>14.836153846153847</c:v>
                </c:pt>
                <c:pt idx="27">
                  <c:v>14.092142857142857</c:v>
                </c:pt>
                <c:pt idx="28">
                  <c:v>14.253571428571428</c:v>
                </c:pt>
                <c:pt idx="29">
                  <c:v>16.806363636363638</c:v>
                </c:pt>
                <c:pt idx="30">
                  <c:v>16.739999999999998</c:v>
                </c:pt>
                <c:pt idx="31">
                  <c:v>15.459230769230768</c:v>
                </c:pt>
                <c:pt idx="32">
                  <c:v>17.094999999999999</c:v>
                </c:pt>
                <c:pt idx="33">
                  <c:v>15.64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7B-46FB-A1F4-C001FD338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5768"/>
        <c:axId val="168676160"/>
      </c:scatterChart>
      <c:valAx>
        <c:axId val="168675768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6160"/>
        <c:crosses val="autoZero"/>
        <c:crossBetween val="midCat"/>
      </c:valAx>
      <c:valAx>
        <c:axId val="168676160"/>
        <c:scaling>
          <c:orientation val="minMax"/>
          <c:max val="18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57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1991-2024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I2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'I2'!$O$3</c:f>
              <c:strCache>
                <c:ptCount val="1"/>
                <c:pt idx="0">
                  <c:v>Bottom Average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'I2'!$N$4:$N$37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xVal>
          <c:yVal>
            <c:numRef>
              <c:f>'I2'!$O$4:$O$37</c:f>
              <c:numCache>
                <c:formatCode>General</c:formatCode>
                <c:ptCount val="34"/>
                <c:pt idx="0">
                  <c:v>13.428255555555555</c:v>
                </c:pt>
                <c:pt idx="1">
                  <c:v>11.467936363636364</c:v>
                </c:pt>
                <c:pt idx="2">
                  <c:v>11.642536363636365</c:v>
                </c:pt>
                <c:pt idx="3">
                  <c:v>10.539166666666667</c:v>
                </c:pt>
                <c:pt idx="4">
                  <c:v>12.310261538461539</c:v>
                </c:pt>
                <c:pt idx="5">
                  <c:v>11.128461538461538</c:v>
                </c:pt>
                <c:pt idx="6">
                  <c:v>12.043076923076923</c:v>
                </c:pt>
                <c:pt idx="7">
                  <c:v>13.3925</c:v>
                </c:pt>
                <c:pt idx="8">
                  <c:v>13.297142857142859</c:v>
                </c:pt>
                <c:pt idx="9">
                  <c:v>12.594666666666667</c:v>
                </c:pt>
                <c:pt idx="10">
                  <c:v>13.113076923076921</c:v>
                </c:pt>
                <c:pt idx="11">
                  <c:v>12.103333333333333</c:v>
                </c:pt>
                <c:pt idx="12">
                  <c:v>11.635833333333332</c:v>
                </c:pt>
                <c:pt idx="13">
                  <c:v>12.70857142857143</c:v>
                </c:pt>
                <c:pt idx="14">
                  <c:v>12.401428571428571</c:v>
                </c:pt>
                <c:pt idx="15">
                  <c:v>13.866249999999999</c:v>
                </c:pt>
                <c:pt idx="16">
                  <c:v>13.825384615384614</c:v>
                </c:pt>
                <c:pt idx="17">
                  <c:v>12.174615384615382</c:v>
                </c:pt>
                <c:pt idx="18">
                  <c:v>13.227692307692307</c:v>
                </c:pt>
                <c:pt idx="19">
                  <c:v>10.279</c:v>
                </c:pt>
                <c:pt idx="20">
                  <c:v>12.972857142857142</c:v>
                </c:pt>
                <c:pt idx="21">
                  <c:v>14.721538461538461</c:v>
                </c:pt>
                <c:pt idx="22">
                  <c:v>12.921428571428573</c:v>
                </c:pt>
                <c:pt idx="23">
                  <c:v>11.602307692307692</c:v>
                </c:pt>
                <c:pt idx="24">
                  <c:v>12.445714285714287</c:v>
                </c:pt>
                <c:pt idx="25">
                  <c:v>14.076923076923077</c:v>
                </c:pt>
                <c:pt idx="26">
                  <c:v>13.14153846153846</c:v>
                </c:pt>
                <c:pt idx="27">
                  <c:v>13.516923076923076</c:v>
                </c:pt>
                <c:pt idx="28">
                  <c:v>13.045000000000002</c:v>
                </c:pt>
                <c:pt idx="29">
                  <c:v>16.747999999999998</c:v>
                </c:pt>
                <c:pt idx="30">
                  <c:v>15.274999999999997</c:v>
                </c:pt>
                <c:pt idx="31">
                  <c:v>14.016666666666666</c:v>
                </c:pt>
                <c:pt idx="32">
                  <c:v>14.022500000000003</c:v>
                </c:pt>
                <c:pt idx="33">
                  <c:v>13.849166666666667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2A-4FC9-A384-DDEF3B6AF854}"/>
            </c:ext>
          </c:extLst>
        </c:ser>
        <c:ser>
          <c:idx val="0"/>
          <c:order val="1"/>
          <c:tx>
            <c:strRef>
              <c:f>'I2'!$P$3</c:f>
              <c:strCache>
                <c:ptCount val="1"/>
                <c:pt idx="0">
                  <c:v>Surface Average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'I2'!$N$4:$N$37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xVal>
          <c:yVal>
            <c:numRef>
              <c:f>'I2'!$P$4:$P$37</c:f>
              <c:numCache>
                <c:formatCode>General</c:formatCode>
                <c:ptCount val="34"/>
                <c:pt idx="0">
                  <c:v>12.517899999999999</c:v>
                </c:pt>
                <c:pt idx="1">
                  <c:v>10.164228571428572</c:v>
                </c:pt>
                <c:pt idx="2">
                  <c:v>16.41886666666667</c:v>
                </c:pt>
                <c:pt idx="3">
                  <c:v>11.633333333333335</c:v>
                </c:pt>
                <c:pt idx="4">
                  <c:v>14.36407142857143</c:v>
                </c:pt>
                <c:pt idx="5">
                  <c:v>13.163999999999998</c:v>
                </c:pt>
                <c:pt idx="6">
                  <c:v>12.763846153846156</c:v>
                </c:pt>
                <c:pt idx="7">
                  <c:v>14.649166666666668</c:v>
                </c:pt>
                <c:pt idx="8">
                  <c:v>14.77</c:v>
                </c:pt>
                <c:pt idx="9">
                  <c:v>13.538</c:v>
                </c:pt>
                <c:pt idx="10">
                  <c:v>14.022307692307692</c:v>
                </c:pt>
                <c:pt idx="11">
                  <c:v>12.841666666666667</c:v>
                </c:pt>
                <c:pt idx="12">
                  <c:v>13.2125</c:v>
                </c:pt>
                <c:pt idx="13">
                  <c:v>13.742857142857146</c:v>
                </c:pt>
                <c:pt idx="14">
                  <c:v>14.594615384615384</c:v>
                </c:pt>
                <c:pt idx="15">
                  <c:v>14.9025</c:v>
                </c:pt>
                <c:pt idx="16">
                  <c:v>14.854615384615384</c:v>
                </c:pt>
                <c:pt idx="17">
                  <c:v>13.320769230769232</c:v>
                </c:pt>
                <c:pt idx="18">
                  <c:v>14.166153846153843</c:v>
                </c:pt>
                <c:pt idx="19">
                  <c:v>11.305999999999999</c:v>
                </c:pt>
                <c:pt idx="20">
                  <c:v>14.347857142857142</c:v>
                </c:pt>
                <c:pt idx="21">
                  <c:v>15.101428571428572</c:v>
                </c:pt>
                <c:pt idx="22">
                  <c:v>13.974285714285713</c:v>
                </c:pt>
                <c:pt idx="23">
                  <c:v>12.69230769230769</c:v>
                </c:pt>
                <c:pt idx="24">
                  <c:v>13.619285714285715</c:v>
                </c:pt>
                <c:pt idx="25">
                  <c:v>14.837692307692306</c:v>
                </c:pt>
                <c:pt idx="26">
                  <c:v>14.542307692307693</c:v>
                </c:pt>
                <c:pt idx="27">
                  <c:v>14.940769230769233</c:v>
                </c:pt>
                <c:pt idx="28">
                  <c:v>14.148571428571429</c:v>
                </c:pt>
                <c:pt idx="29">
                  <c:v>18.113000000000003</c:v>
                </c:pt>
                <c:pt idx="30">
                  <c:v>16.196666666666665</c:v>
                </c:pt>
                <c:pt idx="31">
                  <c:v>15.445833333333333</c:v>
                </c:pt>
                <c:pt idx="32">
                  <c:v>15.504166666666665</c:v>
                </c:pt>
                <c:pt idx="33">
                  <c:v>15.102500000000001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2A-4FC9-A384-DDEF3B6AF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29600"/>
        <c:axId val="169529992"/>
      </c:scatterChart>
      <c:valAx>
        <c:axId val="169529600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9992"/>
        <c:crosses val="autoZero"/>
        <c:crossBetween val="midCat"/>
      </c:valAx>
      <c:valAx>
        <c:axId val="169529992"/>
        <c:scaling>
          <c:orientation val="minMax"/>
          <c:max val="20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9600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1995-2024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J2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Average Bottom Temperature</c:v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'J2'!$M$2:$M$31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'J2'!$O$2:$O$31</c:f>
              <c:numCache>
                <c:formatCode>General</c:formatCode>
                <c:ptCount val="30"/>
                <c:pt idx="0">
                  <c:v>11.914916666666665</c:v>
                </c:pt>
                <c:pt idx="1">
                  <c:v>10.415833333333333</c:v>
                </c:pt>
                <c:pt idx="2">
                  <c:v>11.200000000000001</c:v>
                </c:pt>
                <c:pt idx="3">
                  <c:v>13.137926666666669</c:v>
                </c:pt>
                <c:pt idx="4">
                  <c:v>12.070000000000002</c:v>
                </c:pt>
                <c:pt idx="5">
                  <c:v>12.728666666666667</c:v>
                </c:pt>
                <c:pt idx="6">
                  <c:v>13.879166666666665</c:v>
                </c:pt>
                <c:pt idx="7">
                  <c:v>12.668461538461539</c:v>
                </c:pt>
                <c:pt idx="8">
                  <c:v>11.724166666666667</c:v>
                </c:pt>
                <c:pt idx="9">
                  <c:v>12.572857142857146</c:v>
                </c:pt>
                <c:pt idx="10">
                  <c:v>12.420714285714286</c:v>
                </c:pt>
                <c:pt idx="11">
                  <c:v>14.356666666666667</c:v>
                </c:pt>
                <c:pt idx="12">
                  <c:v>13.102857142857143</c:v>
                </c:pt>
                <c:pt idx="13">
                  <c:v>11.504166666666665</c:v>
                </c:pt>
                <c:pt idx="14">
                  <c:v>11.758461538461539</c:v>
                </c:pt>
                <c:pt idx="16">
                  <c:v>13.490769230769228</c:v>
                </c:pt>
                <c:pt idx="17">
                  <c:v>14.220714285714289</c:v>
                </c:pt>
                <c:pt idx="18">
                  <c:v>13.043571428571427</c:v>
                </c:pt>
                <c:pt idx="19">
                  <c:v>11.865384615384615</c:v>
                </c:pt>
                <c:pt idx="20">
                  <c:v>11.282500000000001</c:v>
                </c:pt>
                <c:pt idx="21">
                  <c:v>13.778461538461539</c:v>
                </c:pt>
                <c:pt idx="22">
                  <c:v>13.137692307692308</c:v>
                </c:pt>
                <c:pt idx="23">
                  <c:v>13.618461538461538</c:v>
                </c:pt>
                <c:pt idx="24">
                  <c:v>13.211428571428572</c:v>
                </c:pt>
                <c:pt idx="25">
                  <c:v>16.217777777777776</c:v>
                </c:pt>
                <c:pt idx="26">
                  <c:v>15.106666666666667</c:v>
                </c:pt>
                <c:pt idx="27">
                  <c:v>14.188333333333334</c:v>
                </c:pt>
                <c:pt idx="28">
                  <c:v>14.010833333333336</c:v>
                </c:pt>
                <c:pt idx="29">
                  <c:v>13.558333333333332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1E-41D5-96F5-4C31C208241F}"/>
            </c:ext>
          </c:extLst>
        </c:ser>
        <c:ser>
          <c:idx val="0"/>
          <c:order val="1"/>
          <c:tx>
            <c:v>Average Surface Temperature</c:v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'J2'!$M$2:$M$31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'J2'!$N$2:$N$31</c:f>
              <c:numCache>
                <c:formatCode>General</c:formatCode>
                <c:ptCount val="30"/>
                <c:pt idx="0">
                  <c:v>11.544545454545455</c:v>
                </c:pt>
                <c:pt idx="1">
                  <c:v>10.576666666666666</c:v>
                </c:pt>
                <c:pt idx="2">
                  <c:v>11.870769230769232</c:v>
                </c:pt>
                <c:pt idx="3">
                  <c:v>14.072142857142856</c:v>
                </c:pt>
                <c:pt idx="4">
                  <c:v>13.677333333333333</c:v>
                </c:pt>
                <c:pt idx="5">
                  <c:v>13.011999999999999</c:v>
                </c:pt>
                <c:pt idx="6">
                  <c:v>14.192500000000001</c:v>
                </c:pt>
                <c:pt idx="7">
                  <c:v>13.022307692307692</c:v>
                </c:pt>
                <c:pt idx="8">
                  <c:v>12.278333333333336</c:v>
                </c:pt>
                <c:pt idx="9">
                  <c:v>12.732142857142858</c:v>
                </c:pt>
                <c:pt idx="10">
                  <c:v>12.990714285714285</c:v>
                </c:pt>
                <c:pt idx="11">
                  <c:v>15.08</c:v>
                </c:pt>
                <c:pt idx="12">
                  <c:v>13.265714285714285</c:v>
                </c:pt>
                <c:pt idx="13">
                  <c:v>12.129166666666668</c:v>
                </c:pt>
                <c:pt idx="14">
                  <c:v>11.983076923076924</c:v>
                </c:pt>
                <c:pt idx="16">
                  <c:v>13.682307692307692</c:v>
                </c:pt>
                <c:pt idx="17">
                  <c:v>14.472142857142856</c:v>
                </c:pt>
                <c:pt idx="18">
                  <c:v>13.544285714285715</c:v>
                </c:pt>
                <c:pt idx="19">
                  <c:v>12.294615384615385</c:v>
                </c:pt>
                <c:pt idx="20">
                  <c:v>11.500833333333333</c:v>
                </c:pt>
                <c:pt idx="21">
                  <c:v>13.80153846153846</c:v>
                </c:pt>
                <c:pt idx="22">
                  <c:v>13.46</c:v>
                </c:pt>
                <c:pt idx="23">
                  <c:v>14.001538461538461</c:v>
                </c:pt>
                <c:pt idx="24">
                  <c:v>13.635714285714284</c:v>
                </c:pt>
                <c:pt idx="25">
                  <c:v>16.68888888888889</c:v>
                </c:pt>
                <c:pt idx="26">
                  <c:v>15.515833333333333</c:v>
                </c:pt>
                <c:pt idx="27">
                  <c:v>14.504166666666668</c:v>
                </c:pt>
                <c:pt idx="28">
                  <c:v>14.495833333333332</c:v>
                </c:pt>
                <c:pt idx="29">
                  <c:v>14.485833333333334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1E-41D5-96F5-4C31C2082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29600"/>
        <c:axId val="169529992"/>
      </c:scatterChart>
      <c:valAx>
        <c:axId val="169529600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9992"/>
        <c:crosses val="autoZero"/>
        <c:crossBetween val="midCat"/>
      </c:valAx>
      <c:valAx>
        <c:axId val="169529992"/>
        <c:scaling>
          <c:orientation val="minMax"/>
          <c:max val="18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9600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1995-2024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K2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Average Bottom Temperature</c:v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'K2'!$M$2:$M$31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'K2'!$O$2:$O$31</c:f>
              <c:numCache>
                <c:formatCode>General</c:formatCode>
                <c:ptCount val="30"/>
                <c:pt idx="0">
                  <c:v>11.078588888888889</c:v>
                </c:pt>
                <c:pt idx="1">
                  <c:v>9.8818181818181827</c:v>
                </c:pt>
                <c:pt idx="2">
                  <c:v>11.123333333333333</c:v>
                </c:pt>
                <c:pt idx="3">
                  <c:v>12.054530769230769</c:v>
                </c:pt>
                <c:pt idx="4">
                  <c:v>11.846666666666666</c:v>
                </c:pt>
                <c:pt idx="5">
                  <c:v>11.17</c:v>
                </c:pt>
                <c:pt idx="6">
                  <c:v>11.686363636363637</c:v>
                </c:pt>
                <c:pt idx="7">
                  <c:v>11.9125</c:v>
                </c:pt>
                <c:pt idx="8">
                  <c:v>10.053000000000001</c:v>
                </c:pt>
                <c:pt idx="9">
                  <c:v>11.795454545454545</c:v>
                </c:pt>
                <c:pt idx="10">
                  <c:v>10.805</c:v>
                </c:pt>
                <c:pt idx="11">
                  <c:v>14.11375</c:v>
                </c:pt>
                <c:pt idx="12">
                  <c:v>11.682499999999999</c:v>
                </c:pt>
                <c:pt idx="13">
                  <c:v>11.865454545454543</c:v>
                </c:pt>
                <c:pt idx="14">
                  <c:v>10.237272727272726</c:v>
                </c:pt>
                <c:pt idx="16">
                  <c:v>15.230000000000002</c:v>
                </c:pt>
                <c:pt idx="17">
                  <c:v>12.913333333333334</c:v>
                </c:pt>
                <c:pt idx="18">
                  <c:v>12.6275</c:v>
                </c:pt>
                <c:pt idx="19">
                  <c:v>10.909999999999998</c:v>
                </c:pt>
                <c:pt idx="20">
                  <c:v>10.975</c:v>
                </c:pt>
                <c:pt idx="21">
                  <c:v>13.460769230769232</c:v>
                </c:pt>
                <c:pt idx="22">
                  <c:v>13.622999999999999</c:v>
                </c:pt>
                <c:pt idx="23">
                  <c:v>13.297692307692309</c:v>
                </c:pt>
                <c:pt idx="24">
                  <c:v>12.233076923076924</c:v>
                </c:pt>
                <c:pt idx="25">
                  <c:v>14.560999999999998</c:v>
                </c:pt>
                <c:pt idx="26">
                  <c:v>14.844545454545454</c:v>
                </c:pt>
                <c:pt idx="27">
                  <c:v>12.301</c:v>
                </c:pt>
                <c:pt idx="28">
                  <c:v>12.629</c:v>
                </c:pt>
                <c:pt idx="29">
                  <c:v>12.47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BC-4B2D-A432-D92B7E07F264}"/>
            </c:ext>
          </c:extLst>
        </c:ser>
        <c:ser>
          <c:idx val="0"/>
          <c:order val="1"/>
          <c:tx>
            <c:v>Average Surface Temperature</c:v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'K2'!$M$2:$M$31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'K2'!$N$2:$N$31</c:f>
              <c:numCache>
                <c:formatCode>General</c:formatCode>
                <c:ptCount val="30"/>
                <c:pt idx="0">
                  <c:v>11.50888888888889</c:v>
                </c:pt>
                <c:pt idx="1">
                  <c:v>10.399999999999999</c:v>
                </c:pt>
                <c:pt idx="2">
                  <c:v>11.480833333333335</c:v>
                </c:pt>
                <c:pt idx="3">
                  <c:v>13.063615384615385</c:v>
                </c:pt>
                <c:pt idx="4">
                  <c:v>12.080833333333336</c:v>
                </c:pt>
                <c:pt idx="5">
                  <c:v>11.065833333333332</c:v>
                </c:pt>
                <c:pt idx="6">
                  <c:v>12.135454545454547</c:v>
                </c:pt>
                <c:pt idx="7">
                  <c:v>11.59909090909091</c:v>
                </c:pt>
                <c:pt idx="8">
                  <c:v>10.891111111111112</c:v>
                </c:pt>
                <c:pt idx="9">
                  <c:v>12.175454545454546</c:v>
                </c:pt>
                <c:pt idx="10">
                  <c:v>11.390833333333333</c:v>
                </c:pt>
                <c:pt idx="11">
                  <c:v>15.261249999999999</c:v>
                </c:pt>
                <c:pt idx="12">
                  <c:v>12.680909090909092</c:v>
                </c:pt>
                <c:pt idx="13">
                  <c:v>12.211818181818183</c:v>
                </c:pt>
                <c:pt idx="14">
                  <c:v>11.544166666666664</c:v>
                </c:pt>
                <c:pt idx="16">
                  <c:v>15.937500000000002</c:v>
                </c:pt>
                <c:pt idx="17">
                  <c:v>12.8225</c:v>
                </c:pt>
                <c:pt idx="18">
                  <c:v>13.239166666666664</c:v>
                </c:pt>
                <c:pt idx="19">
                  <c:v>11.455</c:v>
                </c:pt>
                <c:pt idx="20">
                  <c:v>11.3025</c:v>
                </c:pt>
                <c:pt idx="21">
                  <c:v>13.824615384615385</c:v>
                </c:pt>
                <c:pt idx="22">
                  <c:v>14.017000000000001</c:v>
                </c:pt>
                <c:pt idx="23">
                  <c:v>13.713846153846154</c:v>
                </c:pt>
                <c:pt idx="24">
                  <c:v>12.701538461538464</c:v>
                </c:pt>
                <c:pt idx="25">
                  <c:v>15.174000000000001</c:v>
                </c:pt>
                <c:pt idx="26">
                  <c:v>14.302727272727271</c:v>
                </c:pt>
                <c:pt idx="27">
                  <c:v>12.882000000000001</c:v>
                </c:pt>
                <c:pt idx="28">
                  <c:v>13.123000000000001</c:v>
                </c:pt>
                <c:pt idx="29">
                  <c:v>13.276363636363639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BC-4B2D-A432-D92B7E07F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29600"/>
        <c:axId val="169529992"/>
      </c:scatterChart>
      <c:valAx>
        <c:axId val="169529600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9992"/>
        <c:crosses val="autoZero"/>
        <c:crossBetween val="midCat"/>
      </c:valAx>
      <c:valAx>
        <c:axId val="169529992"/>
        <c:scaling>
          <c:orientation val="minMax"/>
          <c:max val="18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9600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1991-2024</a:t>
            </a:r>
            <a:r>
              <a:rPr lang="en-US" baseline="0"/>
              <a:t> Yearly Averages</a:t>
            </a:r>
          </a:p>
          <a:p>
            <a:pPr>
              <a:defRPr/>
            </a:pPr>
            <a:r>
              <a:rPr lang="en-US" baseline="0"/>
              <a:t>Station M3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10790202493685"/>
          <c:y val="0.26671703518319584"/>
          <c:w val="0.83428592916974931"/>
          <c:h val="0.59534091222105479"/>
        </c:manualLayout>
      </c:layout>
      <c:scatterChart>
        <c:scatterStyle val="lineMarker"/>
        <c:varyColors val="0"/>
        <c:ser>
          <c:idx val="1"/>
          <c:order val="0"/>
          <c:tx>
            <c:strRef>
              <c:f>'M3'!$N$1</c:f>
              <c:strCache>
                <c:ptCount val="1"/>
                <c:pt idx="0">
                  <c:v>Bottom Average</c:v>
                </c:pt>
              </c:strCache>
            </c:strRef>
          </c:tx>
          <c:spPr>
            <a:ln w="25400" cap="rnd">
              <a:solidFill>
                <a:srgbClr val="4F81B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'M3'!$L$2:$L$35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xVal>
          <c:yVal>
            <c:numRef>
              <c:f>'M3'!$N$2:$N$35</c:f>
              <c:numCache>
                <c:formatCode>General</c:formatCode>
                <c:ptCount val="34"/>
                <c:pt idx="0">
                  <c:v>12.670957142857144</c:v>
                </c:pt>
                <c:pt idx="1">
                  <c:v>11.0692</c:v>
                </c:pt>
                <c:pt idx="2">
                  <c:v>11.589659999999999</c:v>
                </c:pt>
                <c:pt idx="3">
                  <c:v>10.409090909090908</c:v>
                </c:pt>
                <c:pt idx="4">
                  <c:v>10.9634</c:v>
                </c:pt>
                <c:pt idx="5">
                  <c:v>9.6990909090909092</c:v>
                </c:pt>
                <c:pt idx="6">
                  <c:v>10.964166666666666</c:v>
                </c:pt>
                <c:pt idx="7">
                  <c:v>11.076666666666668</c:v>
                </c:pt>
                <c:pt idx="8">
                  <c:v>11.863333333333335</c:v>
                </c:pt>
                <c:pt idx="9">
                  <c:v>11.192499999999997</c:v>
                </c:pt>
                <c:pt idx="10">
                  <c:v>12.141</c:v>
                </c:pt>
                <c:pt idx="11">
                  <c:v>11.668333333333331</c:v>
                </c:pt>
                <c:pt idx="12">
                  <c:v>10.15</c:v>
                </c:pt>
                <c:pt idx="13">
                  <c:v>11.004</c:v>
                </c:pt>
                <c:pt idx="14">
                  <c:v>10.612499999999999</c:v>
                </c:pt>
                <c:pt idx="15">
                  <c:v>14.0175</c:v>
                </c:pt>
                <c:pt idx="16">
                  <c:v>11.626666666666667</c:v>
                </c:pt>
                <c:pt idx="17">
                  <c:v>9.7729999999999997</c:v>
                </c:pt>
                <c:pt idx="18">
                  <c:v>10.786666666666667</c:v>
                </c:pt>
                <c:pt idx="20">
                  <c:v>15.85125</c:v>
                </c:pt>
                <c:pt idx="21">
                  <c:v>12</c:v>
                </c:pt>
                <c:pt idx="22">
                  <c:v>10.831818181818182</c:v>
                </c:pt>
                <c:pt idx="23">
                  <c:v>11</c:v>
                </c:pt>
                <c:pt idx="24">
                  <c:v>10.722500000000002</c:v>
                </c:pt>
                <c:pt idx="25">
                  <c:v>12.708333333333334</c:v>
                </c:pt>
                <c:pt idx="26">
                  <c:v>13.462999999999999</c:v>
                </c:pt>
                <c:pt idx="27">
                  <c:v>11.813636363636363</c:v>
                </c:pt>
                <c:pt idx="28">
                  <c:v>11.259166666666667</c:v>
                </c:pt>
                <c:pt idx="29">
                  <c:v>13.734999999999999</c:v>
                </c:pt>
                <c:pt idx="30">
                  <c:v>13.728</c:v>
                </c:pt>
                <c:pt idx="31">
                  <c:v>11.036666666666667</c:v>
                </c:pt>
                <c:pt idx="32">
                  <c:v>13.052727272727271</c:v>
                </c:pt>
                <c:pt idx="33">
                  <c:v>11.818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36-4F91-9D73-D88DC3231139}"/>
            </c:ext>
          </c:extLst>
        </c:ser>
        <c:ser>
          <c:idx val="0"/>
          <c:order val="1"/>
          <c:tx>
            <c:strRef>
              <c:f>'M3'!$O$1</c:f>
              <c:strCache>
                <c:ptCount val="1"/>
                <c:pt idx="0">
                  <c:v>Surface Average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'M3'!$L$2:$L$35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xVal>
          <c:yVal>
            <c:numRef>
              <c:f>'M3'!$O$2:$O$35</c:f>
              <c:numCache>
                <c:formatCode>General</c:formatCode>
                <c:ptCount val="34"/>
                <c:pt idx="0">
                  <c:v>15.040716666666668</c:v>
                </c:pt>
                <c:pt idx="1">
                  <c:v>10.720050000000001</c:v>
                </c:pt>
                <c:pt idx="2">
                  <c:v>13.450116666666666</c:v>
                </c:pt>
                <c:pt idx="3">
                  <c:v>10.711818181818181</c:v>
                </c:pt>
                <c:pt idx="4">
                  <c:v>10.657999999999999</c:v>
                </c:pt>
                <c:pt idx="5">
                  <c:v>10.094545454545456</c:v>
                </c:pt>
                <c:pt idx="6">
                  <c:v>11.313333333333333</c:v>
                </c:pt>
                <c:pt idx="7">
                  <c:v>11.749166666666666</c:v>
                </c:pt>
                <c:pt idx="8">
                  <c:v>12.0375</c:v>
                </c:pt>
                <c:pt idx="9">
                  <c:v>11.172499999999999</c:v>
                </c:pt>
                <c:pt idx="10">
                  <c:v>12.593</c:v>
                </c:pt>
                <c:pt idx="11">
                  <c:v>11.97</c:v>
                </c:pt>
                <c:pt idx="12">
                  <c:v>10.323333333333332</c:v>
                </c:pt>
                <c:pt idx="13">
                  <c:v>11.310999999999998</c:v>
                </c:pt>
                <c:pt idx="14">
                  <c:v>10.8725</c:v>
                </c:pt>
                <c:pt idx="15">
                  <c:v>15.229999999999999</c:v>
                </c:pt>
                <c:pt idx="16">
                  <c:v>11.776666666666666</c:v>
                </c:pt>
                <c:pt idx="17">
                  <c:v>10.640909090909091</c:v>
                </c:pt>
                <c:pt idx="18">
                  <c:v>11.669999999999998</c:v>
                </c:pt>
                <c:pt idx="20">
                  <c:v>16.346250000000001</c:v>
                </c:pt>
                <c:pt idx="21">
                  <c:v>12.846666666666669</c:v>
                </c:pt>
                <c:pt idx="22">
                  <c:v>11.749166666666666</c:v>
                </c:pt>
                <c:pt idx="23">
                  <c:v>11.153333333333334</c:v>
                </c:pt>
                <c:pt idx="24">
                  <c:v>11.085833333333332</c:v>
                </c:pt>
                <c:pt idx="25">
                  <c:v>12.905000000000001</c:v>
                </c:pt>
                <c:pt idx="26">
                  <c:v>13.355555555555556</c:v>
                </c:pt>
                <c:pt idx="27">
                  <c:v>12.24818181818182</c:v>
                </c:pt>
                <c:pt idx="28">
                  <c:v>11.734999999999999</c:v>
                </c:pt>
                <c:pt idx="29">
                  <c:v>13.84125</c:v>
                </c:pt>
                <c:pt idx="30">
                  <c:v>13.934000000000001</c:v>
                </c:pt>
                <c:pt idx="31">
                  <c:v>12.608000000000001</c:v>
                </c:pt>
                <c:pt idx="32">
                  <c:v>13.223636363636365</c:v>
                </c:pt>
                <c:pt idx="33">
                  <c:v>12.262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36-4F91-9D73-D88DC3231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31168"/>
        <c:axId val="169531560"/>
      </c:scatterChart>
      <c:valAx>
        <c:axId val="169531168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1560"/>
        <c:crosses val="autoZero"/>
        <c:crossBetween val="midCat"/>
      </c:valAx>
      <c:valAx>
        <c:axId val="169531560"/>
        <c:scaling>
          <c:orientation val="minMax"/>
          <c:max val="18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Degrees 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11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190499</xdr:rowOff>
    </xdr:from>
    <xdr:to>
      <xdr:col>16</xdr:col>
      <xdr:colOff>542925</xdr:colOff>
      <xdr:row>23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515F3E-9492-4F0E-9C00-B24A8F9A1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596265</xdr:colOff>
      <xdr:row>0</xdr:row>
      <xdr:rowOff>184785</xdr:rowOff>
    </xdr:from>
    <xdr:to>
      <xdr:col>27</xdr:col>
      <xdr:colOff>377189</xdr:colOff>
      <xdr:row>21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1</xdr:row>
      <xdr:rowOff>9525</xdr:rowOff>
    </xdr:from>
    <xdr:to>
      <xdr:col>25</xdr:col>
      <xdr:colOff>400049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27</xdr:col>
      <xdr:colOff>390524</xdr:colOff>
      <xdr:row>20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0</xdr:row>
      <xdr:rowOff>0</xdr:rowOff>
    </xdr:from>
    <xdr:to>
      <xdr:col>26</xdr:col>
      <xdr:colOff>390524</xdr:colOff>
      <xdr:row>20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554356</xdr:colOff>
      <xdr:row>1</xdr:row>
      <xdr:rowOff>45720</xdr:rowOff>
    </xdr:from>
    <xdr:to>
      <xdr:col>26</xdr:col>
      <xdr:colOff>335280</xdr:colOff>
      <xdr:row>22</xdr:row>
      <xdr:rowOff>24765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0</xdr:row>
      <xdr:rowOff>0</xdr:rowOff>
    </xdr:from>
    <xdr:to>
      <xdr:col>28</xdr:col>
      <xdr:colOff>390524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27</xdr:col>
      <xdr:colOff>390524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0</xdr:row>
      <xdr:rowOff>0</xdr:rowOff>
    </xdr:from>
    <xdr:to>
      <xdr:col>28</xdr:col>
      <xdr:colOff>390524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29</xdr:col>
      <xdr:colOff>390524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27</xdr:col>
      <xdr:colOff>390524</xdr:colOff>
      <xdr:row>20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27</xdr:col>
      <xdr:colOff>390524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27</xdr:col>
      <xdr:colOff>390524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27</xdr:col>
      <xdr:colOff>390524</xdr:colOff>
      <xdr:row>20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609599</xdr:colOff>
      <xdr:row>1</xdr:row>
      <xdr:rowOff>0</xdr:rowOff>
    </xdr:from>
    <xdr:to>
      <xdr:col>27</xdr:col>
      <xdr:colOff>581024</xdr:colOff>
      <xdr:row>21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27</xdr:col>
      <xdr:colOff>581025</xdr:colOff>
      <xdr:row>20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27</xdr:col>
      <xdr:colOff>581025</xdr:colOff>
      <xdr:row>20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152400</xdr:rowOff>
    </xdr:from>
    <xdr:to>
      <xdr:col>25</xdr:col>
      <xdr:colOff>390524</xdr:colOff>
      <xdr:row>21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39.631459143522" createdVersion="6" refreshedVersion="8" minRefreshableVersion="3" recordCount="345" xr:uid="{00000000-000A-0000-FFFF-FFFF22000000}">
  <cacheSource type="worksheet">
    <worksheetSource ref="A1:F1048576" sheet="K2"/>
  </cacheSource>
  <cacheFields count="6">
    <cacheField name="Cruise" numFmtId="0">
      <sharedItems containsBlank="1"/>
    </cacheField>
    <cacheField name="Date" numFmtId="0">
      <sharedItems containsNonDate="0" containsDate="1" containsString="0" containsBlank="1" minDate="1994-07-11T00:00:00" maxDate="2024-10-03T00:00:00"/>
    </cacheField>
    <cacheField name="Station Name" numFmtId="0">
      <sharedItems containsBlank="1"/>
    </cacheField>
    <cacheField name="S Temp" numFmtId="0">
      <sharedItems containsString="0" containsBlank="1" containsNumber="1" minValue="0.67" maxValue="22.94"/>
    </cacheField>
    <cacheField name="B Temp" numFmtId="0">
      <sharedItems containsString="0" containsBlank="1" containsNumber="1" minValue="0.57999999999999996" maxValue="22.11"/>
    </cacheField>
    <cacheField name="year" numFmtId="0">
      <sharedItems containsString="0" containsBlank="1" containsNumber="1" containsInteger="1" minValue="1994" maxValue="2024" count="32"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39.631459606484" createdVersion="6" refreshedVersion="8" minRefreshableVersion="3" recordCount="389" xr:uid="{00000000-000A-0000-FFFF-FFFF1F000000}">
  <cacheSource type="worksheet">
    <worksheetSource ref="A1:F1048576" sheet="J2"/>
  </cacheSource>
  <cacheFields count="6">
    <cacheField name="Cruise" numFmtId="0">
      <sharedItems containsBlank="1"/>
    </cacheField>
    <cacheField name="Date" numFmtId="0">
      <sharedItems containsNonDate="0" containsDate="1" containsString="0" containsBlank="1" minDate="1994-06-21T00:00:00" maxDate="2024-10-03T00:00:00"/>
    </cacheField>
    <cacheField name="Station Name" numFmtId="0">
      <sharedItems containsBlank="1"/>
    </cacheField>
    <cacheField name="S Temp" numFmtId="0">
      <sharedItems containsString="0" containsBlank="1" containsNumber="1" minValue="0.21" maxValue="24.5"/>
    </cacheField>
    <cacheField name="B Temp" numFmtId="0">
      <sharedItems containsString="0" containsBlank="1" containsNumber="1" minValue="0.17" maxValue="23.15"/>
    </cacheField>
    <cacheField name="year" numFmtId="0">
      <sharedItems containsString="0" containsBlank="1" containsNumber="1" containsInteger="1" minValue="1994" maxValue="2024" count="32"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39.631459837961" createdVersion="6" refreshedVersion="8" minRefreshableVersion="3" recordCount="455" xr:uid="{00000000-000A-0000-FFFF-FFFF1C000000}">
  <cacheSource type="worksheet">
    <worksheetSource ref="A1:F1048576" sheet="H6"/>
  </cacheSource>
  <cacheFields count="6">
    <cacheField name="Cruise" numFmtId="0">
      <sharedItems containsBlank="1"/>
    </cacheField>
    <cacheField name="Date" numFmtId="0">
      <sharedItems containsNonDate="0" containsDate="1" containsString="0" containsBlank="1" minDate="1991-01-30T00:00:00" maxDate="2024-10-05T00:00:00"/>
    </cacheField>
    <cacheField name="Station Name" numFmtId="0">
      <sharedItems containsBlank="1"/>
    </cacheField>
    <cacheField name="S Temp" numFmtId="0">
      <sharedItems containsString="0" containsBlank="1" containsNumber="1" minValue="-0.74" maxValue="26.25"/>
    </cacheField>
    <cacheField name="B Temp" numFmtId="0">
      <sharedItems containsString="0" containsBlank="1" containsNumber="1" minValue="-0.88" maxValue="22.86"/>
    </cacheField>
    <cacheField name="Year" numFmtId="0">
      <sharedItems containsString="0" containsBlank="1" containsNumber="1" containsInteger="1" minValue="1991" maxValue="2024" count="35"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39.631460069446" createdVersion="6" refreshedVersion="8" minRefreshableVersion="3" recordCount="419" xr:uid="{00000000-000A-0000-FFFF-FFFF18000000}">
  <cacheSource type="worksheet">
    <worksheetSource ref="A1:F1048576" sheet="H4"/>
  </cacheSource>
  <cacheFields count="6">
    <cacheField name="Cruise" numFmtId="0">
      <sharedItems containsBlank="1"/>
    </cacheField>
    <cacheField name="Date" numFmtId="0">
      <sharedItems containsNonDate="0" containsDate="1" containsString="0" containsBlank="1" minDate="1994-06-23T00:00:00" maxDate="2024-10-05T00:00:00"/>
    </cacheField>
    <cacheField name="Station Name" numFmtId="0">
      <sharedItems containsBlank="1"/>
    </cacheField>
    <cacheField name="S Temp" numFmtId="0">
      <sharedItems containsString="0" containsBlank="1" containsNumber="1" minValue="-0.76" maxValue="26.18"/>
    </cacheField>
    <cacheField name="B Temp" numFmtId="0">
      <sharedItems containsString="0" containsBlank="1" containsNumber="1" minValue="-1.1599999999999999" maxValue="23.45"/>
    </cacheField>
    <cacheField name="year" numFmtId="0">
      <sharedItems containsString="0" containsBlank="1" containsNumber="1" containsInteger="1" minValue="1994" maxValue="2024" count="32"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39.631460300923" createdVersion="8" refreshedVersion="8" minRefreshableVersion="3" recordCount="414" xr:uid="{9604867D-D3BD-4C9D-B9DC-BC7401E82F1C}">
  <cacheSource type="worksheet">
    <worksheetSource ref="A1:F1048576" sheet="H2"/>
  </cacheSource>
  <cacheFields count="6">
    <cacheField name="Cruise" numFmtId="0">
      <sharedItems containsBlank="1"/>
    </cacheField>
    <cacheField name="Date" numFmtId="0">
      <sharedItems containsNonDate="0" containsDate="1" containsString="0" containsBlank="1" minDate="1994-06-23T00:00:00" maxDate="2024-10-03T00:00:00"/>
    </cacheField>
    <cacheField name="Station Name" numFmtId="0">
      <sharedItems containsBlank="1"/>
    </cacheField>
    <cacheField name="S Temp" numFmtId="0">
      <sharedItems containsString="0" containsBlank="1" containsNumber="1" minValue="-0.71" maxValue="25.79"/>
    </cacheField>
    <cacheField name="B Temp" numFmtId="0">
      <sharedItems containsString="0" containsBlank="1" containsNumber="1" minValue="-1.07" maxValue="24.17"/>
    </cacheField>
    <cacheField name="Year" numFmtId="0">
      <sharedItems containsString="0" containsBlank="1" containsNumber="1" containsInteger="1" minValue="1994" maxValue="2024" count="32"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39.631460532408" createdVersion="6" refreshedVersion="8" minRefreshableVersion="3" recordCount="479" xr:uid="{00000000-000A-0000-FFFF-FFFF12000000}">
  <cacheSource type="worksheet">
    <worksheetSource ref="A1:F1048576" sheet="F3"/>
  </cacheSource>
  <cacheFields count="6">
    <cacheField name="Cruise" numFmtId="0">
      <sharedItems containsBlank="1"/>
    </cacheField>
    <cacheField name="Date" numFmtId="0">
      <sharedItems containsNonDate="0" containsDate="1" containsString="0" containsBlank="1" minDate="1991-01-30T00:00:00" maxDate="2024-10-05T00:00:00"/>
    </cacheField>
    <cacheField name="Station Name" numFmtId="0">
      <sharedItems containsBlank="1"/>
    </cacheField>
    <cacheField name="S Temp" numFmtId="0">
      <sharedItems containsString="0" containsBlank="1" containsNumber="1" minValue="-0.76" maxValue="26.03"/>
    </cacheField>
    <cacheField name="B Temp" numFmtId="0">
      <sharedItems containsString="0" containsBlank="1" containsNumber="1" minValue="-1.1100000000000001" maxValue="23.11"/>
    </cacheField>
    <cacheField name="Year" numFmtId="0">
      <sharedItems containsString="0" containsBlank="1" containsNumber="1" containsInteger="1" minValue="1991" maxValue="2024" count="35"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39.631460648146" createdVersion="6" refreshedVersion="8" minRefreshableVersion="3" recordCount="442" xr:uid="{00000000-000A-0000-FFFF-FFFF0F000000}">
  <cacheSource type="worksheet">
    <worksheetSource ref="A1:F1048576" sheet="F2"/>
  </cacheSource>
  <cacheFields count="6">
    <cacheField name="Cruise" numFmtId="0">
      <sharedItems containsBlank="1"/>
    </cacheField>
    <cacheField name="Date" numFmtId="0">
      <sharedItems containsNonDate="0" containsDate="1" containsString="0" containsBlank="1" minDate="1994-06-23T00:00:00" maxDate="2024-10-05T00:00:00"/>
    </cacheField>
    <cacheField name="Station Name" numFmtId="0">
      <sharedItems containsBlank="1"/>
    </cacheField>
    <cacheField name="S Temp" numFmtId="0">
      <sharedItems containsString="0" containsBlank="1" containsNumber="1" minValue="-1.05" maxValue="25"/>
    </cacheField>
    <cacheField name="B Temp" numFmtId="0">
      <sharedItems containsString="0" containsBlank="1" containsNumber="1" minValue="-1.08" maxValue="23.78"/>
    </cacheField>
    <cacheField name="Year" numFmtId="0">
      <sharedItems containsString="0" containsBlank="1" containsNumber="1" containsInteger="1" minValue="1994" maxValue="2024" count="32"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39.631460879631" createdVersion="6" refreshedVersion="8" minRefreshableVersion="3" recordCount="447" xr:uid="{00000000-000A-0000-FFFF-FFFF0E000000}">
  <cacheSource type="worksheet">
    <worksheetSource ref="A1:F1048576" sheet="E1"/>
  </cacheSource>
  <cacheFields count="6">
    <cacheField name="Cruise" numFmtId="0">
      <sharedItems containsBlank="1"/>
    </cacheField>
    <cacheField name="Date" numFmtId="0">
      <sharedItems containsNonDate="0" containsDate="1" containsString="0" containsBlank="1" minDate="1994-06-22T00:00:00" maxDate="2024-10-05T00:00:00"/>
    </cacheField>
    <cacheField name="Station Name" numFmtId="0">
      <sharedItems containsBlank="1"/>
    </cacheField>
    <cacheField name="S Temp" numFmtId="0">
      <sharedItems containsString="0" containsBlank="1" containsNumber="1" minValue="-0.96" maxValue="26.19"/>
    </cacheField>
    <cacheField name="B Temp" numFmtId="0">
      <sharedItems containsString="0" containsBlank="1" containsNumber="1" minValue="-1.1200000000000001" maxValue="23.1"/>
    </cacheField>
    <cacheField name="Year" numFmtId="0">
      <sharedItems containsString="0" containsBlank="1" containsNumber="1" containsInteger="1" minValue="1994" maxValue="2024" count="32"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39.63146099537" createdVersion="6" refreshedVersion="8" minRefreshableVersion="3" recordCount="446" xr:uid="{00000000-000A-0000-FFFF-FFFF0D000000}">
  <cacheSource type="worksheet">
    <worksheetSource ref="A1:F1048576" sheet="15"/>
  </cacheSource>
  <cacheFields count="6">
    <cacheField name="Cruise" numFmtId="0">
      <sharedItems containsBlank="1"/>
    </cacheField>
    <cacheField name="Date" numFmtId="0">
      <sharedItems containsNonDate="0" containsDate="1" containsString="0" containsBlank="1" minDate="1994-06-21T00:00:00" maxDate="2024-10-05T00:00:00"/>
    </cacheField>
    <cacheField name="Station Name" numFmtId="0">
      <sharedItems containsBlank="1" containsMixedTypes="1" containsNumber="1" containsInteger="1" minValue="15" maxValue="15"/>
    </cacheField>
    <cacheField name="S Temp" numFmtId="0">
      <sharedItems containsString="0" containsBlank="1" containsNumber="1" minValue="-1.05" maxValue="26.96"/>
    </cacheField>
    <cacheField name="B Temp" numFmtId="0">
      <sharedItems containsString="0" containsBlank="1" containsNumber="1" minValue="-1.1100000000000001" maxValue="24.29"/>
    </cacheField>
    <cacheField name="year" numFmtId="0">
      <sharedItems containsString="0" containsBlank="1" containsNumber="1" containsInteger="1" minValue="1994" maxValue="2024" count="32"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39.631461226854" createdVersion="6" refreshedVersion="8" minRefreshableVersion="3" recordCount="456" xr:uid="{00000000-000A-0000-FFFF-FFFF0C000000}">
  <cacheSource type="worksheet">
    <worksheetSource ref="A1:F1048576" sheet="09"/>
  </cacheSource>
  <cacheFields count="6">
    <cacheField name="Cruise" numFmtId="0">
      <sharedItems containsBlank="1"/>
    </cacheField>
    <cacheField name="Date" numFmtId="0">
      <sharedItems containsNonDate="0" containsDate="1" containsString="0" containsBlank="1" minDate="1994-06-22T00:00:00" maxDate="2024-10-04T00:00:00"/>
    </cacheField>
    <cacheField name="Station Name" numFmtId="0">
      <sharedItems containsBlank="1"/>
    </cacheField>
    <cacheField name="S Temp" numFmtId="0">
      <sharedItems containsString="0" containsBlank="1" containsNumber="1" minValue="-1.1100000000000001" maxValue="25.52"/>
    </cacheField>
    <cacheField name="B Temp" numFmtId="0">
      <sharedItems containsString="0" containsBlank="1" containsNumber="1" minValue="-1.05" maxValue="23.93"/>
    </cacheField>
    <cacheField name="year" numFmtId="0">
      <sharedItems containsString="0" containsBlank="1" containsNumber="1" containsInteger="1" minValue="1994" maxValue="2024" count="32"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39.631461458332" createdVersion="6" refreshedVersion="8" minRefreshableVersion="3" recordCount="449" xr:uid="{00000000-000A-0000-FFFF-FFFF0A000000}">
  <cacheSource type="worksheet">
    <worksheetSource ref="A1:F1048576" sheet="C1"/>
  </cacheSource>
  <cacheFields count="6">
    <cacheField name="Cruise" numFmtId="0">
      <sharedItems containsBlank="1"/>
    </cacheField>
    <cacheField name="Date" numFmtId="0">
      <sharedItems containsNonDate="0" containsDate="1" containsString="0" containsBlank="1" minDate="1994-12-05T00:00:00" maxDate="2024-10-04T00:00:00"/>
    </cacheField>
    <cacheField name="Station Name" numFmtId="0">
      <sharedItems containsBlank="1"/>
    </cacheField>
    <cacheField name="S Temp" numFmtId="0">
      <sharedItems containsString="0" containsBlank="1" containsNumber="1" minValue="-0.62" maxValue="25.78"/>
    </cacheField>
    <cacheField name="B Temp" numFmtId="0">
      <sharedItems containsString="0" containsBlank="1" containsNumber="1" minValue="-0.86" maxValue="28.29"/>
    </cacheField>
    <cacheField name="Year" numFmtId="0">
      <sharedItems containsString="0" containsBlank="1" containsNumber="1" containsInteger="1" minValue="1994" maxValue="2024" count="32"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39.631462384263" createdVersion="6" refreshedVersion="8" minRefreshableVersion="3" recordCount="449" xr:uid="{00000000-000A-0000-FFFF-FFFF0B000000}">
  <cacheSource type="worksheet">
    <worksheetSource ref="A1:F1048576" sheet="C2"/>
  </cacheSource>
  <cacheFields count="6">
    <cacheField name="Cruise" numFmtId="0">
      <sharedItems containsBlank="1"/>
    </cacheField>
    <cacheField name="Date" numFmtId="0">
      <sharedItems containsNonDate="0" containsDate="1" containsString="0" containsBlank="1" minDate="1994-12-06T00:00:00" maxDate="2024-10-04T00:00:00"/>
    </cacheField>
    <cacheField name="Station Name" numFmtId="0">
      <sharedItems containsBlank="1"/>
    </cacheField>
    <cacheField name="S Temp" numFmtId="0">
      <sharedItems containsString="0" containsBlank="1" containsNumber="1" minValue="-0.7" maxValue="25.74"/>
    </cacheField>
    <cacheField name="B Temp" numFmtId="0">
      <sharedItems containsString="0" containsBlank="1" containsNumber="1" minValue="-1.03" maxValue="23.25"/>
    </cacheField>
    <cacheField name="Year" numFmtId="0">
      <sharedItems containsString="0" containsBlank="1" containsNumber="1" containsInteger="1" minValue="1994" maxValue="2024" count="32"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46.594235069446" createdVersion="8" refreshedVersion="8" minRefreshableVersion="3" recordCount="480" xr:uid="{FDCDE222-E30D-4970-B4AA-65733E5BFFAB}">
  <cacheSource type="worksheet">
    <worksheetSource ref="A1:F1048576" sheet="A4"/>
  </cacheSource>
  <cacheFields count="6">
    <cacheField name="Cruise" numFmtId="0">
      <sharedItems containsBlank="1"/>
    </cacheField>
    <cacheField name="Station Name" numFmtId="0">
      <sharedItems containsBlank="1"/>
    </cacheField>
    <cacheField name="Date" numFmtId="0">
      <sharedItems containsNonDate="0" containsDate="1" containsString="0" containsBlank="1" minDate="1995-01-04T00:00:00" maxDate="2024-10-04T00:00:00"/>
    </cacheField>
    <cacheField name="S Temp" numFmtId="0">
      <sharedItems containsString="0" containsBlank="1" containsNumber="1" minValue="-1.22" maxValue="191.46"/>
    </cacheField>
    <cacheField name="B Temp" numFmtId="0">
      <sharedItems containsString="0" containsBlank="1" containsNumber="1" minValue="-1.32" maxValue="24.16"/>
    </cacheField>
    <cacheField name="Year" numFmtId="0">
      <sharedItems containsString="0" containsBlank="1" containsNumber="1" containsInteger="1" minValue="1995" maxValue="2024" count="31"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46.613913194444" createdVersion="8" refreshedVersion="8" minRefreshableVersion="3" recordCount="524" xr:uid="{F501DFA6-FCF5-4FE1-8D2E-8C9E4E70518C}">
  <cacheSource type="worksheet">
    <worksheetSource ref="A1:F1048576" sheet="B3"/>
  </cacheSource>
  <cacheFields count="6">
    <cacheField name="Cruise" numFmtId="0">
      <sharedItems containsBlank="1"/>
    </cacheField>
    <cacheField name="Station Name" numFmtId="0">
      <sharedItems containsBlank="1"/>
    </cacheField>
    <cacheField name="Date" numFmtId="0">
      <sharedItems containsNonDate="0" containsDate="1" containsString="0" containsBlank="1" minDate="1991-02-21T00:00:00" maxDate="2024-10-04T00:00:00"/>
    </cacheField>
    <cacheField name="S Temp" numFmtId="0">
      <sharedItems containsString="0" containsBlank="1" containsNumber="1" minValue="-1.18" maxValue="25.54"/>
    </cacheField>
    <cacheField name="B Temp" numFmtId="0">
      <sharedItems containsString="0" containsBlank="1" containsNumber="1" minValue="-0.99" maxValue="24.01"/>
    </cacheField>
    <cacheField name="Year" numFmtId="1">
      <sharedItems containsString="0" containsBlank="1" containsNumber="1" containsInteger="1" minValue="1991" maxValue="2024" count="35"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46.62477534722" createdVersion="8" refreshedVersion="8" minRefreshableVersion="3" recordCount="525" xr:uid="{2FBCB69E-49D1-4B28-8E05-284991159AF0}">
  <cacheSource type="worksheet">
    <worksheetSource ref="A1:F1048576" sheet="D3"/>
  </cacheSource>
  <cacheFields count="6">
    <cacheField name="Cruise" numFmtId="0">
      <sharedItems containsBlank="1"/>
    </cacheField>
    <cacheField name="Station Name" numFmtId="0">
      <sharedItems containsBlank="1"/>
    </cacheField>
    <cacheField name="Date" numFmtId="0">
      <sharedItems containsNonDate="0" containsDate="1" containsString="0" containsBlank="1" minDate="1991-02-21T00:00:00" maxDate="2024-10-04T00:00:00"/>
    </cacheField>
    <cacheField name="B Temp" numFmtId="0">
      <sharedItems containsString="0" containsBlank="1" containsNumber="1" minValue="-1.1000000000000001" maxValue="23.22"/>
    </cacheField>
    <cacheField name="S Temp" numFmtId="0">
      <sharedItems containsString="0" containsBlank="1" containsNumber="1" minValue="-0.81" maxValue="25.66"/>
    </cacheField>
    <cacheField name="Year" numFmtId="0">
      <sharedItems containsString="0" containsBlank="1" containsNumber="1" containsInteger="1" minValue="1991" maxValue="2024" count="35"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46.638256018516" createdVersion="8" refreshedVersion="8" minRefreshableVersion="3" recordCount="442" xr:uid="{7957AE2B-2F74-4873-BF66-7C3D6158827E}">
  <cacheSource type="worksheet">
    <worksheetSource ref="A1:F1048576" sheet="I2"/>
  </cacheSource>
  <cacheFields count="6">
    <cacheField name="Cruise" numFmtId="0">
      <sharedItems containsBlank="1"/>
    </cacheField>
    <cacheField name="Station Name" numFmtId="0">
      <sharedItems containsBlank="1"/>
    </cacheField>
    <cacheField name="Date" numFmtId="0">
      <sharedItems containsNonDate="0" containsDate="1" containsString="0" containsBlank="1" minDate="1991-01-30T00:00:00" maxDate="2024-10-03T00:00:00"/>
    </cacheField>
    <cacheField name="S Temp" numFmtId="0">
      <sharedItems containsString="0" containsBlank="1" containsNumber="1" minValue="-0.52" maxValue="26.35"/>
    </cacheField>
    <cacheField name="B Temp" numFmtId="0">
      <sharedItems containsString="0" containsBlank="1" containsNumber="1" minValue="-0.4" maxValue="23.74"/>
    </cacheField>
    <cacheField name="Year" numFmtId="0">
      <sharedItems containsString="0" containsBlank="1" containsNumber="1" containsInteger="1" minValue="1991" maxValue="2024" count="35"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46.659395138886" createdVersion="8" refreshedVersion="8" minRefreshableVersion="3" recordCount="374" xr:uid="{447ACD08-EAEF-44C3-ADCF-73CDD0139ED7}">
  <cacheSource type="worksheet">
    <worksheetSource ref="A1:F1048576" sheet="M3"/>
  </cacheSource>
  <cacheFields count="6">
    <cacheField name="Cruise" numFmtId="0">
      <sharedItems containsBlank="1"/>
    </cacheField>
    <cacheField name="Station Name" numFmtId="0">
      <sharedItems containsBlank="1"/>
    </cacheField>
    <cacheField name="Date" numFmtId="0">
      <sharedItems containsNonDate="0" containsDate="1" containsString="0" containsBlank="1" minDate="1991-01-30T00:00:00" maxDate="2024-10-03T00:00:00"/>
    </cacheField>
    <cacheField name="S Temp" numFmtId="0">
      <sharedItems containsString="0" containsBlank="1" containsNumber="1" minValue="0.57999999999999996" maxValue="25.76"/>
    </cacheField>
    <cacheField name="B Temp" numFmtId="0">
      <sharedItems containsString="0" containsBlank="1" containsNumber="1" minValue="0.77" maxValue="25.9"/>
    </cacheField>
    <cacheField name="Year" numFmtId="1">
      <sharedItems containsString="0" containsBlank="1" containsNumber="1" containsInteger="1" minValue="1991" maxValue="2024" count="35"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s v="WQJUL94"/>
    <d v="1994-07-11T00:00:00"/>
    <s v="K2"/>
    <n v="18.27"/>
    <m/>
    <x v="0"/>
  </r>
  <r>
    <s v="WQJAN95"/>
    <d v="1995-01-11T00:00:00"/>
    <s v="K2"/>
    <m/>
    <m/>
    <x v="1"/>
  </r>
  <r>
    <s v="WQFEB95"/>
    <d v="1995-02-16T00:00:00"/>
    <s v="K2"/>
    <n v="2.92"/>
    <n v="3.08"/>
    <x v="1"/>
  </r>
  <r>
    <s v="WQMAR95"/>
    <d v="1995-03-06T00:00:00"/>
    <s v="K2"/>
    <n v="3.28"/>
    <n v="3.31"/>
    <x v="1"/>
  </r>
  <r>
    <s v="WQAPR95"/>
    <d v="1995-04-03T00:00:00"/>
    <s v="K2"/>
    <n v="5.33"/>
    <n v="5.27"/>
    <x v="1"/>
  </r>
  <r>
    <s v="WQMAY95"/>
    <d v="1995-05-05T00:00:00"/>
    <s v="K2"/>
    <n v="8.7200000000000006"/>
    <n v="7.88"/>
    <x v="1"/>
  </r>
  <r>
    <s v="WQJUN95"/>
    <d v="1995-06-02T00:00:00"/>
    <s v="K2"/>
    <n v="13.08"/>
    <n v="11.93"/>
    <x v="1"/>
  </r>
  <r>
    <s v="WQJUL95"/>
    <d v="1995-07-11T00:00:00"/>
    <s v="K2"/>
    <m/>
    <m/>
    <x v="1"/>
  </r>
  <r>
    <s v="WQAUG95"/>
    <d v="1995-07-31T00:00:00"/>
    <s v="K2"/>
    <n v="21.2"/>
    <n v="19.12"/>
    <x v="1"/>
  </r>
  <r>
    <s v="WQSEP95"/>
    <d v="1995-09-12T00:00:00"/>
    <s v="K2"/>
    <n v="20.309999999999999"/>
    <n v="20.260000000000002"/>
    <x v="1"/>
  </r>
  <r>
    <s v="WQOCT95"/>
    <d v="1995-10-02T00:00:00"/>
    <s v="K2"/>
    <n v="18.84"/>
    <n v="18.8673"/>
    <x v="1"/>
  </r>
  <r>
    <s v="WQDEC95"/>
    <d v="1995-12-04T00:00:00"/>
    <s v="K2"/>
    <n v="9.9"/>
    <n v="9.99"/>
    <x v="1"/>
  </r>
  <r>
    <s v="WQJAN96"/>
    <d v="1996-01-09T00:00:00"/>
    <s v="K2"/>
    <n v="3.08"/>
    <n v="3.09"/>
    <x v="2"/>
  </r>
  <r>
    <s v="WQFEB96"/>
    <d v="1996-02-06T00:00:00"/>
    <s v="K2"/>
    <n v="1.35"/>
    <n v="1.49"/>
    <x v="2"/>
  </r>
  <r>
    <s v="WQMAR96"/>
    <d v="1996-03-07T00:00:00"/>
    <s v="K2"/>
    <n v="1.58"/>
    <n v="1.76"/>
    <x v="2"/>
  </r>
  <r>
    <s v="WQAPR96"/>
    <d v="1996-04-01T00:00:00"/>
    <s v="K2"/>
    <n v="3.68"/>
    <n v="3.1"/>
    <x v="2"/>
  </r>
  <r>
    <s v="WQMAY96"/>
    <d v="1996-05-09T00:00:00"/>
    <s v="K2"/>
    <n v="8.1199999999999992"/>
    <n v="7.25"/>
    <x v="2"/>
  </r>
  <r>
    <s v="WQJUN96"/>
    <d v="1996-06-06T00:00:00"/>
    <s v="K2"/>
    <n v="12.26"/>
    <n v="11.66"/>
    <x v="2"/>
  </r>
  <r>
    <s v="WQJUL96"/>
    <d v="1996-07-11T00:00:00"/>
    <s v="K2"/>
    <n v="18.309999999999999"/>
    <n v="16.059999999999999"/>
    <x v="2"/>
  </r>
  <r>
    <s v="WQAUG96"/>
    <d v="1996-08-05T00:00:00"/>
    <s v="K2"/>
    <n v="18.28"/>
    <n v="17.7"/>
    <x v="2"/>
  </r>
  <r>
    <s v="WQSEP96"/>
    <d v="1996-09-03T00:00:00"/>
    <s v="K2"/>
    <n v="20.25"/>
    <n v="19.14"/>
    <x v="2"/>
  </r>
  <r>
    <s v="WQOCT96"/>
    <d v="1996-10-01T00:00:00"/>
    <s v="K2"/>
    <n v="18.22"/>
    <n v="18.14"/>
    <x v="2"/>
  </r>
  <r>
    <s v="WQNOV96"/>
    <d v="1996-11-12T00:00:00"/>
    <s v="K2"/>
    <m/>
    <m/>
    <x v="2"/>
  </r>
  <r>
    <s v="WQDEC96"/>
    <d v="1996-12-02T00:00:00"/>
    <s v="K2"/>
    <n v="9.27"/>
    <n v="9.31"/>
    <x v="2"/>
  </r>
  <r>
    <s v="WQJAN97"/>
    <d v="1997-01-09T00:00:00"/>
    <s v="K2"/>
    <n v="5.96"/>
    <n v="6.22"/>
    <x v="3"/>
  </r>
  <r>
    <s v="WQFEB97"/>
    <d v="1997-02-07T00:00:00"/>
    <s v="K2"/>
    <n v="3.75"/>
    <n v="4.01"/>
    <x v="3"/>
  </r>
  <r>
    <s v="WQMAR97"/>
    <d v="1997-03-05T00:00:00"/>
    <s v="K2"/>
    <n v="4.17"/>
    <n v="4.53"/>
    <x v="3"/>
  </r>
  <r>
    <s v="WQAPR97"/>
    <d v="1997-04-04T00:00:00"/>
    <s v="K2"/>
    <n v="5.36"/>
    <n v="5.13"/>
    <x v="3"/>
  </r>
  <r>
    <s v="WQMAY97"/>
    <d v="1997-05-05T00:00:00"/>
    <s v="K2"/>
    <n v="8.73"/>
    <n v="7.99"/>
    <x v="3"/>
  </r>
  <r>
    <s v="WQJUN97"/>
    <d v="1997-06-02T00:00:00"/>
    <s v="K2"/>
    <n v="10.58"/>
    <n v="10.31"/>
    <x v="3"/>
  </r>
  <r>
    <s v="WQJUL97"/>
    <d v="1997-07-08T00:00:00"/>
    <s v="K2"/>
    <n v="18.88"/>
    <n v="16.260000000000002"/>
    <x v="3"/>
  </r>
  <r>
    <s v="WQAUG97"/>
    <d v="1997-08-07T00:00:00"/>
    <s v="K2"/>
    <n v="19.920000000000002"/>
    <n v="18.7"/>
    <x v="3"/>
  </r>
  <r>
    <s v="WQSEP97"/>
    <d v="1997-09-02T00:00:00"/>
    <s v="K2"/>
    <n v="20.399999999999999"/>
    <n v="19.45"/>
    <x v="3"/>
  </r>
  <r>
    <s v="WQOCT97"/>
    <d v="1997-10-06T00:00:00"/>
    <s v="K2"/>
    <n v="17.53"/>
    <n v="17.399999999999999"/>
    <x v="3"/>
  </r>
  <r>
    <s v="WQNOV97"/>
    <d v="1997-11-06T00:00:00"/>
    <s v="K2"/>
    <n v="13.8"/>
    <n v="14.45"/>
    <x v="3"/>
  </r>
  <r>
    <s v="WQDEC97"/>
    <d v="1997-12-04T00:00:00"/>
    <s v="K2"/>
    <n v="8.69"/>
    <n v="9.0299999999999994"/>
    <x v="3"/>
  </r>
  <r>
    <s v="WQJAN98"/>
    <d v="1998-01-05T00:00:00"/>
    <s v="K2"/>
    <n v="5.54"/>
    <n v="5.67"/>
    <x v="4"/>
  </r>
  <r>
    <s v="WQFEB98"/>
    <d v="1998-02-03T00:00:00"/>
    <s v="K2"/>
    <n v="4.5199999999999996"/>
    <n v="4.3600000000000003"/>
    <x v="4"/>
  </r>
  <r>
    <s v="WQMAR98"/>
    <d v="1998-02-27T00:00:00"/>
    <s v="K2"/>
    <n v="4.07"/>
    <n v="4.1100000000000003"/>
    <x v="4"/>
  </r>
  <r>
    <s v="WQAPR98"/>
    <d v="1998-04-14T00:00:00"/>
    <s v="K2"/>
    <n v="6.63"/>
    <n v="6.22"/>
    <x v="4"/>
  </r>
  <r>
    <s v="WQMAY98"/>
    <d v="1998-05-07T00:00:00"/>
    <s v="K2"/>
    <n v="9.907"/>
    <n v="9.1189"/>
    <x v="4"/>
  </r>
  <r>
    <s v="WQJUN98"/>
    <d v="1998-06-08T00:00:00"/>
    <s v="K2"/>
    <n v="14.26"/>
    <n v="12.28"/>
    <x v="4"/>
  </r>
  <r>
    <s v="WQJUL98"/>
    <d v="1998-07-06T00:00:00"/>
    <s v="K2"/>
    <n v="19.079999999999998"/>
    <n v="15.52"/>
    <x v="4"/>
  </r>
  <r>
    <s v="WQAUG98"/>
    <d v="1998-08-06T00:00:00"/>
    <s v="K2"/>
    <n v="20.27"/>
    <n v="17.940000000000001"/>
    <x v="4"/>
  </r>
  <r>
    <s v="HYAUG98"/>
    <d v="1998-08-21T00:00:00"/>
    <s v="K2"/>
    <n v="19.989999999999998"/>
    <n v="19.68"/>
    <x v="4"/>
  </r>
  <r>
    <s v="WQSEP98"/>
    <d v="1998-08-31T00:00:00"/>
    <s v="K2"/>
    <n v="22.02"/>
    <n v="19.72"/>
    <x v="4"/>
  </r>
  <r>
    <s v="WQOCT98"/>
    <d v="1998-10-01T00:00:00"/>
    <s v="K2"/>
    <n v="19.690000000000001"/>
    <n v="18.09"/>
    <x v="4"/>
  </r>
  <r>
    <s v="WQNOV98"/>
    <d v="1998-11-04T00:00:00"/>
    <s v="K2"/>
    <n v="13.47"/>
    <n v="13.62"/>
    <x v="4"/>
  </r>
  <r>
    <s v="WQDEC98"/>
    <d v="1998-11-30T00:00:00"/>
    <s v="K2"/>
    <n v="10.38"/>
    <n v="10.38"/>
    <x v="4"/>
  </r>
  <r>
    <s v="WQJAN99"/>
    <d v="1999-01-05T00:00:00"/>
    <s v="K2"/>
    <n v="4.79"/>
    <n v="6.27"/>
    <x v="5"/>
  </r>
  <r>
    <s v="WQFEB99"/>
    <d v="1999-02-01T00:00:00"/>
    <s v="K2"/>
    <n v="4.05"/>
    <n v="4.21"/>
    <x v="5"/>
  </r>
  <r>
    <s v="WQMAR99"/>
    <d v="1999-03-03T00:00:00"/>
    <s v="K2"/>
    <n v="4.1100000000000003"/>
    <n v="4.1399999999999997"/>
    <x v="5"/>
  </r>
  <r>
    <s v="WQAPR99"/>
    <d v="1999-04-05T00:00:00"/>
    <s v="K2"/>
    <n v="5.48"/>
    <n v="5.6"/>
    <x v="5"/>
  </r>
  <r>
    <s v="WQMAY99"/>
    <d v="1999-05-05T00:00:00"/>
    <s v="K2"/>
    <n v="9.11"/>
    <n v="8.58"/>
    <x v="5"/>
  </r>
  <r>
    <s v="WQJUN99"/>
    <d v="1999-06-02T00:00:00"/>
    <s v="K2"/>
    <n v="13.99"/>
    <n v="13.05"/>
    <x v="5"/>
  </r>
  <r>
    <s v="WQJUL99"/>
    <d v="1999-07-06T00:00:00"/>
    <s v="K2"/>
    <n v="19.309999999999999"/>
    <n v="16.670000000000002"/>
    <x v="5"/>
  </r>
  <r>
    <s v="WQAUG99"/>
    <d v="1999-08-02T00:00:00"/>
    <s v="K2"/>
    <n v="20.18"/>
    <n v="19.09"/>
    <x v="5"/>
  </r>
  <r>
    <s v="WQSEP99"/>
    <d v="1999-09-03T00:00:00"/>
    <s v="K2"/>
    <n v="20.71"/>
    <n v="20.5"/>
    <x v="5"/>
  </r>
  <r>
    <s v="WQOCT99"/>
    <d v="1999-10-05T00:00:00"/>
    <s v="K2"/>
    <n v="18.34"/>
    <n v="19"/>
    <x v="5"/>
  </r>
  <r>
    <s v="WQNOV99"/>
    <d v="1999-11-09T00:00:00"/>
    <s v="K2"/>
    <n v="14.16"/>
    <n v="14.24"/>
    <x v="5"/>
  </r>
  <r>
    <s v="WQDEC99"/>
    <d v="1999-12-06T00:00:00"/>
    <s v="K2"/>
    <n v="10.74"/>
    <n v="10.81"/>
    <x v="5"/>
  </r>
  <r>
    <s v="WQJAN00"/>
    <d v="2000-01-13T00:00:00"/>
    <s v="K2"/>
    <n v="6.33"/>
    <n v="6.94"/>
    <x v="6"/>
  </r>
  <r>
    <s v="WQFEB00"/>
    <d v="2000-02-03T00:00:00"/>
    <s v="K2"/>
    <n v="2"/>
    <n v="2.62"/>
    <x v="6"/>
  </r>
  <r>
    <s v="WQMAR00"/>
    <d v="2000-03-01T00:00:00"/>
    <s v="K2"/>
    <n v="2.61"/>
    <n v="3.19"/>
    <x v="6"/>
  </r>
  <r>
    <s v="WQAPR00"/>
    <d v="2000-04-03T00:00:00"/>
    <s v="K2"/>
    <n v="5.45"/>
    <n v="5.19"/>
    <x v="6"/>
  </r>
  <r>
    <s v="WQMAY00"/>
    <d v="2000-05-01T00:00:00"/>
    <s v="K2"/>
    <n v="7.63"/>
    <n v="7.43"/>
    <x v="6"/>
  </r>
  <r>
    <s v="WQJUN00"/>
    <d v="2000-06-01T00:00:00"/>
    <s v="K2"/>
    <n v="12.13"/>
    <n v="11.85"/>
    <x v="6"/>
  </r>
  <r>
    <s v="WQJUL00"/>
    <d v="2000-07-05T00:00:00"/>
    <s v="K2"/>
    <n v="18.010000000000002"/>
    <n v="17.38"/>
    <x v="6"/>
  </r>
  <r>
    <s v="WQAUG00"/>
    <d v="2000-07-31T00:00:00"/>
    <s v="K2"/>
    <n v="19.28"/>
    <n v="19.16"/>
    <x v="6"/>
  </r>
  <r>
    <s v="WQSEP00"/>
    <d v="2000-08-29T00:00:00"/>
    <s v="K2"/>
    <n v="19.739999999999998"/>
    <n v="19.690000000000001"/>
    <x v="6"/>
  </r>
  <r>
    <s v="WQOCT00"/>
    <d v="2000-10-05T00:00:00"/>
    <s v="K2"/>
    <n v="18.21"/>
    <n v="17.98"/>
    <x v="6"/>
  </r>
  <r>
    <s v="WQNOV00"/>
    <d v="2000-11-08T00:00:00"/>
    <s v="K2"/>
    <n v="13.34"/>
    <n v="13.56"/>
    <x v="6"/>
  </r>
  <r>
    <s v="WQDEC00"/>
    <d v="2000-12-06T00:00:00"/>
    <s v="K2"/>
    <n v="8.06"/>
    <n v="9.0500000000000007"/>
    <x v="6"/>
  </r>
  <r>
    <s v="WQJAN01"/>
    <d v="2001-01-08T00:00:00"/>
    <s v="K2"/>
    <n v="3.47"/>
    <n v="3.61"/>
    <x v="7"/>
  </r>
  <r>
    <s v="WQFEB01"/>
    <d v="2001-02-01T00:00:00"/>
    <s v="K2"/>
    <n v="2.84"/>
    <n v="3.06"/>
    <x v="7"/>
  </r>
  <r>
    <s v="WQMAR01"/>
    <d v="2001-03-01T00:00:00"/>
    <s v="K2"/>
    <n v="2.5499999999999998"/>
    <n v="2.85"/>
    <x v="7"/>
  </r>
  <r>
    <s v="WQAPR01"/>
    <d v="2001-04-03T00:00:00"/>
    <s v="K2"/>
    <n v="3.86"/>
    <n v="4"/>
    <x v="7"/>
  </r>
  <r>
    <s v="WQMAY01"/>
    <d v="2001-04-30T00:00:00"/>
    <s v="K2"/>
    <m/>
    <m/>
    <x v="7"/>
  </r>
  <r>
    <s v="WQJUN01"/>
    <d v="2001-06-04T00:00:00"/>
    <s v="K2"/>
    <n v="13.02"/>
    <n v="12.4"/>
    <x v="7"/>
  </r>
  <r>
    <s v="WQJUL01"/>
    <d v="2001-07-06T00:00:00"/>
    <s v="K2"/>
    <n v="18.57"/>
    <n v="17.34"/>
    <x v="7"/>
  </r>
  <r>
    <s v="WQAUG01"/>
    <d v="2001-08-09T00:00:00"/>
    <s v="K2"/>
    <n v="21.95"/>
    <n v="18.78"/>
    <x v="7"/>
  </r>
  <r>
    <s v="WQSEP01"/>
    <d v="2001-09-10T00:00:00"/>
    <s v="K2"/>
    <n v="21.5"/>
    <n v="20.350000000000001"/>
    <x v="7"/>
  </r>
  <r>
    <s v="WQOCT01"/>
    <d v="2001-10-02T00:00:00"/>
    <s v="K2"/>
    <n v="19.010000000000002"/>
    <n v="19.059999999999999"/>
    <x v="7"/>
  </r>
  <r>
    <s v="WQNOV01"/>
    <d v="2001-11-05T00:00:00"/>
    <s v="K2"/>
    <n v="14.81"/>
    <n v="14.99"/>
    <x v="7"/>
  </r>
  <r>
    <s v="WQDEC01"/>
    <d v="2001-12-03T00:00:00"/>
    <s v="K2"/>
    <n v="11.91"/>
    <n v="12.11"/>
    <x v="7"/>
  </r>
  <r>
    <s v="WQJAN02"/>
    <d v="2002-01-11T00:00:00"/>
    <s v="K2"/>
    <n v="6.59"/>
    <n v="6.59"/>
    <x v="8"/>
  </r>
  <r>
    <s v="WQFEB02"/>
    <d v="2002-02-04T00:00:00"/>
    <s v="K2"/>
    <n v="5.19"/>
    <n v="5.46"/>
    <x v="8"/>
  </r>
  <r>
    <s v="WQMAR02"/>
    <d v="2002-03-05T00:00:00"/>
    <s v="K2"/>
    <n v="5.08"/>
    <n v="5.2"/>
    <x v="8"/>
  </r>
  <r>
    <s v="WQAPR02"/>
    <d v="2002-04-02T00:00:00"/>
    <s v="K2"/>
    <n v="5.97"/>
    <n v="5.82"/>
    <x v="8"/>
  </r>
  <r>
    <s v="WQMAY02"/>
    <d v="2002-05-06T00:00:00"/>
    <s v="K2"/>
    <n v="9.56"/>
    <n v="8.98"/>
    <x v="8"/>
  </r>
  <r>
    <s v="WQJUN02"/>
    <d v="2002-06-04T00:00:00"/>
    <s v="K2"/>
    <n v="13.48"/>
    <n v="12.11"/>
    <x v="8"/>
  </r>
  <r>
    <s v="WQJUL02"/>
    <d v="2002-07-08T00:00:00"/>
    <s v="K2"/>
    <n v="19.61"/>
    <n v="16.440000000000001"/>
    <x v="8"/>
  </r>
  <r>
    <s v="WQAUG02"/>
    <d v="2002-08-05T00:00:00"/>
    <s v="K2"/>
    <n v="21.69"/>
    <n v="19.989999999999998"/>
    <x v="8"/>
  </r>
  <r>
    <s v="WQSEP02"/>
    <d v="2002-09-09T00:00:00"/>
    <s v="K2"/>
    <m/>
    <n v="20.83"/>
    <x v="8"/>
  </r>
  <r>
    <s v="WQOCT02"/>
    <d v="2002-10-08T00:00:00"/>
    <s v="K2"/>
    <n v="19.329999999999998"/>
    <n v="19.47"/>
    <x v="8"/>
  </r>
  <r>
    <s v="WQNOV02"/>
    <d v="2002-11-05T00:00:00"/>
    <s v="K2"/>
    <n v="13.91"/>
    <n v="13.92"/>
    <x v="8"/>
  </r>
  <r>
    <s v="WQDEC02"/>
    <d v="2002-12-09T00:00:00"/>
    <s v="K2"/>
    <n v="7.18"/>
    <n v="8.14"/>
    <x v="8"/>
  </r>
  <r>
    <s v="WQFEB03"/>
    <d v="2003-01-28T00:00:00"/>
    <s v="K2"/>
    <n v="1.83"/>
    <n v="2.2000000000000002"/>
    <x v="9"/>
  </r>
  <r>
    <s v="WQMAR03"/>
    <d v="2003-03-04T00:00:00"/>
    <s v="K2"/>
    <n v="0.67"/>
    <n v="1.29"/>
    <x v="9"/>
  </r>
  <r>
    <s v="WQAPR03"/>
    <d v="2003-04-03T00:00:00"/>
    <s v="K2"/>
    <n v="4.04"/>
    <n v="3.66"/>
    <x v="9"/>
  </r>
  <r>
    <s v="WQMAY03"/>
    <d v="2003-05-05T00:00:00"/>
    <s v="K2"/>
    <m/>
    <n v="6.7"/>
    <x v="9"/>
  </r>
  <r>
    <s v="WQJUN03"/>
    <d v="2003-06-03T00:00:00"/>
    <s v="K2"/>
    <n v="11.82"/>
    <n v="11.06"/>
    <x v="9"/>
  </r>
  <r>
    <s v="WQJUL03"/>
    <d v="2003-07-07T00:00:00"/>
    <s v="K2"/>
    <n v="17.18"/>
    <n v="15.82"/>
    <x v="9"/>
  </r>
  <r>
    <s v="WQAUG03"/>
    <d v="2003-08-04T00:00:00"/>
    <s v="K2"/>
    <n v="20.170000000000002"/>
    <n v="17.62"/>
    <x v="9"/>
  </r>
  <r>
    <s v="WQSEP03"/>
    <d v="2003-09-09T00:00:00"/>
    <s v="K2"/>
    <n v="19.28"/>
    <n v="19.03"/>
    <x v="9"/>
  </r>
  <r>
    <s v="WQNOV03"/>
    <d v="2003-11-03T00:00:00"/>
    <s v="K2"/>
    <n v="14.57"/>
    <n v="14.46"/>
    <x v="9"/>
  </r>
  <r>
    <s v="WQDEC03"/>
    <d v="2003-12-08T00:00:00"/>
    <s v="K2"/>
    <n v="8.4600000000000009"/>
    <n v="8.69"/>
    <x v="9"/>
  </r>
  <r>
    <s v="WQJAN04"/>
    <d v="2004-01-05T00:00:00"/>
    <s v="K2"/>
    <m/>
    <m/>
    <x v="10"/>
  </r>
  <r>
    <s v="WQFEB04"/>
    <d v="2004-02-05T00:00:00"/>
    <s v="K2"/>
    <n v="0.85"/>
    <n v="1.45"/>
    <x v="10"/>
  </r>
  <r>
    <s v="WQMAR04"/>
    <d v="2004-03-04T00:00:00"/>
    <s v="K2"/>
    <n v="2.61"/>
    <n v="2.4700000000000002"/>
    <x v="10"/>
  </r>
  <r>
    <s v="WQAPR04"/>
    <d v="2004-04-07T00:00:00"/>
    <s v="K2"/>
    <n v="3.84"/>
    <n v="3.83"/>
    <x v="10"/>
  </r>
  <r>
    <s v="WQMAY04"/>
    <d v="2004-05-05T00:00:00"/>
    <s v="K2"/>
    <n v="8.02"/>
    <n v="7.41"/>
    <x v="10"/>
  </r>
  <r>
    <s v="WQJUN04"/>
    <d v="2004-06-01T00:00:00"/>
    <s v="K2"/>
    <n v="12.11"/>
    <n v="11.67"/>
    <x v="10"/>
  </r>
  <r>
    <s v="WQJUL04"/>
    <d v="2004-07-08T00:00:00"/>
    <s v="K2"/>
    <n v="17.79"/>
    <n v="16.22"/>
    <x v="10"/>
  </r>
  <r>
    <s v="HYJUL04"/>
    <d v="2004-07-19T00:00:00"/>
    <s v="K2"/>
    <n v="18.96"/>
    <n v="17.89"/>
    <x v="10"/>
  </r>
  <r>
    <s v="WQAUG04"/>
    <d v="2004-08-02T00:00:00"/>
    <s v="K2"/>
    <n v="20.010000000000002"/>
    <n v="19.579999999999998"/>
    <x v="10"/>
  </r>
  <r>
    <s v="WQSEP04"/>
    <d v="2004-08-31T00:00:00"/>
    <s v="K2"/>
    <n v="20.39"/>
    <n v="19.71"/>
    <x v="10"/>
  </r>
  <r>
    <s v="WQOCT04"/>
    <d v="2004-10-06T00:00:00"/>
    <s v="K2"/>
    <n v="18.850000000000001"/>
    <n v="18.72"/>
    <x v="10"/>
  </r>
  <r>
    <s v="WQDEC04"/>
    <d v="2004-11-29T00:00:00"/>
    <s v="K2"/>
    <n v="10.5"/>
    <n v="10.8"/>
    <x v="10"/>
  </r>
  <r>
    <s v="WQJAN05"/>
    <d v="2005-01-10T00:00:00"/>
    <s v="K2"/>
    <n v="5.51"/>
    <n v="5.75"/>
    <x v="11"/>
  </r>
  <r>
    <s v="WQFEB05"/>
    <d v="2005-02-02T00:00:00"/>
    <s v="K2"/>
    <n v="2.46"/>
    <n v="2.5099999999999998"/>
    <x v="11"/>
  </r>
  <r>
    <s v="WQMAR05"/>
    <d v="2005-03-07T00:00:00"/>
    <s v="K2"/>
    <n v="1.79"/>
    <n v="1.98"/>
    <x v="11"/>
  </r>
  <r>
    <s v="WQAPR05"/>
    <d v="2005-04-05T00:00:00"/>
    <s v="K2"/>
    <n v="3.79"/>
    <n v="3.73"/>
    <x v="11"/>
  </r>
  <r>
    <s v="WQMAY05"/>
    <d v="2005-05-05T00:00:00"/>
    <s v="K2"/>
    <n v="8.31"/>
    <n v="7.39"/>
    <x v="11"/>
  </r>
  <r>
    <s v="WQJUN05"/>
    <d v="2005-06-06T00:00:00"/>
    <s v="K2"/>
    <n v="13.85"/>
    <n v="12.02"/>
    <x v="11"/>
  </r>
  <r>
    <s v="WQJUL05"/>
    <d v="2005-07-07T00:00:00"/>
    <s v="K2"/>
    <n v="17.54"/>
    <n v="16.11"/>
    <x v="11"/>
  </r>
  <r>
    <s v="WQAUG05"/>
    <d v="2005-08-02T00:00:00"/>
    <s v="K2"/>
    <n v="19.95"/>
    <n v="18.11"/>
    <x v="11"/>
  </r>
  <r>
    <s v="WQSEP05"/>
    <d v="2005-08-29T00:00:00"/>
    <s v="K2"/>
    <n v="21.18"/>
    <n v="19.5"/>
    <x v="11"/>
  </r>
  <r>
    <s v="WQOCT05"/>
    <d v="2005-10-06T00:00:00"/>
    <s v="K2"/>
    <n v="18.95"/>
    <n v="18.600000000000001"/>
    <x v="11"/>
  </r>
  <r>
    <s v="WQNOV05"/>
    <d v="2005-11-14T00:00:00"/>
    <s v="K2"/>
    <n v="13.16"/>
    <n v="13.41"/>
    <x v="11"/>
  </r>
  <r>
    <s v="WQDEC05"/>
    <d v="2005-12-05T00:00:00"/>
    <s v="K2"/>
    <n v="10.199999999999999"/>
    <n v="10.55"/>
    <x v="11"/>
  </r>
  <r>
    <s v="WQAPR06"/>
    <d v="2006-04-11T00:00:00"/>
    <s v="K2"/>
    <n v="6.33"/>
    <n v="6.19"/>
    <x v="12"/>
  </r>
  <r>
    <s v="WQMAY06"/>
    <d v="2006-05-02T00:00:00"/>
    <s v="K2"/>
    <n v="9.1"/>
    <n v="8.91"/>
    <x v="12"/>
  </r>
  <r>
    <s v="WQJUN06"/>
    <d v="2006-06-06T00:00:00"/>
    <s v="K2"/>
    <n v="14.2"/>
    <n v="11.8"/>
    <x v="12"/>
  </r>
  <r>
    <s v="WQJUL06"/>
    <d v="2006-07-06T00:00:00"/>
    <s v="K2"/>
    <n v="19.7"/>
    <n v="15.49"/>
    <x v="12"/>
  </r>
  <r>
    <s v="WQAUG06"/>
    <d v="2006-08-01T00:00:00"/>
    <s v="K2"/>
    <n v="20.76"/>
    <n v="18.86"/>
    <x v="12"/>
  </r>
  <r>
    <s v="WQSEP06"/>
    <d v="2006-08-29T00:00:00"/>
    <s v="K2"/>
    <n v="19.88"/>
    <n v="19.66"/>
    <x v="12"/>
  </r>
  <r>
    <s v="WQOCT06"/>
    <d v="2006-10-03T00:00:00"/>
    <s v="K2"/>
    <n v="18.82"/>
    <n v="18.440000000000001"/>
    <x v="12"/>
  </r>
  <r>
    <s v="WQNOV06"/>
    <d v="2006-11-06T00:00:00"/>
    <s v="K2"/>
    <n v="13.3"/>
    <n v="13.56"/>
    <x v="12"/>
  </r>
  <r>
    <s v="WQJAN07"/>
    <d v="2007-01-11T00:00:00"/>
    <s v="K2"/>
    <n v="8.01"/>
    <n v="8.89"/>
    <x v="13"/>
  </r>
  <r>
    <s v="WQFEB07"/>
    <d v="2007-02-01T00:00:00"/>
    <s v="K2"/>
    <n v="5.45"/>
    <n v="5.65"/>
    <x v="13"/>
  </r>
  <r>
    <s v="WQMAR07"/>
    <d v="2007-03-01T00:00:00"/>
    <s v="K2"/>
    <n v="2.27"/>
    <n v="2.61"/>
    <x v="13"/>
  </r>
  <r>
    <s v="WQAPR07"/>
    <d v="2007-04-02T00:00:00"/>
    <s v="K2"/>
    <m/>
    <n v="4.37"/>
    <x v="13"/>
  </r>
  <r>
    <s v="WQMAY07"/>
    <d v="2007-05-07T00:00:00"/>
    <s v="K2"/>
    <n v="8.27"/>
    <n v="7.3"/>
    <x v="13"/>
  </r>
  <r>
    <s v="WQJUN07"/>
    <d v="2007-06-05T00:00:00"/>
    <s v="K2"/>
    <n v="13.88"/>
    <n v="12.43"/>
    <x v="13"/>
  </r>
  <r>
    <s v="WQJUL07"/>
    <d v="2007-07-09T00:00:00"/>
    <s v="K2"/>
    <n v="18.14"/>
    <n v="16.170000000000002"/>
    <x v="13"/>
  </r>
  <r>
    <s v="WQAUG07"/>
    <d v="2007-07-30T00:00:00"/>
    <s v="K2"/>
    <n v="19.760000000000002"/>
    <n v="19.260000000000002"/>
    <x v="13"/>
  </r>
  <r>
    <s v="WQSEP07"/>
    <d v="2007-08-28T00:00:00"/>
    <s v="K2"/>
    <n v="20.64"/>
    <n v="20.14"/>
    <x v="13"/>
  </r>
  <r>
    <s v="WQOCT07"/>
    <d v="2007-10-02T00:00:00"/>
    <s v="K2"/>
    <n v="19.14"/>
    <n v="19.059999999999999"/>
    <x v="13"/>
  </r>
  <r>
    <s v="WQNOV07"/>
    <d v="2007-11-08T00:00:00"/>
    <s v="K2"/>
    <n v="14.68"/>
    <n v="14.78"/>
    <x v="13"/>
  </r>
  <r>
    <s v="WQDEC07"/>
    <d v="2007-12-05T00:00:00"/>
    <s v="K2"/>
    <n v="9.25"/>
    <n v="9.5299999999999994"/>
    <x v="13"/>
  </r>
  <r>
    <s v="WQJAN08"/>
    <d v="2008-01-07T00:00:00"/>
    <s v="K2"/>
    <n v="5.41"/>
    <n v="5.42"/>
    <x v="14"/>
  </r>
  <r>
    <s v="WQFEB08"/>
    <d v="2008-02-04T00:00:00"/>
    <s v="K2"/>
    <n v="3.56"/>
    <n v="4.26"/>
    <x v="14"/>
  </r>
  <r>
    <s v="WQAPR08"/>
    <d v="2008-04-03T00:00:00"/>
    <s v="K2"/>
    <n v="5.0999999999999996"/>
    <n v="5.45"/>
    <x v="14"/>
  </r>
  <r>
    <s v="WQMAY08"/>
    <d v="2008-05-05T00:00:00"/>
    <s v="K2"/>
    <n v="8.81"/>
    <n v="8.6300000000000008"/>
    <x v="14"/>
  </r>
  <r>
    <s v="WQJUN08"/>
    <d v="2008-06-02T00:00:00"/>
    <s v="K2"/>
    <n v="12.3"/>
    <n v="11.26"/>
    <x v="14"/>
  </r>
  <r>
    <s v="WQJUL08"/>
    <d v="2008-06-30T00:00:00"/>
    <s v="K2"/>
    <n v="17.79"/>
    <n v="15.99"/>
    <x v="14"/>
  </r>
  <r>
    <s v="WQAUG08"/>
    <d v="2008-08-07T00:00:00"/>
    <s v="K2"/>
    <n v="20.38"/>
    <n v="19.420000000000002"/>
    <x v="14"/>
  </r>
  <r>
    <s v="WQSEP08"/>
    <d v="2008-09-05T00:00:00"/>
    <s v="K2"/>
    <n v="20.78"/>
    <n v="19.36"/>
    <x v="14"/>
  </r>
  <r>
    <s v="WQOCT08"/>
    <d v="2008-10-06T00:00:00"/>
    <s v="K2"/>
    <n v="18.2"/>
    <n v="18.399999999999999"/>
    <x v="14"/>
  </r>
  <r>
    <s v="WQNOV08"/>
    <d v="2008-11-05T00:00:00"/>
    <s v="K2"/>
    <n v="14.26"/>
    <n v="14.02"/>
    <x v="14"/>
  </r>
  <r>
    <s v="WQDEC08"/>
    <d v="2008-12-16T00:00:00"/>
    <s v="K2"/>
    <n v="7.74"/>
    <n v="8.31"/>
    <x v="14"/>
  </r>
  <r>
    <s v="WQJAN09"/>
    <d v="2009-01-16T00:00:00"/>
    <s v="K2"/>
    <n v="4.3899999999999997"/>
    <n v="4.68"/>
    <x v="15"/>
  </r>
  <r>
    <s v="WQFEB09"/>
    <d v="2009-02-02T00:00:00"/>
    <s v="K2"/>
    <n v="2.9"/>
    <n v="3.15"/>
    <x v="15"/>
  </r>
  <r>
    <s v="WQMAR09"/>
    <d v="2009-03-04T00:00:00"/>
    <s v="K2"/>
    <n v="2.2200000000000002"/>
    <n v="2.8"/>
    <x v="15"/>
  </r>
  <r>
    <s v="WQAPR09"/>
    <d v="2009-03-31T00:00:00"/>
    <s v="K2"/>
    <n v="4.55"/>
    <n v="4.24"/>
    <x v="15"/>
  </r>
  <r>
    <s v="WQMAY09"/>
    <d v="2009-04-29T00:00:00"/>
    <s v="K2"/>
    <n v="8.84"/>
    <n v="7.2"/>
    <x v="15"/>
  </r>
  <r>
    <s v="WQJUN09"/>
    <d v="2009-06-04T00:00:00"/>
    <s v="K2"/>
    <n v="12.34"/>
    <n v="11.86"/>
    <x v="15"/>
  </r>
  <r>
    <s v="WQJUL09"/>
    <d v="2009-07-07T00:00:00"/>
    <s v="K2"/>
    <n v="17.63"/>
    <n v="16.170000000000002"/>
    <x v="15"/>
  </r>
  <r>
    <s v="WQAUG09"/>
    <d v="2009-08-03T00:00:00"/>
    <s v="K2"/>
    <n v="21.08"/>
    <n v="18.149999999999999"/>
    <x v="15"/>
  </r>
  <r>
    <s v="WQSEP09"/>
    <d v="2009-09-08T00:00:00"/>
    <s v="K2"/>
    <n v="20.5"/>
    <m/>
    <x v="15"/>
  </r>
  <r>
    <s v="WQOCT09"/>
    <d v="2009-10-05T00:00:00"/>
    <s v="K2"/>
    <n v="18.920000000000002"/>
    <n v="18.739999999999998"/>
    <x v="15"/>
  </r>
  <r>
    <s v="WQNOV09"/>
    <d v="2009-11-03T00:00:00"/>
    <s v="K2"/>
    <n v="13.96"/>
    <n v="14.12"/>
    <x v="15"/>
  </r>
  <r>
    <s v="WQDEC09"/>
    <d v="2009-12-01T00:00:00"/>
    <s v="K2"/>
    <n v="11.2"/>
    <n v="11.5"/>
    <x v="15"/>
  </r>
  <r>
    <s v="WQJAN10"/>
    <d v="2010-01-05T00:00:00"/>
    <s v="K2"/>
    <n v="4.33"/>
    <n v="5.38"/>
    <x v="16"/>
  </r>
  <r>
    <s v="WQFEB10"/>
    <d v="2010-02-05T00:00:00"/>
    <s v="K2"/>
    <n v="2.56"/>
    <n v="2.9"/>
    <x v="16"/>
  </r>
  <r>
    <s v="WQMAR10"/>
    <d v="2010-03-08T00:00:00"/>
    <s v="K2"/>
    <n v="3.47"/>
    <n v="2.84"/>
    <x v="16"/>
  </r>
  <r>
    <s v="WQAPR10"/>
    <d v="2010-04-06T00:00:00"/>
    <s v="K2"/>
    <n v="5.98"/>
    <n v="5.58"/>
    <x v="16"/>
  </r>
  <r>
    <s v="WQMAY10"/>
    <d v="2010-05-03T00:00:00"/>
    <s v="K2"/>
    <n v="10.039999999999999"/>
    <n v="8.89"/>
    <x v="16"/>
  </r>
  <r>
    <s v="WQOCT10"/>
    <d v="2010-10-06T00:00:00"/>
    <s v="K2"/>
    <m/>
    <m/>
    <x v="16"/>
  </r>
  <r>
    <s v="WQMAY11"/>
    <d v="2011-05-02T00:00:00"/>
    <s v="K2"/>
    <n v="8.75"/>
    <n v="7.46"/>
    <x v="17"/>
  </r>
  <r>
    <s v="WQJUN11"/>
    <d v="2011-05-31T00:00:00"/>
    <s v="K2"/>
    <n v="13.89"/>
    <n v="12.1"/>
    <x v="17"/>
  </r>
  <r>
    <s v="WQJUL11"/>
    <d v="2011-07-05T00:00:00"/>
    <s v="K2"/>
    <n v="18.78"/>
    <n v="17.559999999999999"/>
    <x v="17"/>
  </r>
  <r>
    <s v="WQAUG11"/>
    <d v="2011-08-01T00:00:00"/>
    <s v="K2"/>
    <n v="20.81"/>
    <n v="18.89"/>
    <x v="17"/>
  </r>
  <r>
    <s v="WQSEP11"/>
    <d v="2011-08-30T00:00:00"/>
    <s v="K2"/>
    <n v="20.73"/>
    <n v="20.14"/>
    <x v="17"/>
  </r>
  <r>
    <s v="WQOCT11"/>
    <d v="2011-10-04T00:00:00"/>
    <s v="K2"/>
    <n v="18.899999999999999"/>
    <n v="19.43"/>
    <x v="17"/>
  </r>
  <r>
    <s v="WQNOV11"/>
    <d v="2011-11-07T00:00:00"/>
    <s v="K2"/>
    <n v="13.44"/>
    <n v="13.67"/>
    <x v="17"/>
  </r>
  <r>
    <s v="WQDEC11"/>
    <d v="2011-11-28T00:00:00"/>
    <s v="K2"/>
    <n v="12.2"/>
    <n v="12.59"/>
    <x v="17"/>
  </r>
  <r>
    <s v="WQJAN12"/>
    <d v="2012-01-05T00:00:00"/>
    <s v="K2"/>
    <n v="8.0299999999999994"/>
    <n v="9.1199999999999992"/>
    <x v="18"/>
  </r>
  <r>
    <s v="WQFEB12"/>
    <d v="2012-02-01T00:00:00"/>
    <s v="K2"/>
    <n v="5.89"/>
    <n v="6.57"/>
    <x v="18"/>
  </r>
  <r>
    <s v="WQMAR12"/>
    <d v="2012-03-02T00:00:00"/>
    <s v="K2"/>
    <n v="5.69"/>
    <n v="6.57"/>
    <x v="18"/>
  </r>
  <r>
    <s v="WQAPR12"/>
    <d v="2012-04-03T00:00:00"/>
    <s v="K2"/>
    <n v="7.77"/>
    <n v="8.02"/>
    <x v="18"/>
  </r>
  <r>
    <s v="WQMAY12"/>
    <d v="2012-05-01T00:00:00"/>
    <s v="K2"/>
    <n v="10.69"/>
    <n v="10.28"/>
    <x v="18"/>
  </r>
  <r>
    <s v="WQJUN12"/>
    <d v="2012-05-29T00:00:00"/>
    <s v="K2"/>
    <n v="13.98"/>
    <n v="13.45"/>
    <x v="18"/>
  </r>
  <r>
    <s v="WQJUL12"/>
    <d v="2012-06-26T00:00:00"/>
    <s v="K2"/>
    <n v="18.16"/>
    <n v="17.510000000000002"/>
    <x v="18"/>
  </r>
  <r>
    <s v="WQAUG12"/>
    <d v="2012-07-30T00:00:00"/>
    <s v="K2"/>
    <n v="20.28"/>
    <n v="19.920000000000002"/>
    <x v="18"/>
  </r>
  <r>
    <s v="WQSEP12"/>
    <d v="2012-08-27T00:00:00"/>
    <s v="K2"/>
    <n v="21.33"/>
    <n v="21.21"/>
    <x v="18"/>
  </r>
  <r>
    <s v="WQOCT12"/>
    <d v="2012-10-10T00:00:00"/>
    <s v="K2"/>
    <n v="18.690000000000001"/>
    <n v="18.61"/>
    <x v="18"/>
  </r>
  <r>
    <s v="WQNOV12"/>
    <d v="2012-11-13T00:00:00"/>
    <s v="K2"/>
    <n v="13.3"/>
    <n v="13.33"/>
    <x v="18"/>
  </r>
  <r>
    <s v="WQDEC12"/>
    <d v="2012-12-03T00:00:00"/>
    <s v="K2"/>
    <n v="10.06"/>
    <n v="10.37"/>
    <x v="18"/>
  </r>
  <r>
    <s v="WQJAN13"/>
    <d v="2013-01-09T00:00:00"/>
    <s v="K2"/>
    <m/>
    <m/>
    <x v="19"/>
  </r>
  <r>
    <s v="WQFEB13"/>
    <d v="2013-01-28T00:00:00"/>
    <s v="K2"/>
    <n v="4.42"/>
    <n v="4.8499999999999996"/>
    <x v="19"/>
  </r>
  <r>
    <s v="WQMAR13"/>
    <d v="2013-03-05T00:00:00"/>
    <s v="K2"/>
    <n v="3.41"/>
    <n v="3.84"/>
    <x v="19"/>
  </r>
  <r>
    <s v="WQAPR13"/>
    <d v="2013-04-01T00:00:00"/>
    <s v="K2"/>
    <n v="4.49"/>
    <n v="4.32"/>
    <x v="19"/>
  </r>
  <r>
    <s v="WQMAY13"/>
    <d v="2013-04-29T00:00:00"/>
    <s v="K2"/>
    <n v="8.65"/>
    <n v="7.63"/>
    <x v="19"/>
  </r>
  <r>
    <s v="WQJUN13"/>
    <d v="2013-06-03T00:00:00"/>
    <s v="K2"/>
    <n v="14"/>
    <n v="12.51"/>
    <x v="19"/>
  </r>
  <r>
    <s v="WQJUL13"/>
    <d v="2013-07-01T00:00:00"/>
    <s v="K2"/>
    <n v="19.02"/>
    <n v="17.010000000000002"/>
    <x v="19"/>
  </r>
  <r>
    <s v="HYJUL13"/>
    <d v="2013-07-17T00:00:00"/>
    <s v="K2"/>
    <n v="20.13"/>
    <n v="17.920000000000002"/>
    <x v="19"/>
  </r>
  <r>
    <s v="WQAUG13"/>
    <d v="2013-07-29T00:00:00"/>
    <s v="K2"/>
    <n v="20.73"/>
    <n v="19.96"/>
    <x v="19"/>
  </r>
  <r>
    <s v="WQSEP13"/>
    <d v="2013-08-27T00:00:00"/>
    <s v="K2"/>
    <n v="20.75"/>
    <n v="20.09"/>
    <x v="19"/>
  </r>
  <r>
    <s v="WQOCT13"/>
    <d v="2013-10-01T00:00:00"/>
    <s v="K2"/>
    <n v="18.34"/>
    <n v="18.09"/>
    <x v="19"/>
  </r>
  <r>
    <s v="WQNOV13"/>
    <d v="2013-11-04T00:00:00"/>
    <s v="K2"/>
    <n v="14.98"/>
    <n v="15.35"/>
    <x v="19"/>
  </r>
  <r>
    <s v="WQDEC13"/>
    <d v="2013-12-02T00:00:00"/>
    <s v="K2"/>
    <n v="9.9499999999999993"/>
    <n v="9.9600000000000009"/>
    <x v="19"/>
  </r>
  <r>
    <s v="WQJAN14"/>
    <d v="2014-01-13T00:00:00"/>
    <s v="K2"/>
    <n v="3.91"/>
    <n v="4.18"/>
    <x v="20"/>
  </r>
  <r>
    <s v="WQFEB14"/>
    <d v="2014-02-03T00:00:00"/>
    <s v="K2"/>
    <n v="2.5499999999999998"/>
    <n v="2.69"/>
    <x v="20"/>
  </r>
  <r>
    <s v="WQMAR14"/>
    <d v="2014-03-07T00:00:00"/>
    <s v="K2"/>
    <n v="2.21"/>
    <n v="2.1800000000000002"/>
    <x v="20"/>
  </r>
  <r>
    <s v="WQAPR14"/>
    <d v="2014-04-07T00:00:00"/>
    <s v="K2"/>
    <n v="4.17"/>
    <n v="3.84"/>
    <x v="20"/>
  </r>
  <r>
    <s v="WQMAY14"/>
    <d v="2014-05-06T00:00:00"/>
    <s v="K2"/>
    <n v="8.33"/>
    <n v="7.03"/>
    <x v="20"/>
  </r>
  <r>
    <s v="WQJUN14"/>
    <d v="2014-06-02T00:00:00"/>
    <s v="K2"/>
    <n v="12.48"/>
    <n v="11.92"/>
    <x v="20"/>
  </r>
  <r>
    <s v="WQJUL14"/>
    <d v="2014-06-30T00:00:00"/>
    <s v="K2"/>
    <n v="18.36"/>
    <n v="16.97"/>
    <x v="20"/>
  </r>
  <r>
    <s v="WQAUG14"/>
    <d v="2014-08-04T00:00:00"/>
    <s v="K2"/>
    <n v="20.21"/>
    <n v="18.87"/>
    <x v="20"/>
  </r>
  <r>
    <s v="WQSEP14"/>
    <d v="2014-09-04T00:00:00"/>
    <s v="K2"/>
    <n v="22.33"/>
    <n v="20.059999999999999"/>
    <x v="20"/>
  </r>
  <r>
    <s v="WQOCT14"/>
    <d v="2014-09-30T00:00:00"/>
    <s v="K2"/>
    <n v="19.850000000000001"/>
    <n v="19.690000000000001"/>
    <x v="20"/>
  </r>
  <r>
    <s v="WQNOV14"/>
    <d v="2014-11-06T00:00:00"/>
    <s v="K2"/>
    <n v="14.77"/>
    <n v="14.96"/>
    <x v="20"/>
  </r>
  <r>
    <s v="WQDEC14"/>
    <d v="2014-12-15T00:00:00"/>
    <s v="K2"/>
    <n v="8.2899999999999991"/>
    <n v="8.5299999999999994"/>
    <x v="20"/>
  </r>
  <r>
    <s v="WQJAN15"/>
    <d v="2015-01-12T00:00:00"/>
    <s v="K2"/>
    <n v="4.49"/>
    <n v="5.38"/>
    <x v="21"/>
  </r>
  <r>
    <s v="WQFEB15"/>
    <d v="2015-02-04T00:00:00"/>
    <s v="K2"/>
    <n v="2.31"/>
    <n v="2.91"/>
    <x v="21"/>
  </r>
  <r>
    <s v="WQMAR15"/>
    <d v="2015-03-11T00:00:00"/>
    <s v="K2"/>
    <n v="0.88"/>
    <n v="0.57999999999999996"/>
    <x v="21"/>
  </r>
  <r>
    <s v="WQAPR15"/>
    <d v="2015-04-02T00:00:00"/>
    <s v="K2"/>
    <n v="2.38"/>
    <n v="2.31"/>
    <x v="21"/>
  </r>
  <r>
    <s v="WQMAY15"/>
    <d v="2015-04-30T00:00:00"/>
    <s v="K2"/>
    <n v="6.59"/>
    <n v="5.5"/>
    <x v="21"/>
  </r>
  <r>
    <s v="WQJUN15"/>
    <d v="2015-05-28T00:00:00"/>
    <s v="K2"/>
    <n v="12.48"/>
    <n v="9.8000000000000007"/>
    <x v="21"/>
  </r>
  <r>
    <s v="WQJUL15"/>
    <d v="2015-07-06T00:00:00"/>
    <s v="K2"/>
    <n v="17.98"/>
    <n v="17.63"/>
    <x v="21"/>
  </r>
  <r>
    <s v="WQAUG15"/>
    <d v="2015-08-06T00:00:00"/>
    <s v="K2"/>
    <n v="20.68"/>
    <n v="19.940000000000001"/>
    <x v="21"/>
  </r>
  <r>
    <s v="WQSEP15"/>
    <d v="2015-08-31T00:00:00"/>
    <s v="K2"/>
    <n v="22.19"/>
    <n v="22.02"/>
    <x v="21"/>
  </r>
  <r>
    <s v="WQOCT15"/>
    <d v="2015-10-07T00:00:00"/>
    <s v="K2"/>
    <n v="18.7"/>
    <n v="18.739999999999998"/>
    <x v="21"/>
  </r>
  <r>
    <s v="WQNOV15"/>
    <d v="2015-11-06T00:00:00"/>
    <s v="K2"/>
    <n v="15.47"/>
    <n v="15.44"/>
    <x v="21"/>
  </r>
  <r>
    <s v="WQDEC15"/>
    <d v="2015-12-16T00:00:00"/>
    <s v="K2"/>
    <n v="11.48"/>
    <n v="11.45"/>
    <x v="21"/>
  </r>
  <r>
    <s v="WQJAN16"/>
    <d v="2016-01-07T00:00:00"/>
    <s v="K2"/>
    <n v="8.4499999999999993"/>
    <n v="8.8699999999999992"/>
    <x v="22"/>
  </r>
  <r>
    <s v="WQFEB16"/>
    <d v="2016-02-04T00:00:00"/>
    <s v="K2"/>
    <n v="5.5"/>
    <n v="5.67"/>
    <x v="22"/>
  </r>
  <r>
    <s v="WQMAR16"/>
    <d v="2016-03-10T00:00:00"/>
    <s v="K2"/>
    <n v="5.23"/>
    <n v="4.92"/>
    <x v="22"/>
  </r>
  <r>
    <s v="WQAPR16"/>
    <d v="2016-04-13T00:00:00"/>
    <s v="K2"/>
    <n v="6.56"/>
    <n v="6.43"/>
    <x v="22"/>
  </r>
  <r>
    <s v="WQMAY16"/>
    <d v="2016-05-11T00:00:00"/>
    <s v="K2"/>
    <n v="9.44"/>
    <n v="9.17"/>
    <x v="22"/>
  </r>
  <r>
    <s v="WQJUN16"/>
    <d v="2016-06-08T00:00:00"/>
    <s v="K2"/>
    <n v="15.14"/>
    <n v="13.83"/>
    <x v="22"/>
  </r>
  <r>
    <s v="WQJUL16"/>
    <d v="2016-07-05T00:00:00"/>
    <s v="K2"/>
    <n v="18.89"/>
    <n v="17.77"/>
    <x v="22"/>
  </r>
  <r>
    <s v="HYJUL16"/>
    <d v="2016-07-18T00:00:00"/>
    <s v="K2"/>
    <m/>
    <m/>
    <x v="22"/>
  </r>
  <r>
    <s v="WQAUG16"/>
    <d v="2016-08-01T00:00:00"/>
    <s v="K2"/>
    <n v="20.7"/>
    <n v="19.86"/>
    <x v="22"/>
  </r>
  <r>
    <s v="HYAUG16"/>
    <d v="2016-08-16T00:00:00"/>
    <s v="K2"/>
    <n v="22.12"/>
    <n v="19.98"/>
    <x v="22"/>
  </r>
  <r>
    <s v="WQSEP16"/>
    <d v="2016-08-29T00:00:00"/>
    <s v="K2"/>
    <n v="21.64"/>
    <n v="21.2"/>
    <x v="22"/>
  </r>
  <r>
    <s v="WQOCT16"/>
    <d v="2016-10-03T00:00:00"/>
    <s v="K2"/>
    <n v="19.850000000000001"/>
    <n v="20.100000000000001"/>
    <x v="22"/>
  </r>
  <r>
    <s v="WQNOV16"/>
    <d v="2016-11-07T00:00:00"/>
    <s v="K2"/>
    <n v="14.85"/>
    <n v="15.48"/>
    <x v="22"/>
  </r>
  <r>
    <s v="WQDEC16"/>
    <d v="2016-11-30T00:00:00"/>
    <s v="K2"/>
    <n v="11.35"/>
    <n v="11.71"/>
    <x v="22"/>
  </r>
  <r>
    <s v="WQJAN17"/>
    <d v="2017-01-04T00:00:00"/>
    <s v="K2"/>
    <n v="6.49"/>
    <n v="6.71"/>
    <x v="23"/>
  </r>
  <r>
    <s v="WQFEB17"/>
    <d v="2017-02-07T00:00:00"/>
    <s v="K2"/>
    <n v="4.42"/>
    <n v="4.57"/>
    <x v="23"/>
  </r>
  <r>
    <s v="WQMAR17"/>
    <d v="2017-03-06T00:00:00"/>
    <s v="K2"/>
    <m/>
    <m/>
    <x v="23"/>
  </r>
  <r>
    <s v="WQAPR17"/>
    <d v="2017-04-03T00:00:00"/>
    <s v="K2"/>
    <m/>
    <m/>
    <x v="23"/>
  </r>
  <r>
    <s v="WQMAY17"/>
    <d v="2017-05-01T00:00:00"/>
    <s v="K2"/>
    <n v="7.97"/>
    <n v="7.83"/>
    <x v="23"/>
  </r>
  <r>
    <s v="WQJUN17"/>
    <d v="2017-06-05T00:00:00"/>
    <s v="K2"/>
    <n v="13.37"/>
    <n v="12.9"/>
    <x v="23"/>
  </r>
  <r>
    <s v="WQJUL17"/>
    <d v="2017-07-05T00:00:00"/>
    <s v="K2"/>
    <n v="19.440000000000001"/>
    <n v="16.260000000000002"/>
    <x v="23"/>
  </r>
  <r>
    <s v="WQAUG17"/>
    <d v="2017-07-31T00:00:00"/>
    <s v="K2"/>
    <n v="20.04"/>
    <n v="19.46"/>
    <x v="23"/>
  </r>
  <r>
    <s v="WQSEP17"/>
    <d v="2017-09-01T00:00:00"/>
    <s v="K2"/>
    <n v="20.62"/>
    <n v="19.940000000000001"/>
    <x v="23"/>
  </r>
  <r>
    <s v="WQOCT17"/>
    <d v="2017-10-06T00:00:00"/>
    <s v="K2"/>
    <n v="19.510000000000002"/>
    <n v="19.579999999999998"/>
    <x v="23"/>
  </r>
  <r>
    <s v="WQNOV17"/>
    <d v="2017-11-06T00:00:00"/>
    <s v="K2"/>
    <n v="16.7"/>
    <n v="17.04"/>
    <x v="23"/>
  </r>
  <r>
    <s v="WQDEC17"/>
    <d v="2017-12-04T00:00:00"/>
    <s v="K2"/>
    <n v="11.61"/>
    <n v="11.94"/>
    <x v="23"/>
  </r>
  <r>
    <s v="WQJAN18"/>
    <d v="2018-01-10T00:00:00"/>
    <s v="K2"/>
    <n v="2.67"/>
    <n v="3.35"/>
    <x v="24"/>
  </r>
  <r>
    <s v="WQFEB18"/>
    <d v="2018-02-09T00:00:00"/>
    <s v="K2"/>
    <m/>
    <m/>
    <x v="24"/>
  </r>
  <r>
    <s v="WQMAR18"/>
    <d v="2018-03-06T00:00:00"/>
    <s v="K2"/>
    <n v="3.63"/>
    <n v="3.99"/>
    <x v="24"/>
  </r>
  <r>
    <s v="WQAPR18"/>
    <d v="2018-04-09T00:00:00"/>
    <s v="K2"/>
    <n v="4.41"/>
    <n v="4.68"/>
    <x v="24"/>
  </r>
  <r>
    <s v="WQMAY18"/>
    <d v="2018-05-01T00:00:00"/>
    <s v="K2"/>
    <n v="6.93"/>
    <n v="6.74"/>
    <x v="24"/>
  </r>
  <r>
    <s v="WQJUN18"/>
    <d v="2018-05-30T00:00:00"/>
    <s v="K2"/>
    <n v="11.99"/>
    <n v="11.33"/>
    <x v="24"/>
  </r>
  <r>
    <s v="WQJUL18"/>
    <d v="2018-07-02T00:00:00"/>
    <s v="K2"/>
    <n v="18.97"/>
    <n v="16.73"/>
    <x v="24"/>
  </r>
  <r>
    <s v="HYJUL18"/>
    <d v="2018-07-18T00:00:00"/>
    <s v="K2"/>
    <n v="20.260000000000002"/>
    <n v="18.809999999999999"/>
    <x v="24"/>
  </r>
  <r>
    <s v="WQAUG18"/>
    <d v="2018-07-30T00:00:00"/>
    <s v="K2"/>
    <n v="21.54"/>
    <n v="20.38"/>
    <x v="24"/>
  </r>
  <r>
    <s v="HYAUG18"/>
    <d v="2018-08-13T00:00:00"/>
    <s v="K2"/>
    <n v="21.72"/>
    <n v="21.41"/>
    <x v="24"/>
  </r>
  <r>
    <s v="WQSEP18"/>
    <d v="2018-08-29T00:00:00"/>
    <s v="K2"/>
    <n v="22.94"/>
    <n v="21.37"/>
    <x v="24"/>
  </r>
  <r>
    <s v="WQOCT18"/>
    <d v="2018-10-02T00:00:00"/>
    <s v="K2"/>
    <n v="20.34"/>
    <n v="20.25"/>
    <x v="24"/>
  </r>
  <r>
    <s v="WQNOV18"/>
    <d v="2018-11-05T00:00:00"/>
    <s v="K2"/>
    <n v="14.1"/>
    <n v="14.19"/>
    <x v="24"/>
  </r>
  <r>
    <s v="WQDEC18"/>
    <d v="2018-11-30T00:00:00"/>
    <s v="K2"/>
    <n v="8.7799999999999994"/>
    <n v="9.64"/>
    <x v="24"/>
  </r>
  <r>
    <s v="WQJAN19"/>
    <d v="2019-01-02T00:00:00"/>
    <s v="K2"/>
    <n v="6.62"/>
    <n v="7.15"/>
    <x v="25"/>
  </r>
  <r>
    <s v="WQFEB19"/>
    <d v="2019-02-04T00:00:00"/>
    <s v="K2"/>
    <n v="3.38"/>
    <n v="3.74"/>
    <x v="25"/>
  </r>
  <r>
    <s v="WQMAR19"/>
    <d v="2019-03-08T00:00:00"/>
    <s v="K2"/>
    <n v="3.07"/>
    <n v="3.3"/>
    <x v="25"/>
  </r>
  <r>
    <s v="WQAPR19"/>
    <d v="2019-04-02T00:00:00"/>
    <s v="K2"/>
    <n v="5.18"/>
    <n v="5.33"/>
    <x v="25"/>
  </r>
  <r>
    <s v="WQMAY19"/>
    <d v="2019-05-06T00:00:00"/>
    <s v="K2"/>
    <n v="8.84"/>
    <n v="8.61"/>
    <x v="25"/>
  </r>
  <r>
    <s v="WQJUN19"/>
    <d v="2019-05-29T00:00:00"/>
    <s v="K2"/>
    <n v="13.51"/>
    <n v="11.11"/>
    <x v="25"/>
  </r>
  <r>
    <s v="WQJUL19"/>
    <d v="2019-07-01T00:00:00"/>
    <s v="K2"/>
    <n v="17.399999999999999"/>
    <n v="16.16"/>
    <x v="25"/>
  </r>
  <r>
    <s v="WQAUG19"/>
    <d v="2019-07-29T00:00:00"/>
    <s v="K2"/>
    <n v="21.12"/>
    <n v="18.690000000000001"/>
    <x v="25"/>
  </r>
  <r>
    <s v="HYAUG19"/>
    <d v="2019-08-14T00:00:00"/>
    <s v="K2"/>
    <n v="22.05"/>
    <n v="19.46"/>
    <x v="25"/>
  </r>
  <r>
    <s v="WQSEP19"/>
    <d v="2019-08-27T00:00:00"/>
    <s v="K2"/>
    <n v="20.29"/>
    <n v="19.850000000000001"/>
    <x v="25"/>
  </r>
  <r>
    <s v="WQOCT19"/>
    <d v="2019-09-30T00:00:00"/>
    <s v="K2"/>
    <n v="19.84"/>
    <n v="19.920000000000002"/>
    <x v="25"/>
  </r>
  <r>
    <s v="WQNOV19"/>
    <d v="2019-11-04T00:00:00"/>
    <s v="K2"/>
    <n v="15.02"/>
    <n v="15.65"/>
    <x v="25"/>
  </r>
  <r>
    <s v="WQDEC19"/>
    <d v="2019-12-04T00:00:00"/>
    <s v="K2"/>
    <n v="8.8000000000000007"/>
    <n v="10.06"/>
    <x v="25"/>
  </r>
  <r>
    <s v="WQJAN20"/>
    <d v="2020-01-07T00:00:00"/>
    <s v="K2"/>
    <n v="5.96"/>
    <n v="6.63"/>
    <x v="26"/>
  </r>
  <r>
    <s v="WQFEB20"/>
    <d v="2020-02-13T00:00:00"/>
    <s v="K2"/>
    <n v="5.32"/>
    <n v="5.4"/>
    <x v="26"/>
  </r>
  <r>
    <s v="WQMAR20"/>
    <d v="2020-03-09T00:00:00"/>
    <s v="K2"/>
    <n v="5.42"/>
    <n v="5.39"/>
    <x v="26"/>
  </r>
  <r>
    <s v="WQJUN20"/>
    <d v="2020-06-16T00:00:00"/>
    <s v="K2"/>
    <n v="15.99"/>
    <n v="13.89"/>
    <x v="26"/>
  </r>
  <r>
    <s v="WQJUL20"/>
    <d v="2020-07-06T00:00:00"/>
    <s v="K2"/>
    <n v="18.440000000000001"/>
    <n v="17.86"/>
    <x v="26"/>
  </r>
  <r>
    <s v="WQAUG20"/>
    <d v="2020-08-10T00:00:00"/>
    <s v="K2"/>
    <n v="22.08"/>
    <n v="20.399999999999999"/>
    <x v="26"/>
  </r>
  <r>
    <s v="HYAUG20"/>
    <d v="2020-08-25T00:00:00"/>
    <s v="K2"/>
    <n v="22.16"/>
    <n v="21.52"/>
    <x v="26"/>
  </r>
  <r>
    <s v="WQSEP20"/>
    <d v="2020-09-10T00:00:00"/>
    <s v="K2"/>
    <n v="22.54"/>
    <n v="20.48"/>
    <x v="26"/>
  </r>
  <r>
    <s v="WQOCT20"/>
    <d v="2020-10-06T00:00:00"/>
    <s v="K2"/>
    <n v="19.05"/>
    <n v="19.22"/>
    <x v="26"/>
  </r>
  <r>
    <s v="WQNOV20"/>
    <d v="2020-11-09T00:00:00"/>
    <s v="K2"/>
    <n v="14.78"/>
    <n v="14.82"/>
    <x v="26"/>
  </r>
  <r>
    <s v="WQMAR21"/>
    <d v="2021-03-08T00:00:00"/>
    <s v="K2"/>
    <n v="3.33"/>
    <n v="3.13"/>
    <x v="27"/>
  </r>
  <r>
    <s v="WQAPR21"/>
    <d v="2021-04-06T00:00:00"/>
    <s v="K2"/>
    <n v="5.87"/>
    <n v="5.8"/>
    <x v="27"/>
  </r>
  <r>
    <s v="WQMAY21"/>
    <d v="2021-05-06T00:00:00"/>
    <s v="K2"/>
    <n v="8.7200000000000006"/>
    <n v="9.49"/>
    <x v="27"/>
  </r>
  <r>
    <s v="WQJUN21"/>
    <d v="2021-06-03T00:00:00"/>
    <s v="K2"/>
    <n v="12.19"/>
    <n v="13.11"/>
    <x v="27"/>
  </r>
  <r>
    <s v="WQJUL21"/>
    <d v="2021-07-06T00:00:00"/>
    <s v="K2"/>
    <n v="16.97"/>
    <n v="18.21"/>
    <x v="27"/>
  </r>
  <r>
    <s v="WQAUG21"/>
    <d v="2021-08-02T00:00:00"/>
    <s v="K2"/>
    <n v="19.34"/>
    <n v="21.08"/>
    <x v="27"/>
  </r>
  <r>
    <s v="HYAUG21"/>
    <d v="2021-08-18T00:00:00"/>
    <s v="K2"/>
    <n v="20.69"/>
    <n v="21.95"/>
    <x v="27"/>
  </r>
  <r>
    <s v="WQSEP21"/>
    <d v="2021-08-30T00:00:00"/>
    <s v="K2"/>
    <n v="21.63"/>
    <n v="22.11"/>
    <x v="27"/>
  </r>
  <r>
    <s v="WQOCT21"/>
    <d v="2021-10-04T00:00:00"/>
    <s v="K2"/>
    <n v="20.12"/>
    <n v="20.47"/>
    <x v="27"/>
  </r>
  <r>
    <s v="WQNOV21"/>
    <d v="2021-11-04T00:00:00"/>
    <s v="K2"/>
    <n v="16.66"/>
    <n v="16.350000000000001"/>
    <x v="27"/>
  </r>
  <r>
    <s v="WQDEC21"/>
    <d v="2021-12-02T00:00:00"/>
    <s v="K2"/>
    <n v="11.81"/>
    <n v="11.59"/>
    <x v="27"/>
  </r>
  <r>
    <s v="WQFEB22"/>
    <d v="2022-02-01T00:00:00"/>
    <s v="K2"/>
    <n v="4.0199999999999996"/>
    <n v="4.3099999999999996"/>
    <x v="28"/>
  </r>
  <r>
    <s v="WQMAR22"/>
    <d v="2022-03-02T00:00:00"/>
    <s v="K2"/>
    <n v="4.01"/>
    <n v="4.21"/>
    <x v="28"/>
  </r>
  <r>
    <s v="WQAPR22"/>
    <d v="2022-04-04T00:00:00"/>
    <s v="K2"/>
    <n v="5.83"/>
    <n v="6.01"/>
    <x v="28"/>
  </r>
  <r>
    <s v="WQMAY22"/>
    <d v="2022-05-04T00:00:00"/>
    <s v="K2"/>
    <n v="9.2100000000000009"/>
    <n v="8.8000000000000007"/>
    <x v="28"/>
  </r>
  <r>
    <s v="WQJUN22"/>
    <d v="2022-06-02T00:00:00"/>
    <s v="K2"/>
    <n v="14.45"/>
    <n v="13.18"/>
    <x v="28"/>
  </r>
  <r>
    <s v="WQJUL22"/>
    <d v="2022-07-06T00:00:00"/>
    <s v="K2"/>
    <n v="18.98"/>
    <n v="17"/>
    <x v="28"/>
  </r>
  <r>
    <s v="WQAUG22"/>
    <d v="2022-08-01T00:00:00"/>
    <s v="K2"/>
    <n v="22.21"/>
    <n v="19.670000000000002"/>
    <x v="28"/>
  </r>
  <r>
    <s v="WQSEP22"/>
    <d v="2022-08-31T00:00:00"/>
    <s v="K2"/>
    <n v="22.68"/>
    <n v="21.82"/>
    <x v="28"/>
  </r>
  <r>
    <s v="WQOCT22"/>
    <d v="2022-10-06T00:00:00"/>
    <s v="K2"/>
    <n v="18.309999999999999"/>
    <n v="18.23"/>
    <x v="28"/>
  </r>
  <r>
    <s v="WQNOV22"/>
    <d v="2022-11-07T00:00:00"/>
    <s v="K2"/>
    <m/>
    <m/>
    <x v="28"/>
  </r>
  <r>
    <s v="WQDEC22"/>
    <d v="2022-12-15T00:00:00"/>
    <s v="K2"/>
    <n v="9.1199999999999992"/>
    <n v="9.7799999999999994"/>
    <x v="28"/>
  </r>
  <r>
    <s v="WQJAN23"/>
    <d v="2023-01-03T00:00:00"/>
    <s v="K2"/>
    <n v="6.45"/>
    <n v="7.03"/>
    <x v="29"/>
  </r>
  <r>
    <s v="WQFEB23"/>
    <d v="2023-02-06T00:00:00"/>
    <s v="K2"/>
    <n v="5.13"/>
    <n v="5.47"/>
    <x v="29"/>
  </r>
  <r>
    <s v="WQAPR23"/>
    <d v="2023-04-17T00:00:00"/>
    <s v="K2"/>
    <n v="8.01"/>
    <n v="7.53"/>
    <x v="29"/>
  </r>
  <r>
    <s v="WQMAY23"/>
    <d v="2023-05-08T00:00:00"/>
    <s v="K2"/>
    <n v="10.4"/>
    <n v="10.02"/>
    <x v="29"/>
  </r>
  <r>
    <s v="WQJUN23"/>
    <d v="2023-05-31T00:00:00"/>
    <s v="K2"/>
    <n v="14"/>
    <n v="13.02"/>
    <x v="29"/>
  </r>
  <r>
    <s v="WQJUL23"/>
    <d v="2023-07-05T00:00:00"/>
    <s v="K2"/>
    <m/>
    <m/>
    <x v="29"/>
  </r>
  <r>
    <s v="WQAUG23"/>
    <d v="2023-07-31T00:00:00"/>
    <s v="K2"/>
    <n v="22.51"/>
    <n v="18.82"/>
    <x v="29"/>
  </r>
  <r>
    <s v="WQSEP23"/>
    <d v="2023-08-29T00:00:00"/>
    <s v="K2"/>
    <n v="20.399999999999999"/>
    <n v="19.73"/>
    <x v="29"/>
  </r>
  <r>
    <s v="WQOCT23"/>
    <d v="2023-10-05T00:00:00"/>
    <s v="K2"/>
    <n v="18.95"/>
    <n v="18.63"/>
    <x v="29"/>
  </r>
  <r>
    <s v="WQNOV23"/>
    <d v="2023-11-07T00:00:00"/>
    <s v="K2"/>
    <n v="14.8"/>
    <n v="15.02"/>
    <x v="29"/>
  </r>
  <r>
    <s v="WQDEC23"/>
    <d v="2023-12-04T00:00:00"/>
    <s v="K2"/>
    <n v="10.58"/>
    <n v="11.02"/>
    <x v="29"/>
  </r>
  <r>
    <s v="WQJAN24"/>
    <d v="2024-01-03T00:00:00"/>
    <s v="K2"/>
    <n v="7.9"/>
    <n v="8.7100000000000009"/>
    <x v="30"/>
  </r>
  <r>
    <s v="WQFEB24"/>
    <d v="2024-02-05T00:00:00"/>
    <s v="K2"/>
    <n v="4.8899999999999997"/>
    <n v="5.8"/>
    <x v="30"/>
  </r>
  <r>
    <s v="WQMAR24"/>
    <d v="2024-03-04T00:00:00"/>
    <s v="K2"/>
    <n v="4.93"/>
    <n v="4.9800000000000004"/>
    <x v="30"/>
  </r>
  <r>
    <s v="WQAPR24"/>
    <d v="2024-04-01T00:00:00"/>
    <s v="K2"/>
    <n v="6.22"/>
    <n v="5.87"/>
    <x v="30"/>
  </r>
  <r>
    <s v="WQMAY24"/>
    <d v="2024-05-02T00:00:00"/>
    <s v="K2"/>
    <n v="9.42"/>
    <n v="8.41"/>
    <x v="30"/>
  </r>
  <r>
    <s v="WQJUN24"/>
    <d v="2024-05-30T00:00:00"/>
    <s v="K2"/>
    <n v="14.53"/>
    <n v="12.72"/>
    <x v="30"/>
  </r>
  <r>
    <s v="WQJUL24"/>
    <d v="2024-06-27T00:00:00"/>
    <s v="K2"/>
    <n v="17.05"/>
    <n v="15.64"/>
    <x v="30"/>
  </r>
  <r>
    <s v="HYJUL24"/>
    <d v="2024-07-15T00:00:00"/>
    <s v="K2"/>
    <n v="21.73"/>
    <n v="17.399999999999999"/>
    <x v="30"/>
  </r>
  <r>
    <s v="WQAUG24"/>
    <d v="2024-07-29T00:00:00"/>
    <s v="K2"/>
    <n v="19.7"/>
    <n v="18.48"/>
    <x v="30"/>
  </r>
  <r>
    <s v="WQSEP24"/>
    <d v="2024-08-26T00:00:00"/>
    <s v="K2"/>
    <n v="20.68"/>
    <n v="20.02"/>
    <x v="30"/>
  </r>
  <r>
    <s v="WQOCT24"/>
    <d v="2024-10-02T00:00:00"/>
    <s v="K2"/>
    <n v="18.989999999999998"/>
    <n v="19.14"/>
    <x v="30"/>
  </r>
  <r>
    <m/>
    <m/>
    <m/>
    <m/>
    <m/>
    <x v="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s v="HYJUN94"/>
    <d v="1994-06-21T00:00:00"/>
    <s v="J2"/>
    <n v="14.66"/>
    <m/>
    <x v="0"/>
  </r>
  <r>
    <s v="WQJUL94"/>
    <d v="1994-07-08T00:00:00"/>
    <s v="J2"/>
    <n v="20.9"/>
    <m/>
    <x v="0"/>
  </r>
  <r>
    <s v="WQJAN95"/>
    <d v="1995-01-11T00:00:00"/>
    <s v="J2"/>
    <n v="4.8"/>
    <n v="5.35"/>
    <x v="1"/>
  </r>
  <r>
    <s v="WQFEB95"/>
    <d v="1995-02-16T00:00:00"/>
    <s v="J2"/>
    <n v="2.92"/>
    <n v="2.81"/>
    <x v="1"/>
  </r>
  <r>
    <s v="WQMAR95"/>
    <d v="1995-03-06T00:00:00"/>
    <s v="J2"/>
    <n v="3.27"/>
    <n v="2.98"/>
    <x v="1"/>
  </r>
  <r>
    <s v="WQAPR95"/>
    <d v="1995-04-03T00:00:00"/>
    <s v="J2"/>
    <n v="5.05"/>
    <n v="5.18"/>
    <x v="1"/>
  </r>
  <r>
    <s v="WQMAY95"/>
    <d v="1995-05-05T00:00:00"/>
    <s v="J2"/>
    <n v="8.65"/>
    <n v="8.4700000000000006"/>
    <x v="1"/>
  </r>
  <r>
    <s v="WQJUN95"/>
    <d v="1995-06-02T00:00:00"/>
    <s v="J2"/>
    <n v="12.84"/>
    <n v="12.5787"/>
    <x v="1"/>
  </r>
  <r>
    <s v="HYJUN95"/>
    <d v="1995-06-22T00:00:00"/>
    <s v="J2"/>
    <n v="16.16"/>
    <n v="15.8"/>
    <x v="1"/>
  </r>
  <r>
    <s v="WQJUL95"/>
    <d v="1995-07-11T00:00:00"/>
    <s v="J2"/>
    <m/>
    <n v="18.3903"/>
    <x v="1"/>
  </r>
  <r>
    <s v="WQAUG95"/>
    <d v="1995-07-31T00:00:00"/>
    <s v="J2"/>
    <n v="23.28"/>
    <n v="21.39"/>
    <x v="1"/>
  </r>
  <r>
    <s v="WQSEP95"/>
    <d v="1995-09-12T00:00:00"/>
    <s v="J2"/>
    <n v="21.19"/>
    <n v="21.18"/>
    <x v="1"/>
  </r>
  <r>
    <s v="WQOCT95"/>
    <d v="1995-10-02T00:00:00"/>
    <s v="J2"/>
    <n v="19.03"/>
    <n v="19"/>
    <x v="1"/>
  </r>
  <r>
    <s v="WQDEC95"/>
    <d v="1995-12-05T00:00:00"/>
    <s v="J2"/>
    <n v="9.8000000000000007"/>
    <n v="9.85"/>
    <x v="1"/>
  </r>
  <r>
    <s v="WQJAN96"/>
    <d v="1996-01-10T00:00:00"/>
    <s v="J2"/>
    <n v="1.53"/>
    <n v="1.96"/>
    <x v="2"/>
  </r>
  <r>
    <s v="WQFEB96"/>
    <d v="1996-02-07T00:00:00"/>
    <s v="J2"/>
    <n v="1.44"/>
    <n v="1.43"/>
    <x v="2"/>
  </r>
  <r>
    <s v="WQMAR96"/>
    <d v="1996-03-07T00:00:00"/>
    <s v="J2"/>
    <n v="1.52"/>
    <n v="1.52"/>
    <x v="2"/>
  </r>
  <r>
    <s v="WQAPR96"/>
    <d v="1996-04-03T00:00:00"/>
    <s v="J2"/>
    <n v="3.38"/>
    <n v="3.37"/>
    <x v="2"/>
  </r>
  <r>
    <s v="WQMAY96"/>
    <d v="1996-05-10T00:00:00"/>
    <s v="J2"/>
    <n v="7.85"/>
    <n v="7.53"/>
    <x v="2"/>
  </r>
  <r>
    <s v="WQJUN96"/>
    <d v="1996-06-05T00:00:00"/>
    <s v="J2"/>
    <n v="11.9"/>
    <n v="11.89"/>
    <x v="2"/>
  </r>
  <r>
    <s v="WQJUL96"/>
    <d v="1996-07-10T00:00:00"/>
    <s v="J2"/>
    <n v="18.41"/>
    <n v="17.5"/>
    <x v="2"/>
  </r>
  <r>
    <s v="WQAUG96"/>
    <d v="1996-08-06T00:00:00"/>
    <s v="J2"/>
    <n v="18.5"/>
    <n v="18.22"/>
    <x v="2"/>
  </r>
  <r>
    <s v="WQSEP96"/>
    <d v="1996-09-04T00:00:00"/>
    <s v="J2"/>
    <n v="20.56"/>
    <n v="19.91"/>
    <x v="2"/>
  </r>
  <r>
    <s v="WQOCT96"/>
    <d v="1996-10-02T00:00:00"/>
    <s v="J2"/>
    <n v="19.02"/>
    <n v="18.850000000000001"/>
    <x v="2"/>
  </r>
  <r>
    <s v="WQNOV96"/>
    <d v="1996-11-07T00:00:00"/>
    <s v="J2"/>
    <n v="13.76"/>
    <n v="13.52"/>
    <x v="2"/>
  </r>
  <r>
    <s v="WQDEC96"/>
    <d v="1996-12-03T00:00:00"/>
    <s v="J2"/>
    <n v="9.0500000000000007"/>
    <n v="9.2899999999999991"/>
    <x v="2"/>
  </r>
  <r>
    <s v="WQJAN97"/>
    <d v="1997-01-14T00:00:00"/>
    <s v="J2"/>
    <n v="4.5599999999999996"/>
    <n v="4.7"/>
    <x v="3"/>
  </r>
  <r>
    <s v="WQFEB97"/>
    <d v="1997-02-06T00:00:00"/>
    <s v="J2"/>
    <n v="3.41"/>
    <n v="3.42"/>
    <x v="3"/>
  </r>
  <r>
    <s v="WQMAR97"/>
    <d v="1997-03-05T00:00:00"/>
    <s v="J2"/>
    <n v="3.72"/>
    <n v="3.85"/>
    <x v="3"/>
  </r>
  <r>
    <s v="WQAPR97"/>
    <d v="1997-04-04T00:00:00"/>
    <s v="J2"/>
    <n v="5.13"/>
    <n v="5.0199999999999996"/>
    <x v="3"/>
  </r>
  <r>
    <s v="WQMAY97"/>
    <d v="1997-05-05T00:00:00"/>
    <s v="J2"/>
    <n v="8.3800000000000008"/>
    <n v="8.0399999999999991"/>
    <x v="3"/>
  </r>
  <r>
    <s v="WQJUN97"/>
    <d v="1997-06-03T00:00:00"/>
    <s v="J2"/>
    <n v="11.8"/>
    <n v="11.05"/>
    <x v="3"/>
  </r>
  <r>
    <s v="HYJUN97"/>
    <d v="1997-06-30T00:00:00"/>
    <s v="J2"/>
    <n v="17.7"/>
    <m/>
    <x v="3"/>
  </r>
  <r>
    <s v="WQJUL97"/>
    <d v="1997-07-08T00:00:00"/>
    <s v="J2"/>
    <n v="17.07"/>
    <n v="17"/>
    <x v="3"/>
  </r>
  <r>
    <s v="WQAUG97"/>
    <d v="1997-08-07T00:00:00"/>
    <s v="J2"/>
    <n v="20.36"/>
    <n v="19.89"/>
    <x v="3"/>
  </r>
  <r>
    <s v="WQSEP97"/>
    <d v="1997-09-03T00:00:00"/>
    <s v="J2"/>
    <n v="21.34"/>
    <n v="20.48"/>
    <x v="3"/>
  </r>
  <r>
    <s v="WQOCT97"/>
    <d v="1997-10-06T00:00:00"/>
    <s v="J2"/>
    <n v="17.75"/>
    <n v="17.739999999999998"/>
    <x v="3"/>
  </r>
  <r>
    <s v="WQNOV97"/>
    <d v="1997-11-05T00:00:00"/>
    <s v="J2"/>
    <n v="14.47"/>
    <n v="14.56"/>
    <x v="3"/>
  </r>
  <r>
    <s v="WQDEC97"/>
    <d v="1997-12-05T00:00:00"/>
    <s v="J2"/>
    <n v="8.6300000000000008"/>
    <n v="8.65"/>
    <x v="3"/>
  </r>
  <r>
    <s v="WQJAN98"/>
    <d v="1998-01-07T00:00:00"/>
    <s v="J2"/>
    <n v="5.41"/>
    <n v="5.48"/>
    <x v="4"/>
  </r>
  <r>
    <s v="WQFEB98"/>
    <d v="1998-02-03T00:00:00"/>
    <s v="J2"/>
    <n v="4.1500000000000004"/>
    <n v="4.1500000000000004"/>
    <x v="4"/>
  </r>
  <r>
    <s v="WQMAR98"/>
    <d v="1998-02-27T00:00:00"/>
    <s v="J2"/>
    <n v="4.28"/>
    <n v="4.18"/>
    <x v="4"/>
  </r>
  <r>
    <s v="WQAPR98"/>
    <d v="1998-04-14T00:00:00"/>
    <s v="J2"/>
    <n v="7.11"/>
    <n v="6.32"/>
    <x v="4"/>
  </r>
  <r>
    <s v="WQMAY98"/>
    <d v="1998-05-08T00:00:00"/>
    <s v="J2"/>
    <m/>
    <n v="9.4389000000000003"/>
    <x v="4"/>
  </r>
  <r>
    <s v="WQJUN98"/>
    <d v="1998-06-08T00:00:00"/>
    <s v="J2"/>
    <n v="13.58"/>
    <n v="13.47"/>
    <x v="4"/>
  </r>
  <r>
    <s v="HYJUN98"/>
    <d v="1998-06-24T00:00:00"/>
    <s v="J2"/>
    <n v="15.59"/>
    <n v="15.55"/>
    <x v="4"/>
  </r>
  <r>
    <s v="WQJUL98"/>
    <d v="1998-07-07T00:00:00"/>
    <s v="J2"/>
    <n v="19.34"/>
    <n v="17.16"/>
    <x v="4"/>
  </r>
  <r>
    <s v="HYJUL98"/>
    <d v="1998-07-21T00:00:00"/>
    <s v="J2"/>
    <n v="18.04"/>
    <n v="18.03"/>
    <x v="4"/>
  </r>
  <r>
    <s v="WQAUG98"/>
    <d v="1998-08-05T00:00:00"/>
    <s v="J2"/>
    <n v="24.15"/>
    <n v="19.559999999999999"/>
    <x v="4"/>
  </r>
  <r>
    <s v="HYAUG98"/>
    <d v="1998-08-21T00:00:00"/>
    <s v="J2"/>
    <n v="20.78"/>
    <n v="20.2"/>
    <x v="4"/>
  </r>
  <r>
    <s v="WQSEP98"/>
    <d v="1998-09-01T00:00:00"/>
    <s v="J2"/>
    <n v="21.59"/>
    <n v="20.6"/>
    <x v="4"/>
  </r>
  <r>
    <s v="WQOCT98"/>
    <d v="1998-10-05T00:00:00"/>
    <s v="J2"/>
    <n v="18.63"/>
    <n v="18.55"/>
    <x v="4"/>
  </r>
  <r>
    <s v="WQNOV98"/>
    <d v="1998-11-04T00:00:00"/>
    <s v="J2"/>
    <n v="13.75"/>
    <n v="13.77"/>
    <x v="4"/>
  </r>
  <r>
    <s v="WQDEC98"/>
    <d v="1998-11-30T00:00:00"/>
    <s v="J2"/>
    <n v="10.61"/>
    <n v="10.61"/>
    <x v="4"/>
  </r>
  <r>
    <s v="WQJAN99"/>
    <d v="1999-01-06T00:00:00"/>
    <s v="J2"/>
    <n v="5.46"/>
    <n v="5.54"/>
    <x v="5"/>
  </r>
  <r>
    <s v="WQFEB99"/>
    <d v="1999-02-02T00:00:00"/>
    <s v="J2"/>
    <n v="3.66"/>
    <n v="3.66"/>
    <x v="5"/>
  </r>
  <r>
    <s v="WQMAR99"/>
    <d v="1999-03-05T00:00:00"/>
    <s v="J2"/>
    <n v="3.31"/>
    <n v="3.72"/>
    <x v="5"/>
  </r>
  <r>
    <s v="WQAPR99"/>
    <d v="1999-04-06T00:00:00"/>
    <s v="J2"/>
    <n v="5.39"/>
    <n v="5.44"/>
    <x v="5"/>
  </r>
  <r>
    <s v="WQMAY99"/>
    <d v="1999-05-05T00:00:00"/>
    <s v="J2"/>
    <n v="9.11"/>
    <n v="9.0399999999999991"/>
    <x v="5"/>
  </r>
  <r>
    <s v="WQJUN99"/>
    <d v="1999-06-02T00:00:00"/>
    <s v="J2"/>
    <n v="14.33"/>
    <n v="13.64"/>
    <x v="5"/>
  </r>
  <r>
    <s v="HYJUN99"/>
    <d v="1999-06-22T00:00:00"/>
    <s v="J2"/>
    <n v="16.760000000000002"/>
    <m/>
    <x v="5"/>
  </r>
  <r>
    <s v="WQJUL99"/>
    <d v="1999-07-06T00:00:00"/>
    <s v="J2"/>
    <n v="20.23"/>
    <n v="18.61"/>
    <x v="5"/>
  </r>
  <r>
    <s v="HYJUL99"/>
    <d v="1999-07-20T00:00:00"/>
    <s v="J2"/>
    <n v="19.149999999999999"/>
    <m/>
    <x v="5"/>
  </r>
  <r>
    <s v="WQAUG99"/>
    <d v="1999-08-03T00:00:00"/>
    <s v="J2"/>
    <n v="21.22"/>
    <n v="20.27"/>
    <x v="5"/>
  </r>
  <r>
    <s v="HYAUG99"/>
    <d v="1999-08-17T00:00:00"/>
    <s v="J2"/>
    <n v="21.9"/>
    <m/>
    <x v="5"/>
  </r>
  <r>
    <s v="WQSEP99"/>
    <d v="1999-09-02T00:00:00"/>
    <s v="J2"/>
    <n v="21.01"/>
    <n v="21.01"/>
    <x v="5"/>
  </r>
  <r>
    <s v="WQOCT99"/>
    <d v="1999-10-05T00:00:00"/>
    <s v="J2"/>
    <n v="19.170000000000002"/>
    <n v="19.18"/>
    <x v="5"/>
  </r>
  <r>
    <s v="WQNOV99"/>
    <d v="1999-11-08T00:00:00"/>
    <s v="J2"/>
    <n v="14.09"/>
    <n v="14.3"/>
    <x v="5"/>
  </r>
  <r>
    <s v="WQDEC99"/>
    <d v="1999-12-08T00:00:00"/>
    <s v="J2"/>
    <n v="10.37"/>
    <n v="10.43"/>
    <x v="5"/>
  </r>
  <r>
    <s v="WQJAN00"/>
    <d v="2000-01-13T00:00:00"/>
    <s v="J2"/>
    <n v="6.22"/>
    <n v="6.4"/>
    <x v="6"/>
  </r>
  <r>
    <s v="WQFEB00"/>
    <d v="2000-02-03T00:00:00"/>
    <s v="J2"/>
    <n v="1.95"/>
    <n v="2.06"/>
    <x v="6"/>
  </r>
  <r>
    <s v="WQMAR00"/>
    <d v="2000-03-01T00:00:00"/>
    <s v="J2"/>
    <n v="2.74"/>
    <n v="2.73"/>
    <x v="6"/>
  </r>
  <r>
    <s v="WQAPR00"/>
    <d v="2000-04-05T00:00:00"/>
    <s v="J2"/>
    <n v="5.48"/>
    <n v="5.47"/>
    <x v="6"/>
  </r>
  <r>
    <s v="WQMAY00"/>
    <d v="2000-05-01T00:00:00"/>
    <s v="J2"/>
    <n v="8.23"/>
    <n v="7.61"/>
    <x v="6"/>
  </r>
  <r>
    <s v="WQJUN00"/>
    <d v="2000-06-01T00:00:00"/>
    <s v="J2"/>
    <n v="12.32"/>
    <n v="12.13"/>
    <x v="6"/>
  </r>
  <r>
    <s v="HYJUN00"/>
    <d v="2000-06-22T00:00:00"/>
    <s v="J2"/>
    <n v="16.97"/>
    <n v="15.44"/>
    <x v="6"/>
  </r>
  <r>
    <s v="WQJUL00"/>
    <d v="2000-07-06T00:00:00"/>
    <s v="J2"/>
    <n v="18.53"/>
    <n v="18.190000000000001"/>
    <x v="6"/>
  </r>
  <r>
    <s v="HYJUL00"/>
    <d v="2000-07-18T00:00:00"/>
    <s v="J2"/>
    <n v="21.13"/>
    <n v="19.489999999999998"/>
    <x v="6"/>
  </r>
  <r>
    <s v="WQAUG00"/>
    <d v="2000-07-31T00:00:00"/>
    <s v="J2"/>
    <n v="19.670000000000002"/>
    <n v="19.54"/>
    <x v="6"/>
  </r>
  <r>
    <s v="HYAUG00"/>
    <d v="2000-08-15T00:00:00"/>
    <s v="J2"/>
    <n v="20.59"/>
    <n v="20.52"/>
    <x v="6"/>
  </r>
  <r>
    <s v="WQSEP00"/>
    <d v="2000-08-29T00:00:00"/>
    <s v="J2"/>
    <n v="20.74"/>
    <n v="20.51"/>
    <x v="6"/>
  </r>
  <r>
    <s v="WQOCT00"/>
    <d v="2000-10-04T00:00:00"/>
    <s v="J2"/>
    <n v="18.600000000000001"/>
    <n v="18.489999999999998"/>
    <x v="6"/>
  </r>
  <r>
    <s v="WQNOV00"/>
    <d v="2000-11-08T00:00:00"/>
    <s v="J2"/>
    <n v="13.41"/>
    <n v="13.46"/>
    <x v="6"/>
  </r>
  <r>
    <s v="WQDEC00"/>
    <d v="2000-12-06T00:00:00"/>
    <s v="J2"/>
    <n v="8.6"/>
    <n v="8.89"/>
    <x v="6"/>
  </r>
  <r>
    <s v="WQJAN01"/>
    <d v="2001-01-08T00:00:00"/>
    <s v="J2"/>
    <m/>
    <m/>
    <x v="7"/>
  </r>
  <r>
    <s v="WQFEB01"/>
    <d v="2001-02-02T00:00:00"/>
    <s v="J2"/>
    <n v="2.63"/>
    <n v="2.91"/>
    <x v="7"/>
  </r>
  <r>
    <s v="WQMAR01"/>
    <d v="2001-03-01T00:00:00"/>
    <s v="J2"/>
    <n v="2.46"/>
    <n v="2.44"/>
    <x v="7"/>
  </r>
  <r>
    <s v="WQAPR01"/>
    <d v="2001-04-03T00:00:00"/>
    <s v="J2"/>
    <n v="3.86"/>
    <n v="3.81"/>
    <x v="7"/>
  </r>
  <r>
    <s v="WQMAY01"/>
    <d v="2001-04-30T00:00:00"/>
    <s v="J2"/>
    <m/>
    <m/>
    <x v="7"/>
  </r>
  <r>
    <s v="WQJUN01"/>
    <d v="2001-06-04T00:00:00"/>
    <s v="J2"/>
    <n v="12.83"/>
    <n v="12.5"/>
    <x v="7"/>
  </r>
  <r>
    <s v="WQJUL01"/>
    <d v="2001-07-09T00:00:00"/>
    <s v="J2"/>
    <n v="18.87"/>
    <n v="18.09"/>
    <x v="7"/>
  </r>
  <r>
    <s v="HYJUL01"/>
    <d v="2001-07-24T00:00:00"/>
    <s v="J2"/>
    <n v="19.87"/>
    <n v="19.440000000000001"/>
    <x v="7"/>
  </r>
  <r>
    <s v="WQAUG01"/>
    <d v="2001-08-08T00:00:00"/>
    <s v="J2"/>
    <n v="21.63"/>
    <n v="20.18"/>
    <x v="7"/>
  </r>
  <r>
    <s v="HYAUG01"/>
    <d v="2001-08-22T00:00:00"/>
    <s v="J2"/>
    <n v="21.33"/>
    <n v="20.71"/>
    <x v="7"/>
  </r>
  <r>
    <s v="WQSEP01"/>
    <d v="2001-09-07T00:00:00"/>
    <s v="J2"/>
    <n v="21.76"/>
    <n v="21.52"/>
    <x v="7"/>
  </r>
  <r>
    <s v="WQOCT01"/>
    <d v="2001-10-02T00:00:00"/>
    <s v="J2"/>
    <n v="19.010000000000002"/>
    <n v="18.93"/>
    <x v="7"/>
  </r>
  <r>
    <s v="WQNOV01"/>
    <d v="2001-11-08T00:00:00"/>
    <s v="J2"/>
    <n v="14.15"/>
    <n v="14.11"/>
    <x v="7"/>
  </r>
  <r>
    <s v="WQDEC01"/>
    <d v="2001-12-04T00:00:00"/>
    <s v="J2"/>
    <n v="11.91"/>
    <n v="11.91"/>
    <x v="7"/>
  </r>
  <r>
    <s v="WQJAN02"/>
    <d v="2002-01-11T00:00:00"/>
    <s v="J2"/>
    <n v="6.07"/>
    <n v="6.26"/>
    <x v="8"/>
  </r>
  <r>
    <s v="WQFEB02"/>
    <d v="2002-02-04T00:00:00"/>
    <s v="J2"/>
    <n v="4.9800000000000004"/>
    <n v="4.9400000000000004"/>
    <x v="8"/>
  </r>
  <r>
    <s v="WQMAR02"/>
    <d v="2002-03-05T00:00:00"/>
    <s v="J2"/>
    <n v="4.71"/>
    <n v="4.6500000000000004"/>
    <x v="8"/>
  </r>
  <r>
    <s v="WQAPR02"/>
    <d v="2002-04-02T00:00:00"/>
    <s v="J2"/>
    <n v="5.87"/>
    <n v="5.66"/>
    <x v="8"/>
  </r>
  <r>
    <s v="WQMAY02"/>
    <d v="2002-05-06T00:00:00"/>
    <s v="J2"/>
    <n v="9.57"/>
    <n v="9.35"/>
    <x v="8"/>
  </r>
  <r>
    <s v="WQJUN02"/>
    <d v="2002-06-04T00:00:00"/>
    <s v="J2"/>
    <n v="13.19"/>
    <n v="12.5"/>
    <x v="8"/>
  </r>
  <r>
    <s v="WQJUL02"/>
    <d v="2002-07-08T00:00:00"/>
    <s v="J2"/>
    <n v="20.88"/>
    <n v="18.47"/>
    <x v="8"/>
  </r>
  <r>
    <s v="HYJUL02"/>
    <d v="2002-07-25T00:00:00"/>
    <s v="J2"/>
    <n v="20.04"/>
    <n v="19.57"/>
    <x v="8"/>
  </r>
  <r>
    <s v="WQAUG02"/>
    <d v="2002-08-05T00:00:00"/>
    <s v="J2"/>
    <n v="22.22"/>
    <n v="21.01"/>
    <x v="8"/>
  </r>
  <r>
    <s v="WQSEP02"/>
    <d v="2002-09-09T00:00:00"/>
    <s v="J2"/>
    <n v="21.24"/>
    <n v="21.23"/>
    <x v="8"/>
  </r>
  <r>
    <s v="WQOCT02"/>
    <d v="2002-10-08T00:00:00"/>
    <s v="J2"/>
    <n v="19.73"/>
    <n v="19.73"/>
    <x v="8"/>
  </r>
  <r>
    <s v="WQNOV02"/>
    <d v="2002-11-05T00:00:00"/>
    <s v="J2"/>
    <n v="13.98"/>
    <n v="13.95"/>
    <x v="8"/>
  </r>
  <r>
    <s v="WQDEC02"/>
    <d v="2002-12-09T00:00:00"/>
    <s v="J2"/>
    <n v="6.81"/>
    <n v="7.37"/>
    <x v="8"/>
  </r>
  <r>
    <s v="WQFEB03"/>
    <d v="2003-01-28T00:00:00"/>
    <s v="J2"/>
    <n v="1.1200000000000001"/>
    <n v="1.1399999999999999"/>
    <x v="9"/>
  </r>
  <r>
    <s v="WQMAR03"/>
    <d v="2003-03-04T00:00:00"/>
    <s v="J2"/>
    <n v="1.02"/>
    <n v="1"/>
    <x v="9"/>
  </r>
  <r>
    <s v="WQAPR03"/>
    <d v="2003-04-03T00:00:00"/>
    <s v="J2"/>
    <n v="4.0999999999999996"/>
    <n v="3.66"/>
    <x v="9"/>
  </r>
  <r>
    <s v="WQMAY03"/>
    <d v="2003-05-05T00:00:00"/>
    <s v="J2"/>
    <n v="7.29"/>
    <n v="6.89"/>
    <x v="9"/>
  </r>
  <r>
    <s v="WQJUN03"/>
    <d v="2003-06-03T00:00:00"/>
    <s v="J2"/>
    <n v="11.28"/>
    <n v="11.19"/>
    <x v="9"/>
  </r>
  <r>
    <s v="WQJUL03"/>
    <d v="2003-07-07T00:00:00"/>
    <s v="J2"/>
    <n v="18.260000000000002"/>
    <n v="17.13"/>
    <x v="9"/>
  </r>
  <r>
    <s v="HYJUL03"/>
    <d v="2003-07-24T00:00:00"/>
    <s v="J2"/>
    <n v="19.98"/>
    <n v="17.98"/>
    <x v="9"/>
  </r>
  <r>
    <s v="WQAUG03"/>
    <d v="2003-08-04T00:00:00"/>
    <s v="J2"/>
    <n v="21.63"/>
    <n v="19.420000000000002"/>
    <x v="9"/>
  </r>
  <r>
    <s v="HYAUG03"/>
    <d v="2003-08-19T00:00:00"/>
    <s v="J2"/>
    <n v="20.51"/>
    <n v="20.23"/>
    <x v="9"/>
  </r>
  <r>
    <s v="WQSEP03"/>
    <d v="2003-09-09T00:00:00"/>
    <s v="J2"/>
    <n v="19.309999999999999"/>
    <n v="19.22"/>
    <x v="9"/>
  </r>
  <r>
    <s v="WQNOV03"/>
    <d v="2003-11-03T00:00:00"/>
    <s v="J2"/>
    <n v="14.91"/>
    <n v="14.74"/>
    <x v="9"/>
  </r>
  <r>
    <s v="WQDEC03"/>
    <d v="2003-12-08T00:00:00"/>
    <s v="J2"/>
    <n v="7.93"/>
    <n v="8.09"/>
    <x v="9"/>
  </r>
  <r>
    <s v="WQJAN04"/>
    <d v="2004-01-05T00:00:00"/>
    <s v="J2"/>
    <n v="5.81"/>
    <n v="6.13"/>
    <x v="10"/>
  </r>
  <r>
    <s v="WQFEB04"/>
    <d v="2004-02-05T00:00:00"/>
    <s v="J2"/>
    <n v="0.91"/>
    <n v="0.99"/>
    <x v="10"/>
  </r>
  <r>
    <s v="WQMAR04"/>
    <d v="2004-03-04T00:00:00"/>
    <s v="J2"/>
    <n v="2.0099999999999998"/>
    <n v="2.2000000000000002"/>
    <x v="10"/>
  </r>
  <r>
    <s v="WQAPR04"/>
    <d v="2004-04-07T00:00:00"/>
    <s v="J2"/>
    <n v="3.86"/>
    <n v="3.83"/>
    <x v="10"/>
  </r>
  <r>
    <s v="WQMAY04"/>
    <d v="2004-05-05T00:00:00"/>
    <s v="J2"/>
    <n v="7.64"/>
    <n v="7.61"/>
    <x v="10"/>
  </r>
  <r>
    <s v="WQJUN04"/>
    <d v="2004-06-01T00:00:00"/>
    <s v="J2"/>
    <n v="12.24"/>
    <n v="12.02"/>
    <x v="10"/>
  </r>
  <r>
    <s v="HYJUN04"/>
    <d v="2004-06-28T00:00:00"/>
    <s v="J2"/>
    <n v="16.48"/>
    <n v="15.86"/>
    <x v="10"/>
  </r>
  <r>
    <s v="WQJUL04"/>
    <d v="2004-07-08T00:00:00"/>
    <s v="J2"/>
    <n v="18.559999999999999"/>
    <n v="18.07"/>
    <x v="10"/>
  </r>
  <r>
    <s v="HYJUL04"/>
    <d v="2004-07-19T00:00:00"/>
    <s v="J2"/>
    <n v="18.57"/>
    <n v="18.45"/>
    <x v="10"/>
  </r>
  <r>
    <s v="WQAUG04"/>
    <d v="2004-08-02T00:00:00"/>
    <s v="J2"/>
    <n v="20.11"/>
    <n v="20.09"/>
    <x v="10"/>
  </r>
  <r>
    <s v="HYAUG04"/>
    <d v="2004-08-19T00:00:00"/>
    <s v="J2"/>
    <n v="21.37"/>
    <n v="20.29"/>
    <x v="10"/>
  </r>
  <r>
    <s v="WQSEP04"/>
    <d v="2004-08-31T00:00:00"/>
    <s v="J2"/>
    <n v="20.420000000000002"/>
    <n v="20.420000000000002"/>
    <x v="10"/>
  </r>
  <r>
    <s v="WQOCT04"/>
    <d v="2004-10-06T00:00:00"/>
    <s v="J2"/>
    <n v="19.48"/>
    <n v="19.260000000000002"/>
    <x v="10"/>
  </r>
  <r>
    <s v="WQDEC04"/>
    <d v="2004-11-29T00:00:00"/>
    <s v="J2"/>
    <n v="10.79"/>
    <n v="10.8"/>
    <x v="10"/>
  </r>
  <r>
    <s v="WQJAN05"/>
    <d v="2005-01-10T00:00:00"/>
    <s v="J2"/>
    <n v="5.74"/>
    <n v="5.74"/>
    <x v="11"/>
  </r>
  <r>
    <s v="WQFEB05"/>
    <d v="2005-02-02T00:00:00"/>
    <s v="J2"/>
    <n v="1.79"/>
    <n v="2.16"/>
    <x v="11"/>
  </r>
  <r>
    <s v="WQMAR05"/>
    <d v="2005-03-07T00:00:00"/>
    <s v="J2"/>
    <n v="1.94"/>
    <n v="1.89"/>
    <x v="11"/>
  </r>
  <r>
    <s v="WQAPR05"/>
    <d v="2005-04-05T00:00:00"/>
    <s v="J2"/>
    <n v="3.66"/>
    <n v="3.48"/>
    <x v="11"/>
  </r>
  <r>
    <s v="WQMAY05"/>
    <d v="2005-05-05T00:00:00"/>
    <s v="J2"/>
    <n v="9.15"/>
    <n v="7.93"/>
    <x v="11"/>
  </r>
  <r>
    <s v="WQJUN05"/>
    <d v="2005-06-06T00:00:00"/>
    <s v="J2"/>
    <n v="13.87"/>
    <n v="12.9"/>
    <x v="11"/>
  </r>
  <r>
    <s v="WQJUL05"/>
    <d v="2005-07-07T00:00:00"/>
    <s v="J2"/>
    <n v="16.73"/>
    <n v="16.690000000000001"/>
    <x v="11"/>
  </r>
  <r>
    <s v="HYJUL05"/>
    <d v="2005-07-18T00:00:00"/>
    <s v="J2"/>
    <n v="19.690000000000001"/>
    <n v="17.55"/>
    <x v="11"/>
  </r>
  <r>
    <s v="WQAUG05"/>
    <d v="2005-08-02T00:00:00"/>
    <s v="J2"/>
    <n v="21.18"/>
    <n v="19.690000000000001"/>
    <x v="11"/>
  </r>
  <r>
    <s v="HYAUG05"/>
    <d v="2005-08-16T00:00:00"/>
    <s v="J2"/>
    <n v="22.3"/>
    <n v="20.55"/>
    <x v="11"/>
  </r>
  <r>
    <s v="WQSEP05"/>
    <d v="2005-08-29T00:00:00"/>
    <s v="J2"/>
    <n v="22.35"/>
    <n v="21.26"/>
    <x v="11"/>
  </r>
  <r>
    <s v="WQOCT05"/>
    <d v="2005-10-06T00:00:00"/>
    <s v="J2"/>
    <n v="20.11"/>
    <n v="20.05"/>
    <x v="11"/>
  </r>
  <r>
    <s v="WQNOV05"/>
    <d v="2005-11-14T00:00:00"/>
    <s v="J2"/>
    <n v="13.54"/>
    <n v="13.53"/>
    <x v="11"/>
  </r>
  <r>
    <s v="WQDEC05"/>
    <d v="2005-12-05T00:00:00"/>
    <s v="J2"/>
    <n v="9.82"/>
    <n v="10.47"/>
    <x v="11"/>
  </r>
  <r>
    <s v="WQAPR06"/>
    <d v="2006-04-11T00:00:00"/>
    <s v="J2"/>
    <n v="6.65"/>
    <n v="6.16"/>
    <x v="12"/>
  </r>
  <r>
    <s v="WQMAY06"/>
    <d v="2006-05-02T00:00:00"/>
    <s v="J2"/>
    <n v="8.9600000000000009"/>
    <n v="8.93"/>
    <x v="12"/>
  </r>
  <r>
    <s v="WQJUN06"/>
    <d v="2006-06-06T00:00:00"/>
    <s v="J2"/>
    <n v="13.92"/>
    <n v="12.82"/>
    <x v="12"/>
  </r>
  <r>
    <s v="WQJUL06"/>
    <d v="2006-07-06T00:00:00"/>
    <s v="J2"/>
    <n v="20.5"/>
    <n v="18.260000000000002"/>
    <x v="12"/>
  </r>
  <r>
    <s v="WQAUG06"/>
    <d v="2006-08-01T00:00:00"/>
    <s v="J2"/>
    <n v="23.31"/>
    <n v="20.57"/>
    <x v="12"/>
  </r>
  <r>
    <s v="WQSEP06"/>
    <d v="2006-08-29T00:00:00"/>
    <s v="J2"/>
    <n v="20.98"/>
    <n v="20.48"/>
    <x v="12"/>
  </r>
  <r>
    <s v="WQOCT06"/>
    <d v="2006-10-03T00:00:00"/>
    <s v="J2"/>
    <n v="18.98"/>
    <n v="18.940000000000001"/>
    <x v="12"/>
  </r>
  <r>
    <s v="WQNOV06"/>
    <d v="2006-11-07T00:00:00"/>
    <s v="J2"/>
    <n v="13.33"/>
    <n v="13.34"/>
    <x v="12"/>
  </r>
  <r>
    <s v="WQDEC06"/>
    <d v="2006-12-12T00:00:00"/>
    <s v="J2"/>
    <n v="9.09"/>
    <n v="9.7100000000000009"/>
    <x v="12"/>
  </r>
  <r>
    <s v="WQJAN07"/>
    <d v="2007-01-11T00:00:00"/>
    <s v="J2"/>
    <n v="7.77"/>
    <n v="7.86"/>
    <x v="13"/>
  </r>
  <r>
    <s v="WQFEB07"/>
    <d v="2007-02-01T00:00:00"/>
    <s v="J2"/>
    <n v="4.93"/>
    <n v="5.38"/>
    <x v="13"/>
  </r>
  <r>
    <s v="WQMAR07"/>
    <d v="2007-03-01T00:00:00"/>
    <s v="J2"/>
    <n v="2.04"/>
    <n v="2.16"/>
    <x v="13"/>
  </r>
  <r>
    <s v="WQAPR07"/>
    <d v="2007-04-02T00:00:00"/>
    <s v="J2"/>
    <n v="4.26"/>
    <n v="4.1500000000000004"/>
    <x v="13"/>
  </r>
  <r>
    <s v="WQMAY07"/>
    <d v="2007-05-07T00:00:00"/>
    <s v="J2"/>
    <n v="8.34"/>
    <n v="8.0299999999999994"/>
    <x v="13"/>
  </r>
  <r>
    <s v="WQJUN07"/>
    <d v="2007-06-05T00:00:00"/>
    <s v="J2"/>
    <n v="13.95"/>
    <n v="13.38"/>
    <x v="13"/>
  </r>
  <r>
    <s v="WQJUL07"/>
    <d v="2007-07-09T00:00:00"/>
    <s v="J2"/>
    <n v="18.27"/>
    <n v="17.62"/>
    <x v="13"/>
  </r>
  <r>
    <s v="HYJUL07"/>
    <d v="2007-07-19T00:00:00"/>
    <s v="J2"/>
    <n v="19.5"/>
    <n v="18.920000000000002"/>
    <x v="13"/>
  </r>
  <r>
    <s v="WQAUG07"/>
    <d v="2007-07-30T00:00:00"/>
    <s v="J2"/>
    <n v="19.559999999999999"/>
    <n v="19.46"/>
    <x v="13"/>
  </r>
  <r>
    <s v="HYAUG07"/>
    <d v="2007-08-13T00:00:00"/>
    <s v="J2"/>
    <n v="21.84"/>
    <n v="21.38"/>
    <x v="13"/>
  </r>
  <r>
    <s v="WQSEP07"/>
    <d v="2007-08-28T00:00:00"/>
    <s v="J2"/>
    <n v="20.85"/>
    <n v="20.81"/>
    <x v="13"/>
  </r>
  <r>
    <s v="WQOCT07"/>
    <d v="2007-10-02T00:00:00"/>
    <s v="J2"/>
    <n v="20.350000000000001"/>
    <n v="20.07"/>
    <x v="13"/>
  </r>
  <r>
    <s v="WQNOV07"/>
    <d v="2007-11-08T00:00:00"/>
    <s v="J2"/>
    <n v="14.84"/>
    <n v="14.95"/>
    <x v="13"/>
  </r>
  <r>
    <s v="WQDEC07"/>
    <d v="2007-12-05T00:00:00"/>
    <s v="J2"/>
    <n v="9.2200000000000006"/>
    <n v="9.27"/>
    <x v="13"/>
  </r>
  <r>
    <s v="WQJAN08"/>
    <d v="2008-01-07T00:00:00"/>
    <s v="J2"/>
    <n v="5.45"/>
    <n v="5.45"/>
    <x v="14"/>
  </r>
  <r>
    <s v="WQFEB08"/>
    <d v="2008-02-04T00:00:00"/>
    <s v="J2"/>
    <n v="3.75"/>
    <n v="3.9"/>
    <x v="14"/>
  </r>
  <r>
    <s v="WQMAR08"/>
    <d v="2008-03-07T00:00:00"/>
    <s v="J2"/>
    <n v="4.0599999999999996"/>
    <n v="4.05"/>
    <x v="14"/>
  </r>
  <r>
    <s v="WQAPR08"/>
    <d v="2008-04-03T00:00:00"/>
    <s v="J2"/>
    <n v="5.56"/>
    <n v="5.15"/>
    <x v="14"/>
  </r>
  <r>
    <s v="WQMAY08"/>
    <d v="2008-05-05T00:00:00"/>
    <s v="J2"/>
    <n v="9.68"/>
    <n v="8.69"/>
    <x v="14"/>
  </r>
  <r>
    <s v="WQJUN08"/>
    <d v="2008-06-02T00:00:00"/>
    <s v="J2"/>
    <n v="13.36"/>
    <n v="11.65"/>
    <x v="14"/>
  </r>
  <r>
    <s v="WQJUL08"/>
    <d v="2008-06-30T00:00:00"/>
    <s v="J2"/>
    <n v="20.43"/>
    <n v="17.21"/>
    <x v="14"/>
  </r>
  <r>
    <s v="WQAUG08"/>
    <d v="2008-08-07T00:00:00"/>
    <s v="J2"/>
    <n v="21.28"/>
    <n v="20.51"/>
    <x v="14"/>
  </r>
  <r>
    <s v="WQSEP08"/>
    <d v="2008-09-05T00:00:00"/>
    <s v="J2"/>
    <n v="21.11"/>
    <n v="20.41"/>
    <x v="14"/>
  </r>
  <r>
    <s v="WQOCT08"/>
    <d v="2008-10-06T00:00:00"/>
    <s v="J2"/>
    <n v="18.48"/>
    <n v="18.48"/>
    <x v="14"/>
  </r>
  <r>
    <s v="WQNOV08"/>
    <d v="2008-11-05T00:00:00"/>
    <s v="J2"/>
    <n v="14.52"/>
    <n v="14.67"/>
    <x v="14"/>
  </r>
  <r>
    <s v="WQDEC08"/>
    <d v="2008-12-16T00:00:00"/>
    <s v="J2"/>
    <n v="7.87"/>
    <n v="7.88"/>
    <x v="14"/>
  </r>
  <r>
    <s v="WQJAN09"/>
    <d v="2009-01-16T00:00:00"/>
    <s v="J2"/>
    <n v="3.21"/>
    <n v="3.59"/>
    <x v="15"/>
  </r>
  <r>
    <s v="WQFEB09"/>
    <d v="2009-02-02T00:00:00"/>
    <s v="J2"/>
    <n v="2.2400000000000002"/>
    <n v="2.61"/>
    <x v="15"/>
  </r>
  <r>
    <s v="WQMAR09"/>
    <d v="2009-03-04T00:00:00"/>
    <s v="J2"/>
    <n v="2.0299999999999998"/>
    <n v="1.97"/>
    <x v="15"/>
  </r>
  <r>
    <s v="WQAPR09"/>
    <d v="2009-03-31T00:00:00"/>
    <s v="J2"/>
    <n v="4.2699999999999996"/>
    <n v="4.07"/>
    <x v="15"/>
  </r>
  <r>
    <s v="WQMAY09"/>
    <d v="2009-04-29T00:00:00"/>
    <s v="J2"/>
    <n v="7.73"/>
    <n v="7.55"/>
    <x v="15"/>
  </r>
  <r>
    <s v="WQJUN09"/>
    <d v="2009-06-04T00:00:00"/>
    <s v="J2"/>
    <n v="12.86"/>
    <n v="12.06"/>
    <x v="15"/>
  </r>
  <r>
    <s v="WQJUL09"/>
    <d v="2009-07-07T00:00:00"/>
    <s v="J2"/>
    <n v="18.34"/>
    <n v="17.55"/>
    <x v="15"/>
  </r>
  <r>
    <s v="HYJUL09"/>
    <d v="2009-07-20T00:00:00"/>
    <s v="J2"/>
    <n v="18.2"/>
    <n v="18.18"/>
    <x v="15"/>
  </r>
  <r>
    <s v="WQAUG09"/>
    <d v="2009-08-03T00:00:00"/>
    <s v="J2"/>
    <n v="21.5"/>
    <n v="19.93"/>
    <x v="15"/>
  </r>
  <r>
    <s v="WQSEP09"/>
    <d v="2009-09-08T00:00:00"/>
    <s v="J2"/>
    <n v="20.94"/>
    <n v="20.91"/>
    <x v="15"/>
  </r>
  <r>
    <s v="WQOCT09"/>
    <d v="2009-10-05T00:00:00"/>
    <s v="J2"/>
    <n v="18.670000000000002"/>
    <n v="18.63"/>
    <x v="15"/>
  </r>
  <r>
    <s v="WQNOV09"/>
    <d v="2009-11-03T00:00:00"/>
    <s v="J2"/>
    <n v="14.23"/>
    <n v="14.22"/>
    <x v="15"/>
  </r>
  <r>
    <s v="WQDEC09"/>
    <d v="2009-12-01T00:00:00"/>
    <s v="J2"/>
    <n v="11.56"/>
    <n v="11.59"/>
    <x v="15"/>
  </r>
  <r>
    <s v="WQJAN10"/>
    <d v="2010-01-05T00:00:00"/>
    <s v="J2"/>
    <n v="4.59"/>
    <n v="4.6500000000000004"/>
    <x v="16"/>
  </r>
  <r>
    <s v="WQFEB10"/>
    <d v="2010-02-05T00:00:00"/>
    <s v="J2"/>
    <n v="2.33"/>
    <n v="2.38"/>
    <x v="16"/>
  </r>
  <r>
    <s v="WQMAR10"/>
    <d v="2010-03-08T00:00:00"/>
    <s v="J2"/>
    <n v="2.69"/>
    <n v="2.69"/>
    <x v="16"/>
  </r>
  <r>
    <s v="WQAPR10"/>
    <d v="2010-04-06T00:00:00"/>
    <s v="J2"/>
    <n v="5.82"/>
    <n v="5.54"/>
    <x v="16"/>
  </r>
  <r>
    <s v="WQMAY10"/>
    <d v="2010-05-03T00:00:00"/>
    <s v="J2"/>
    <n v="10.14"/>
    <n v="9.19"/>
    <x v="16"/>
  </r>
  <r>
    <s v="WQOCT10"/>
    <d v="2010-10-06T00:00:00"/>
    <s v="J2"/>
    <n v="19.09"/>
    <n v="19.100000000000001"/>
    <x v="16"/>
  </r>
  <r>
    <s v="WQNOV10"/>
    <d v="2010-11-03T00:00:00"/>
    <s v="J2"/>
    <n v="14.23"/>
    <n v="14.22"/>
    <x v="16"/>
  </r>
  <r>
    <s v="WQDEC10"/>
    <d v="2010-11-29T00:00:00"/>
    <s v="J2"/>
    <n v="10.7"/>
    <n v="10.63"/>
    <x v="16"/>
  </r>
  <r>
    <s v="WQJAN11"/>
    <d v="2011-01-06T00:00:00"/>
    <s v="J2"/>
    <n v="4.62"/>
    <n v="4.59"/>
    <x v="17"/>
  </r>
  <r>
    <s v="WQFEB11"/>
    <d v="2011-01-31T00:00:00"/>
    <s v="J2"/>
    <n v="2.21"/>
    <n v="2.33"/>
    <x v="17"/>
  </r>
  <r>
    <s v="WQMAR11"/>
    <d v="2011-03-14T00:00:00"/>
    <s v="J2"/>
    <n v="3.01"/>
    <n v="2.72"/>
    <x v="17"/>
  </r>
  <r>
    <s v="WQMAY11"/>
    <d v="2011-05-02T00:00:00"/>
    <s v="J2"/>
    <n v="8.43"/>
    <n v="7.97"/>
    <x v="17"/>
  </r>
  <r>
    <s v="WQJUN11"/>
    <d v="2011-05-31T00:00:00"/>
    <s v="J2"/>
    <n v="14.16"/>
    <n v="12.36"/>
    <x v="17"/>
  </r>
  <r>
    <s v="WQJUL11"/>
    <d v="2011-07-05T00:00:00"/>
    <s v="J2"/>
    <n v="19.28"/>
    <n v="18.23"/>
    <x v="17"/>
  </r>
  <r>
    <s v="HYJUL11"/>
    <d v="2011-07-20T00:00:00"/>
    <s v="J2"/>
    <n v="19.989999999999998"/>
    <n v="19.739999999999998"/>
    <x v="17"/>
  </r>
  <r>
    <s v="WQAUG11"/>
    <d v="2011-08-01T00:00:00"/>
    <s v="J2"/>
    <n v="19.59"/>
    <n v="19.600000000000001"/>
    <x v="17"/>
  </r>
  <r>
    <s v="HYAUG11"/>
    <d v="2011-08-17T00:00:00"/>
    <s v="J2"/>
    <n v="21.08"/>
    <n v="21.02"/>
    <x v="17"/>
  </r>
  <r>
    <s v="WQSEP11"/>
    <d v="2011-08-30T00:00:00"/>
    <s v="J2"/>
    <n v="20.92"/>
    <n v="20.86"/>
    <x v="17"/>
  </r>
  <r>
    <s v="WQOCT11"/>
    <d v="2011-10-04T00:00:00"/>
    <s v="J2"/>
    <n v="19.260000000000002"/>
    <n v="19.850000000000001"/>
    <x v="17"/>
  </r>
  <r>
    <s v="WQNOV11"/>
    <d v="2011-11-08T00:00:00"/>
    <s v="J2"/>
    <n v="12.96"/>
    <n v="13.76"/>
    <x v="17"/>
  </r>
  <r>
    <s v="WQDEC11"/>
    <d v="2011-11-28T00:00:00"/>
    <s v="J2"/>
    <n v="12.36"/>
    <n v="12.35"/>
    <x v="17"/>
  </r>
  <r>
    <s v="WQJAN12"/>
    <d v="2012-01-05T00:00:00"/>
    <s v="J2"/>
    <n v="8.02"/>
    <n v="8.8800000000000008"/>
    <x v="18"/>
  </r>
  <r>
    <s v="WQFEB12"/>
    <d v="2012-02-01T00:00:00"/>
    <s v="J2"/>
    <n v="5.5"/>
    <n v="6"/>
    <x v="18"/>
  </r>
  <r>
    <s v="WQMAR12"/>
    <d v="2012-03-02T00:00:00"/>
    <s v="J2"/>
    <n v="5.41"/>
    <n v="5.62"/>
    <x v="18"/>
  </r>
  <r>
    <s v="WQAPR12"/>
    <d v="2012-04-03T00:00:00"/>
    <s v="J2"/>
    <n v="7.95"/>
    <n v="7.91"/>
    <x v="18"/>
  </r>
  <r>
    <s v="WQMAY12"/>
    <d v="2012-05-01T00:00:00"/>
    <s v="J2"/>
    <n v="10.73"/>
    <n v="10.64"/>
    <x v="18"/>
  </r>
  <r>
    <s v="WQJUN12"/>
    <d v="2012-05-29T00:00:00"/>
    <s v="J2"/>
    <n v="13.92"/>
    <n v="13.71"/>
    <x v="18"/>
  </r>
  <r>
    <s v="WQJUL12"/>
    <d v="2012-06-26T00:00:00"/>
    <s v="J2"/>
    <n v="18.25"/>
    <n v="18.13"/>
    <x v="18"/>
  </r>
  <r>
    <s v="HYJUL12"/>
    <d v="2012-07-18T00:00:00"/>
    <s v="J2"/>
    <n v="24.35"/>
    <n v="21.12"/>
    <x v="18"/>
  </r>
  <r>
    <s v="WQAUG12"/>
    <d v="2012-07-30T00:00:00"/>
    <s v="J2"/>
    <n v="21.22"/>
    <n v="20.82"/>
    <x v="18"/>
  </r>
  <r>
    <s v="HYAUG12"/>
    <d v="2012-08-14T00:00:00"/>
    <s v="J2"/>
    <n v="22.96"/>
    <n v="22.22"/>
    <x v="18"/>
  </r>
  <r>
    <s v="WQSEP12"/>
    <d v="2012-08-27T00:00:00"/>
    <s v="J2"/>
    <n v="22.58"/>
    <n v="22.28"/>
    <x v="18"/>
  </r>
  <r>
    <s v="WQOCT12"/>
    <d v="2012-10-10T00:00:00"/>
    <s v="J2"/>
    <n v="18.73"/>
    <n v="18.72"/>
    <x v="18"/>
  </r>
  <r>
    <s v="WQNOV12"/>
    <d v="2012-11-13T00:00:00"/>
    <s v="J2"/>
    <n v="13.34"/>
    <n v="13.4"/>
    <x v="18"/>
  </r>
  <r>
    <s v="WQDEC12"/>
    <d v="2012-12-03T00:00:00"/>
    <s v="J2"/>
    <n v="9.65"/>
    <n v="9.64"/>
    <x v="18"/>
  </r>
  <r>
    <s v="WQJAN13"/>
    <d v="2013-01-09T00:00:00"/>
    <s v="J2"/>
    <n v="5.72"/>
    <n v="5.76"/>
    <x v="19"/>
  </r>
  <r>
    <s v="WQFEB13"/>
    <d v="2013-01-28T00:00:00"/>
    <s v="J2"/>
    <n v="4.63"/>
    <n v="4.6399999999999997"/>
    <x v="19"/>
  </r>
  <r>
    <s v="WQMAR13"/>
    <d v="2013-03-05T00:00:00"/>
    <s v="J2"/>
    <n v="3.22"/>
    <n v="3.15"/>
    <x v="19"/>
  </r>
  <r>
    <s v="WQAPR13"/>
    <d v="2013-04-01T00:00:00"/>
    <s v="J2"/>
    <n v="4.28"/>
    <n v="4.17"/>
    <x v="19"/>
  </r>
  <r>
    <s v="WQMAY13"/>
    <d v="2013-04-29T00:00:00"/>
    <s v="J2"/>
    <n v="7.63"/>
    <n v="7.61"/>
    <x v="19"/>
  </r>
  <r>
    <s v="WQJUN13"/>
    <d v="2013-06-03T00:00:00"/>
    <s v="J2"/>
    <n v="14.14"/>
    <n v="13.33"/>
    <x v="19"/>
  </r>
  <r>
    <s v="WQJUL13"/>
    <d v="2013-07-01T00:00:00"/>
    <s v="J2"/>
    <n v="19.78"/>
    <n v="18.16"/>
    <x v="19"/>
  </r>
  <r>
    <s v="HYJUL13"/>
    <d v="2013-07-17T00:00:00"/>
    <s v="J2"/>
    <n v="21.5"/>
    <n v="19.3"/>
    <x v="19"/>
  </r>
  <r>
    <s v="WQAUG13"/>
    <d v="2013-07-29T00:00:00"/>
    <s v="J2"/>
    <n v="22.22"/>
    <n v="20.82"/>
    <x v="19"/>
  </r>
  <r>
    <s v="HYAUG13"/>
    <d v="2013-08-14T00:00:00"/>
    <s v="J2"/>
    <n v="21.15"/>
    <n v="21.11"/>
    <x v="19"/>
  </r>
  <r>
    <s v="WQSEP13"/>
    <d v="2013-08-27T00:00:00"/>
    <s v="J2"/>
    <n v="21.59"/>
    <n v="21.05"/>
    <x v="19"/>
  </r>
  <r>
    <s v="WQOCT13"/>
    <d v="2013-10-01T00:00:00"/>
    <s v="J2"/>
    <n v="18.739999999999998"/>
    <n v="18.489999999999998"/>
    <x v="19"/>
  </r>
  <r>
    <s v="WQNOV13"/>
    <d v="2013-11-04T00:00:00"/>
    <s v="J2"/>
    <n v="15.07"/>
    <n v="15.07"/>
    <x v="19"/>
  </r>
  <r>
    <s v="WQDEC13"/>
    <d v="2013-12-02T00:00:00"/>
    <s v="J2"/>
    <n v="9.9499999999999993"/>
    <n v="9.9499999999999993"/>
    <x v="19"/>
  </r>
  <r>
    <s v="WQJAN14"/>
    <d v="2014-01-13T00:00:00"/>
    <s v="J2"/>
    <n v="3.64"/>
    <n v="3.97"/>
    <x v="20"/>
  </r>
  <r>
    <s v="WQFEB14"/>
    <d v="2014-02-03T00:00:00"/>
    <s v="J2"/>
    <n v="2.1"/>
    <n v="2.13"/>
    <x v="20"/>
  </r>
  <r>
    <s v="WQMAR14"/>
    <d v="2014-03-07T00:00:00"/>
    <s v="J2"/>
    <n v="1.1200000000000001"/>
    <n v="1.39"/>
    <x v="20"/>
  </r>
  <r>
    <s v="WQAPR14"/>
    <d v="2014-04-07T00:00:00"/>
    <s v="J2"/>
    <n v="3.35"/>
    <n v="3.41"/>
    <x v="20"/>
  </r>
  <r>
    <s v="WQMAY14"/>
    <d v="2014-05-06T00:00:00"/>
    <s v="J2"/>
    <n v="8.0399999999999991"/>
    <n v="7.5"/>
    <x v="20"/>
  </r>
  <r>
    <s v="WQJUN14"/>
    <d v="2014-06-02T00:00:00"/>
    <s v="J2"/>
    <n v="12.45"/>
    <n v="12.09"/>
    <x v="20"/>
  </r>
  <r>
    <s v="WQJUL14"/>
    <d v="2014-06-30T00:00:00"/>
    <s v="J2"/>
    <n v="18.920000000000002"/>
    <n v="18.09"/>
    <x v="20"/>
  </r>
  <r>
    <s v="WQAUG14"/>
    <d v="2014-08-04T00:00:00"/>
    <s v="J2"/>
    <n v="21.21"/>
    <n v="20.39"/>
    <x v="20"/>
  </r>
  <r>
    <s v="HYAUG14"/>
    <d v="2014-08-20T00:00:00"/>
    <s v="J2"/>
    <n v="21.75"/>
    <n v="20.86"/>
    <x v="20"/>
  </r>
  <r>
    <s v="WQSEP14"/>
    <d v="2014-09-04T00:00:00"/>
    <s v="J2"/>
    <n v="24.45"/>
    <n v="21.47"/>
    <x v="20"/>
  </r>
  <r>
    <s v="WQOCT14"/>
    <d v="2014-09-30T00:00:00"/>
    <s v="J2"/>
    <n v="19.95"/>
    <n v="19.96"/>
    <x v="20"/>
  </r>
  <r>
    <s v="WQNOV14"/>
    <d v="2014-11-06T00:00:00"/>
    <s v="J2"/>
    <n v="14.96"/>
    <n v="15.02"/>
    <x v="20"/>
  </r>
  <r>
    <s v="WQDEC14"/>
    <d v="2014-12-15T00:00:00"/>
    <s v="J2"/>
    <n v="7.89"/>
    <n v="7.97"/>
    <x v="20"/>
  </r>
  <r>
    <s v="WQJAN15"/>
    <d v="2015-01-12T00:00:00"/>
    <s v="J2"/>
    <n v="3.96"/>
    <n v="4.74"/>
    <x v="21"/>
  </r>
  <r>
    <s v="WQFEB15"/>
    <d v="2015-02-04T00:00:00"/>
    <s v="J2"/>
    <n v="2.38"/>
    <n v="2.76"/>
    <x v="21"/>
  </r>
  <r>
    <s v="WQMAR15"/>
    <d v="2015-03-11T00:00:00"/>
    <s v="J2"/>
    <n v="0.21"/>
    <n v="0.17"/>
    <x v="21"/>
  </r>
  <r>
    <s v="WQAPR15"/>
    <d v="2015-04-02T00:00:00"/>
    <s v="J2"/>
    <n v="2.14"/>
    <n v="1.2"/>
    <x v="21"/>
  </r>
  <r>
    <s v="WQMAY15"/>
    <d v="2015-04-30T00:00:00"/>
    <s v="J2"/>
    <n v="6.87"/>
    <n v="6.09"/>
    <x v="21"/>
  </r>
  <r>
    <s v="WQJUN15"/>
    <d v="2015-05-28T00:00:00"/>
    <s v="J2"/>
    <n v="14.16"/>
    <n v="12.35"/>
    <x v="21"/>
  </r>
  <r>
    <s v="WQJUL15"/>
    <d v="2015-07-06T00:00:00"/>
    <s v="J2"/>
    <n v="17.82"/>
    <n v="17.8"/>
    <x v="21"/>
  </r>
  <r>
    <s v="WQAUG15"/>
    <d v="2015-08-06T00:00:00"/>
    <s v="J2"/>
    <n v="21.84"/>
    <n v="21.85"/>
    <x v="21"/>
  </r>
  <r>
    <s v="WQSEP15"/>
    <d v="2015-08-31T00:00:00"/>
    <s v="J2"/>
    <n v="22.67"/>
    <n v="22.67"/>
    <x v="21"/>
  </r>
  <r>
    <s v="WQOCT15"/>
    <d v="2015-10-07T00:00:00"/>
    <s v="J2"/>
    <n v="19.22"/>
    <n v="19.079999999999998"/>
    <x v="21"/>
  </r>
  <r>
    <s v="WQNOV15"/>
    <d v="2015-11-06T00:00:00"/>
    <s v="J2"/>
    <n v="15.51"/>
    <n v="15.46"/>
    <x v="21"/>
  </r>
  <r>
    <s v="WQDEC15"/>
    <d v="2015-12-16T00:00:00"/>
    <s v="J2"/>
    <n v="11.23"/>
    <n v="11.22"/>
    <x v="21"/>
  </r>
  <r>
    <s v="WQJAN16"/>
    <d v="2016-01-07T00:00:00"/>
    <s v="J2"/>
    <n v="8.2799999999999994"/>
    <n v="8.73"/>
    <x v="22"/>
  </r>
  <r>
    <s v="WQFEB16"/>
    <d v="2016-02-04T00:00:00"/>
    <s v="J2"/>
    <n v="5.33"/>
    <n v="5.38"/>
    <x v="22"/>
  </r>
  <r>
    <s v="WQMAR16"/>
    <d v="2016-03-10T00:00:00"/>
    <s v="J2"/>
    <n v="4.6500000000000004"/>
    <n v="4.63"/>
    <x v="22"/>
  </r>
  <r>
    <s v="WQAPR16"/>
    <d v="2016-04-13T00:00:00"/>
    <s v="J2"/>
    <n v="6.48"/>
    <n v="6.46"/>
    <x v="22"/>
  </r>
  <r>
    <s v="WQMAY16"/>
    <d v="2016-05-11T00:00:00"/>
    <s v="J2"/>
    <n v="9.8800000000000008"/>
    <n v="9.5299999999999994"/>
    <x v="22"/>
  </r>
  <r>
    <s v="WQJUN16"/>
    <d v="2016-06-08T00:00:00"/>
    <s v="J2"/>
    <n v="14.77"/>
    <n v="14.75"/>
    <x v="22"/>
  </r>
  <r>
    <s v="WQJUL16"/>
    <d v="2016-07-05T00:00:00"/>
    <s v="J2"/>
    <n v="18.21"/>
    <n v="18.190000000000001"/>
    <x v="22"/>
  </r>
  <r>
    <s v="HYJUL16"/>
    <d v="2016-07-18T00:00:00"/>
    <s v="J2"/>
    <m/>
    <m/>
    <x v="22"/>
  </r>
  <r>
    <s v="WQAUG16"/>
    <d v="2016-08-01T00:00:00"/>
    <s v="J2"/>
    <n v="20.73"/>
    <n v="20.7"/>
    <x v="22"/>
  </r>
  <r>
    <s v="HYAUG16"/>
    <d v="2016-08-16T00:00:00"/>
    <s v="J2"/>
    <n v="22.11"/>
    <n v="21.81"/>
    <x v="22"/>
  </r>
  <r>
    <s v="WQSEP16"/>
    <d v="2016-08-29T00:00:00"/>
    <s v="J2"/>
    <n v="22.43"/>
    <n v="22.19"/>
    <x v="22"/>
  </r>
  <r>
    <s v="WQOCT16"/>
    <d v="2016-10-03T00:00:00"/>
    <s v="J2"/>
    <n v="20.2"/>
    <n v="20.190000000000001"/>
    <x v="22"/>
  </r>
  <r>
    <s v="WQNOV16"/>
    <d v="2016-11-07T00:00:00"/>
    <s v="J2"/>
    <n v="14.7"/>
    <n v="14.92"/>
    <x v="22"/>
  </r>
  <r>
    <s v="WQDEC16"/>
    <d v="2016-11-30T00:00:00"/>
    <s v="J2"/>
    <n v="11.65"/>
    <n v="11.64"/>
    <x v="22"/>
  </r>
  <r>
    <s v="WQJAN17"/>
    <d v="2017-01-04T00:00:00"/>
    <s v="J2"/>
    <n v="6.31"/>
    <n v="6.32"/>
    <x v="23"/>
  </r>
  <r>
    <s v="WQFEB17"/>
    <d v="2017-02-07T00:00:00"/>
    <s v="J2"/>
    <n v="4.1399999999999997"/>
    <n v="4.29"/>
    <x v="23"/>
  </r>
  <r>
    <s v="WQMAR17"/>
    <d v="2017-03-06T00:00:00"/>
    <s v="J2"/>
    <n v="3.69"/>
    <n v="3.62"/>
    <x v="23"/>
  </r>
  <r>
    <s v="WQAPR17"/>
    <d v="2017-04-03T00:00:00"/>
    <s v="J2"/>
    <n v="5.29"/>
    <n v="4.37"/>
    <x v="23"/>
  </r>
  <r>
    <s v="WQMAY17"/>
    <d v="2017-05-01T00:00:00"/>
    <s v="J2"/>
    <n v="7.67"/>
    <n v="7.6"/>
    <x v="23"/>
  </r>
  <r>
    <s v="WQJUN17"/>
    <d v="2017-06-05T00:00:00"/>
    <s v="J2"/>
    <n v="13.1"/>
    <n v="12.9"/>
    <x v="23"/>
  </r>
  <r>
    <s v="WQJUL17"/>
    <d v="2017-07-05T00:00:00"/>
    <s v="J2"/>
    <n v="20.37"/>
    <n v="18.440000000000001"/>
    <x v="23"/>
  </r>
  <r>
    <s v="HYJUL17"/>
    <d v="2017-07-20T00:00:00"/>
    <s v="J2"/>
    <n v="20.170000000000002"/>
    <n v="19.920000000000002"/>
    <x v="23"/>
  </r>
  <r>
    <s v="WQAUG17"/>
    <d v="2017-07-31T00:00:00"/>
    <s v="J2"/>
    <n v="20.7"/>
    <n v="20.32"/>
    <x v="23"/>
  </r>
  <r>
    <s v="HYAUG17"/>
    <d v="2017-08-14T00:00:00"/>
    <s v="J2"/>
    <n v="20.92"/>
    <n v="20.65"/>
    <x v="23"/>
  </r>
  <r>
    <s v="WQSEP17"/>
    <d v="2017-09-01T00:00:00"/>
    <s v="J2"/>
    <n v="21.12"/>
    <n v="20.88"/>
    <x v="23"/>
  </r>
  <r>
    <s v="WQOCT17"/>
    <d v="2017-10-06T00:00:00"/>
    <s v="J2"/>
    <n v="19.809999999999999"/>
    <n v="19.8"/>
    <x v="23"/>
  </r>
  <r>
    <s v="WQNOV17"/>
    <d v="2017-11-09T00:00:00"/>
    <s v="J2"/>
    <m/>
    <m/>
    <x v="23"/>
  </r>
  <r>
    <s v="WQDEC17"/>
    <d v="2017-12-04T00:00:00"/>
    <s v="J2"/>
    <n v="11.69"/>
    <n v="11.68"/>
    <x v="23"/>
  </r>
  <r>
    <s v="WQJAN18"/>
    <d v="2018-01-10T00:00:00"/>
    <s v="J2"/>
    <n v="2.23"/>
    <n v="2.31"/>
    <x v="24"/>
  </r>
  <r>
    <s v="WQFEB18"/>
    <d v="2018-02-09T00:00:00"/>
    <s v="J2"/>
    <m/>
    <m/>
    <x v="24"/>
  </r>
  <r>
    <s v="WQMAR18"/>
    <d v="2018-03-06T00:00:00"/>
    <s v="J2"/>
    <n v="3.91"/>
    <n v="3.7"/>
    <x v="24"/>
  </r>
  <r>
    <s v="WQAPR18"/>
    <d v="2018-04-09T00:00:00"/>
    <s v="J2"/>
    <n v="4.5"/>
    <n v="4.5"/>
    <x v="24"/>
  </r>
  <r>
    <s v="WQMAY18"/>
    <d v="2018-05-01T00:00:00"/>
    <s v="J2"/>
    <n v="7.57"/>
    <n v="6.77"/>
    <x v="24"/>
  </r>
  <r>
    <s v="WQJUN18"/>
    <d v="2018-05-30T00:00:00"/>
    <s v="J2"/>
    <n v="11.56"/>
    <n v="11.54"/>
    <x v="24"/>
  </r>
  <r>
    <s v="WQJUL18"/>
    <d v="2018-07-02T00:00:00"/>
    <s v="J2"/>
    <n v="20.74"/>
    <n v="17.829999999999998"/>
    <x v="24"/>
  </r>
  <r>
    <s v="HYJUL18"/>
    <d v="2018-07-18T00:00:00"/>
    <s v="J2"/>
    <n v="21.07"/>
    <n v="20.52"/>
    <x v="24"/>
  </r>
  <r>
    <s v="WQAUG18"/>
    <d v="2018-07-30T00:00:00"/>
    <s v="J2"/>
    <n v="21.12"/>
    <n v="21.05"/>
    <x v="24"/>
  </r>
  <r>
    <s v="HYAUG18"/>
    <d v="2018-08-13T00:00:00"/>
    <s v="J2"/>
    <n v="23.04"/>
    <n v="22.91"/>
    <x v="24"/>
  </r>
  <r>
    <s v="WQSEP18"/>
    <d v="2018-08-29T00:00:00"/>
    <s v="J2"/>
    <n v="21.95"/>
    <n v="21.74"/>
    <x v="24"/>
  </r>
  <r>
    <s v="WQOCT18"/>
    <d v="2018-10-02T00:00:00"/>
    <s v="J2"/>
    <n v="20.88"/>
    <n v="20.72"/>
    <x v="24"/>
  </r>
  <r>
    <s v="WQNOV18"/>
    <d v="2018-11-08T00:00:00"/>
    <s v="J2"/>
    <n v="14.16"/>
    <n v="14.16"/>
    <x v="24"/>
  </r>
  <r>
    <s v="WQDEC18"/>
    <d v="2018-11-30T00:00:00"/>
    <s v="J2"/>
    <n v="9.2899999999999991"/>
    <n v="9.2899999999999991"/>
    <x v="24"/>
  </r>
  <r>
    <s v="WQJAN19"/>
    <d v="2019-01-02T00:00:00"/>
    <s v="J2"/>
    <n v="6.15"/>
    <n v="6.52"/>
    <x v="25"/>
  </r>
  <r>
    <s v="WQFEB19"/>
    <d v="2019-02-04T00:00:00"/>
    <s v="J2"/>
    <n v="3.13"/>
    <n v="3.48"/>
    <x v="25"/>
  </r>
  <r>
    <s v="WQMAR19"/>
    <d v="2019-03-08T00:00:00"/>
    <s v="J2"/>
    <n v="3.14"/>
    <n v="3.24"/>
    <x v="25"/>
  </r>
  <r>
    <s v="WQAPR19"/>
    <d v="2019-04-04T00:00:00"/>
    <s v="J2"/>
    <n v="5.35"/>
    <n v="5.32"/>
    <x v="25"/>
  </r>
  <r>
    <s v="WQMAY19"/>
    <d v="2019-05-06T00:00:00"/>
    <s v="J2"/>
    <n v="9.1"/>
    <n v="8.75"/>
    <x v="25"/>
  </r>
  <r>
    <s v="WQJUN19"/>
    <d v="2019-05-29T00:00:00"/>
    <s v="J2"/>
    <n v="14.69"/>
    <n v="13.78"/>
    <x v="25"/>
  </r>
  <r>
    <s v="WQJUL19"/>
    <d v="2019-07-01T00:00:00"/>
    <s v="J2"/>
    <n v="18.12"/>
    <n v="17.329999999999998"/>
    <x v="25"/>
  </r>
  <r>
    <s v="HYJUL19"/>
    <d v="2019-07-17T00:00:00"/>
    <s v="J2"/>
    <n v="21"/>
    <n v="19.25"/>
    <x v="25"/>
  </r>
  <r>
    <s v="WQAUG19"/>
    <d v="2019-07-29T00:00:00"/>
    <s v="J2"/>
    <n v="23.09"/>
    <n v="21.61"/>
    <x v="25"/>
  </r>
  <r>
    <s v="HYAUG19"/>
    <d v="2019-08-14T00:00:00"/>
    <s v="J2"/>
    <n v="21.49"/>
    <n v="20.25"/>
    <x v="25"/>
  </r>
  <r>
    <s v="WQSEP19"/>
    <d v="2019-08-27T00:00:00"/>
    <s v="J2"/>
    <n v="21.02"/>
    <n v="20.71"/>
    <x v="25"/>
  </r>
  <r>
    <s v="WQOCT19"/>
    <d v="2019-09-30T00:00:00"/>
    <s v="J2"/>
    <n v="20.28"/>
    <n v="20.28"/>
    <x v="25"/>
  </r>
  <r>
    <s v="WQNOV19"/>
    <d v="2019-11-04T00:00:00"/>
    <s v="J2"/>
    <n v="15.67"/>
    <n v="15.62"/>
    <x v="25"/>
  </r>
  <r>
    <s v="WQDEC19"/>
    <d v="2019-12-04T00:00:00"/>
    <s v="J2"/>
    <n v="8.67"/>
    <n v="8.82"/>
    <x v="25"/>
  </r>
  <r>
    <s v="WQJAN20"/>
    <d v="2020-01-07T00:00:00"/>
    <s v="J2"/>
    <n v="6.05"/>
    <n v="6.23"/>
    <x v="26"/>
  </r>
  <r>
    <s v="WQFEB20"/>
    <d v="2020-02-13T00:00:00"/>
    <s v="J2"/>
    <n v="4.8099999999999996"/>
    <n v="4.9000000000000004"/>
    <x v="26"/>
  </r>
  <r>
    <s v="WQMAR20"/>
    <d v="2020-03-09T00:00:00"/>
    <s v="J2"/>
    <m/>
    <m/>
    <x v="26"/>
  </r>
  <r>
    <s v="WQJUN20"/>
    <d v="2020-06-16T00:00:00"/>
    <s v="J2"/>
    <n v="16.079999999999998"/>
    <n v="14.95"/>
    <x v="26"/>
  </r>
  <r>
    <s v="WQJUL20"/>
    <d v="2020-07-06T00:00:00"/>
    <s v="J2"/>
    <n v="18.62"/>
    <n v="18.61"/>
    <x v="26"/>
  </r>
  <r>
    <s v="WQAUG20"/>
    <d v="2020-08-10T00:00:00"/>
    <s v="J2"/>
    <n v="24.5"/>
    <n v="22.51"/>
    <x v="26"/>
  </r>
  <r>
    <s v="HYAUG20"/>
    <d v="2020-08-25T00:00:00"/>
    <s v="J2"/>
    <n v="22.87"/>
    <n v="22.4"/>
    <x v="26"/>
  </r>
  <r>
    <s v="WQSEP20"/>
    <d v="2020-09-10T00:00:00"/>
    <s v="J2"/>
    <n v="23.16"/>
    <n v="22.24"/>
    <x v="26"/>
  </r>
  <r>
    <s v="WQOCT20"/>
    <d v="2020-10-06T00:00:00"/>
    <s v="J2"/>
    <n v="19.34"/>
    <n v="19.34"/>
    <x v="26"/>
  </r>
  <r>
    <s v="WQNOV20"/>
    <d v="2020-11-09T00:00:00"/>
    <s v="J2"/>
    <n v="14.77"/>
    <n v="14.78"/>
    <x v="26"/>
  </r>
  <r>
    <s v="WQMAR21"/>
    <d v="2021-03-08T00:00:00"/>
    <s v="J2"/>
    <n v="2.97"/>
    <n v="2.94"/>
    <x v="27"/>
  </r>
  <r>
    <s v="WQAPR21"/>
    <d v="2021-04-06T00:00:00"/>
    <s v="J2"/>
    <n v="5.77"/>
    <n v="5.66"/>
    <x v="27"/>
  </r>
  <r>
    <s v="WQMAY21"/>
    <d v="2021-05-06T00:00:00"/>
    <s v="J2"/>
    <n v="9.8000000000000007"/>
    <n v="8.99"/>
    <x v="27"/>
  </r>
  <r>
    <s v="WQJUN21"/>
    <d v="2021-06-03T00:00:00"/>
    <s v="J2"/>
    <n v="13.38"/>
    <n v="13"/>
    <x v="27"/>
  </r>
  <r>
    <s v="WQJUL21"/>
    <d v="2021-07-06T00:00:00"/>
    <s v="J2"/>
    <n v="18.91"/>
    <n v="18.03"/>
    <x v="27"/>
  </r>
  <r>
    <s v="HYJUL21"/>
    <d v="2021-07-21T00:00:00"/>
    <s v="J2"/>
    <n v="21.06"/>
    <n v="19.88"/>
    <x v="27"/>
  </r>
  <r>
    <s v="WQAUG21"/>
    <d v="2021-08-02T00:00:00"/>
    <s v="J2"/>
    <n v="21.1"/>
    <n v="20.170000000000002"/>
    <x v="27"/>
  </r>
  <r>
    <s v="HYAUG21"/>
    <d v="2021-08-18T00:00:00"/>
    <s v="J2"/>
    <n v="21.48"/>
    <n v="21.23"/>
    <x v="27"/>
  </r>
  <r>
    <s v="WQSEP21"/>
    <d v="2021-08-30T00:00:00"/>
    <s v="J2"/>
    <n v="22.56"/>
    <n v="22.27"/>
    <x v="27"/>
  </r>
  <r>
    <s v="WQOCT21"/>
    <d v="2021-10-04T00:00:00"/>
    <s v="J2"/>
    <n v="20.66"/>
    <n v="20.6"/>
    <x v="27"/>
  </r>
  <r>
    <s v="WQNOV21"/>
    <d v="2021-11-04T00:00:00"/>
    <s v="J2"/>
    <n v="16.91"/>
    <n v="16.91"/>
    <x v="27"/>
  </r>
  <r>
    <s v="WQDEC21"/>
    <d v="2021-12-02T00:00:00"/>
    <s v="J2"/>
    <n v="11.59"/>
    <n v="11.6"/>
    <x v="27"/>
  </r>
  <r>
    <s v="WQFEB22"/>
    <d v="2022-02-01T00:00:00"/>
    <s v="J2"/>
    <n v="4.04"/>
    <n v="4.04"/>
    <x v="28"/>
  </r>
  <r>
    <s v="WQMAR22"/>
    <d v="2022-03-02T00:00:00"/>
    <s v="J2"/>
    <n v="4.17"/>
    <n v="4.0199999999999996"/>
    <x v="28"/>
  </r>
  <r>
    <s v="WQAPR22"/>
    <d v="2022-04-04T00:00:00"/>
    <s v="J2"/>
    <n v="5.89"/>
    <n v="5.86"/>
    <x v="28"/>
  </r>
  <r>
    <s v="WQMAY22"/>
    <d v="2022-05-04T00:00:00"/>
    <s v="J2"/>
    <n v="9.0500000000000007"/>
    <n v="9.0399999999999991"/>
    <x v="28"/>
  </r>
  <r>
    <s v="WQJUN22"/>
    <d v="2022-06-02T00:00:00"/>
    <s v="J2"/>
    <n v="14.08"/>
    <n v="13.83"/>
    <x v="28"/>
  </r>
  <r>
    <s v="WQJUL22"/>
    <d v="2022-07-07T00:00:00"/>
    <s v="J2"/>
    <n v="20.8"/>
    <n v="18.690000000000001"/>
    <x v="28"/>
  </r>
  <r>
    <s v="HYJUL22"/>
    <d v="2022-07-18T00:00:00"/>
    <s v="J2"/>
    <n v="20.71"/>
    <n v="20.350000000000001"/>
    <x v="28"/>
  </r>
  <r>
    <s v="WQAUG22"/>
    <d v="2022-08-01T00:00:00"/>
    <s v="J2"/>
    <n v="21.45"/>
    <n v="21.34"/>
    <x v="28"/>
  </r>
  <r>
    <s v="HYAUG22"/>
    <d v="2022-08-19T00:00:00"/>
    <s v="J2"/>
    <n v="23.17"/>
    <n v="22.47"/>
    <x v="28"/>
  </r>
  <r>
    <s v="WQSEP22"/>
    <d v="2022-08-31T00:00:00"/>
    <s v="J2"/>
    <n v="23.18"/>
    <n v="23.15"/>
    <x v="28"/>
  </r>
  <r>
    <s v="WQOCT22"/>
    <d v="2022-10-06T00:00:00"/>
    <s v="J2"/>
    <n v="18.41"/>
    <n v="18.350000000000001"/>
    <x v="28"/>
  </r>
  <r>
    <s v="WQNOV22"/>
    <d v="2022-11-07T00:00:00"/>
    <s v="J2"/>
    <m/>
    <m/>
    <x v="28"/>
  </r>
  <r>
    <s v="WQDEC22"/>
    <d v="2022-12-15T00:00:00"/>
    <s v="J2"/>
    <n v="9.1"/>
    <n v="9.1199999999999992"/>
    <x v="28"/>
  </r>
  <r>
    <s v="WQJAN23"/>
    <d v="2023-01-03T00:00:00"/>
    <s v="J2"/>
    <n v="6.44"/>
    <n v="6.49"/>
    <x v="29"/>
  </r>
  <r>
    <s v="WQFEB23"/>
    <d v="2023-02-06T00:00:00"/>
    <s v="J2"/>
    <n v="5.32"/>
    <n v="5.49"/>
    <x v="29"/>
  </r>
  <r>
    <s v="WQAPR23"/>
    <d v="2023-04-17T00:00:00"/>
    <s v="J2"/>
    <n v="7.99"/>
    <n v="7.77"/>
    <x v="29"/>
  </r>
  <r>
    <s v="WQMAY23"/>
    <d v="2023-05-08T00:00:00"/>
    <s v="J2"/>
    <n v="10.49"/>
    <n v="9.91"/>
    <x v="29"/>
  </r>
  <r>
    <s v="WQJUN23"/>
    <d v="2023-05-31T00:00:00"/>
    <s v="J2"/>
    <n v="14.27"/>
    <n v="13.6"/>
    <x v="29"/>
  </r>
  <r>
    <s v="WQJUL23"/>
    <d v="2023-07-05T00:00:00"/>
    <s v="J2"/>
    <n v="19.170000000000002"/>
    <n v="18.97"/>
    <x v="29"/>
  </r>
  <r>
    <s v="HYJUL23"/>
    <d v="2023-07-19T00:00:00"/>
    <s v="J2"/>
    <n v="21.66"/>
    <n v="20.41"/>
    <x v="29"/>
  </r>
  <r>
    <s v="WQAUG23"/>
    <d v="2023-07-31T00:00:00"/>
    <s v="J2"/>
    <n v="22.54"/>
    <n v="20.14"/>
    <x v="29"/>
  </r>
  <r>
    <s v="WQSEP23"/>
    <d v="2023-08-29T00:00:00"/>
    <s v="J2"/>
    <n v="20.72"/>
    <n v="20.18"/>
    <x v="29"/>
  </r>
  <r>
    <s v="WQOCT23"/>
    <d v="2023-10-05T00:00:00"/>
    <s v="J2"/>
    <n v="19.79"/>
    <n v="19.27"/>
    <x v="29"/>
  </r>
  <r>
    <s v="WQNOV23"/>
    <d v="2023-11-07T00:00:00"/>
    <s v="J2"/>
    <n v="15.05"/>
    <n v="15.13"/>
    <x v="29"/>
  </r>
  <r>
    <s v="WQDEC23"/>
    <d v="2023-12-05T00:00:00"/>
    <s v="J2"/>
    <n v="10.51"/>
    <n v="10.77"/>
    <x v="29"/>
  </r>
  <r>
    <s v="WQJAN24"/>
    <d v="2024-01-03T00:00:00"/>
    <s v="J2"/>
    <n v="7.97"/>
    <n v="7.98"/>
    <x v="30"/>
  </r>
  <r>
    <s v="WQFEB24"/>
    <d v="2024-02-05T00:00:00"/>
    <s v="J2"/>
    <n v="4.78"/>
    <n v="5.12"/>
    <x v="30"/>
  </r>
  <r>
    <s v="WQMAR24"/>
    <d v="2024-03-04T00:00:00"/>
    <s v="J2"/>
    <n v="4.9000000000000004"/>
    <n v="4.76"/>
    <x v="30"/>
  </r>
  <r>
    <s v="WQAPR24"/>
    <d v="2024-04-01T00:00:00"/>
    <s v="J2"/>
    <n v="6.41"/>
    <n v="6.1"/>
    <x v="30"/>
  </r>
  <r>
    <s v="WQMAY24"/>
    <d v="2024-05-02T00:00:00"/>
    <s v="J2"/>
    <n v="10.08"/>
    <n v="8.91"/>
    <x v="30"/>
  </r>
  <r>
    <s v="WQJUN24"/>
    <d v="2024-05-31T00:00:00"/>
    <s v="J2"/>
    <n v="15.13"/>
    <n v="13.68"/>
    <x v="30"/>
  </r>
  <r>
    <s v="WQJUL24"/>
    <d v="2024-06-27T00:00:00"/>
    <s v="J2"/>
    <n v="19.72"/>
    <n v="17.39"/>
    <x v="30"/>
  </r>
  <r>
    <s v="HYJUL24"/>
    <d v="2024-07-15T00:00:00"/>
    <s v="J2"/>
    <n v="21.31"/>
    <n v="17.87"/>
    <x v="30"/>
  </r>
  <r>
    <s v="WQAUG24"/>
    <d v="2024-07-29T00:00:00"/>
    <s v="J2"/>
    <n v="20.38"/>
    <n v="19.440000000000001"/>
    <x v="30"/>
  </r>
  <r>
    <s v="HYAUG24"/>
    <d v="2024-08-14T00:00:00"/>
    <s v="J2"/>
    <n v="21.88"/>
    <n v="20.99"/>
    <x v="30"/>
  </r>
  <r>
    <s v="WQSEP24"/>
    <d v="2024-08-26T00:00:00"/>
    <s v="J2"/>
    <n v="21.96"/>
    <n v="21.18"/>
    <x v="30"/>
  </r>
  <r>
    <s v="WQOCT24"/>
    <d v="2024-10-02T00:00:00"/>
    <s v="J2"/>
    <n v="19.309999999999999"/>
    <n v="19.28"/>
    <x v="30"/>
  </r>
  <r>
    <m/>
    <m/>
    <m/>
    <m/>
    <m/>
    <x v="3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">
  <r>
    <s v="WQJAN91"/>
    <d v="1991-01-30T00:00:00"/>
    <s v="H6"/>
    <n v="3.0520999999999998"/>
    <n v="3.3780000000000001"/>
    <x v="0"/>
  </r>
  <r>
    <s v="WQFEB91"/>
    <d v="1991-02-20T00:00:00"/>
    <s v="H6"/>
    <n v="2.9270999999999998"/>
    <n v="3.0348000000000002"/>
    <x v="0"/>
  </r>
  <r>
    <s v="WQMAR91"/>
    <d v="1991-03-25T00:00:00"/>
    <s v="H6"/>
    <m/>
    <n v="3.92"/>
    <x v="0"/>
  </r>
  <r>
    <s v="WQAPR91"/>
    <d v="1991-04-02T00:00:00"/>
    <s v="H6"/>
    <n v="4.6649000000000003"/>
    <n v="4.5285000000000002"/>
    <x v="0"/>
  </r>
  <r>
    <s v="WQMAY91"/>
    <d v="1991-05-01T00:00:00"/>
    <s v="H6"/>
    <n v="9.8366000000000007"/>
    <n v="7.1435000000000004"/>
    <x v="0"/>
  </r>
  <r>
    <s v="WQJUN91"/>
    <d v="1991-06-04T00:00:00"/>
    <s v="H6"/>
    <n v="18.688099999999999"/>
    <n v="10.805"/>
    <x v="0"/>
  </r>
  <r>
    <s v="WQJUL91"/>
    <d v="1991-07-08T00:00:00"/>
    <s v="H6"/>
    <n v="21.158799999999999"/>
    <n v="17.724399999999999"/>
    <x v="0"/>
  </r>
  <r>
    <s v="WQAUG91"/>
    <d v="1991-08-13T00:00:00"/>
    <s v="H6"/>
    <n v="23.288"/>
    <n v="20.513500000000001"/>
    <x v="0"/>
  </r>
  <r>
    <s v="WQSEP91"/>
    <d v="1991-09-05T00:00:00"/>
    <s v="H6"/>
    <n v="22.700099999999999"/>
    <n v="22.228899999999999"/>
    <x v="0"/>
  </r>
  <r>
    <s v="WQOCT91"/>
    <d v="1991-10-01T00:00:00"/>
    <s v="H6"/>
    <n v="19.641200000000001"/>
    <n v="19.974900000000002"/>
    <x v="0"/>
  </r>
  <r>
    <s v="WQNOV91"/>
    <d v="1991-11-15T00:00:00"/>
    <s v="H6"/>
    <n v="12.609299999999999"/>
    <n v="12.455399999999999"/>
    <x v="0"/>
  </r>
  <r>
    <s v="WQJAN92"/>
    <d v="1992-01-09T00:00:00"/>
    <s v="H6"/>
    <n v="5.3169000000000004"/>
    <n v="5.5655999999999999"/>
    <x v="1"/>
  </r>
  <r>
    <s v="WQFEB92"/>
    <d v="1992-02-04T00:00:00"/>
    <s v="H6"/>
    <n v="2.2107999999999999"/>
    <n v="2.1404999999999998"/>
    <x v="1"/>
  </r>
  <r>
    <s v="WQMAY92"/>
    <d v="1992-05-05T00:00:00"/>
    <s v="H6"/>
    <n v="9.8610000000000007"/>
    <n v="5.0559000000000003"/>
    <x v="1"/>
  </r>
  <r>
    <s v="WQJUN92"/>
    <d v="1992-06-02T00:00:00"/>
    <s v="H6"/>
    <m/>
    <n v="8.2502999999999993"/>
    <x v="1"/>
  </r>
  <r>
    <s v="WQJUL92"/>
    <d v="1992-07-08T00:00:00"/>
    <s v="H6"/>
    <m/>
    <n v="15.429500000000001"/>
    <x v="1"/>
  </r>
  <r>
    <s v="WQAUG92"/>
    <d v="1992-08-05T00:00:00"/>
    <s v="H6"/>
    <n v="20.523800000000001"/>
    <n v="18.373999999999999"/>
    <x v="1"/>
  </r>
  <r>
    <s v="WQSEP92"/>
    <d v="1992-09-01T00:00:00"/>
    <s v="H6"/>
    <n v="21.1142"/>
    <m/>
    <x v="1"/>
  </r>
  <r>
    <s v="WQOCT92"/>
    <d v="1992-10-06T00:00:00"/>
    <s v="H6"/>
    <n v="18.0184"/>
    <m/>
    <x v="1"/>
  </r>
  <r>
    <s v="WQNOV92"/>
    <d v="1992-11-04T00:00:00"/>
    <s v="H6"/>
    <n v="14.117699999999999"/>
    <n v="14.007099999999999"/>
    <x v="1"/>
  </r>
  <r>
    <s v="WQDEC92"/>
    <d v="1992-12-08T00:00:00"/>
    <s v="H6"/>
    <n v="8.4755000000000003"/>
    <n v="8.5876000000000001"/>
    <x v="1"/>
  </r>
  <r>
    <s v="WQJAN93"/>
    <d v="1993-01-14T00:00:00"/>
    <s v="H6"/>
    <n v="4.3714000000000004"/>
    <n v="4.3643000000000001"/>
    <x v="2"/>
  </r>
  <r>
    <s v="WQFEB93"/>
    <d v="1993-02-08T00:00:00"/>
    <s v="H6"/>
    <m/>
    <n v="2.2225000000000001"/>
    <x v="2"/>
  </r>
  <r>
    <s v="WQMAR93"/>
    <d v="1993-03-08T00:00:00"/>
    <s v="H6"/>
    <m/>
    <n v="1.1149"/>
    <x v="2"/>
  </r>
  <r>
    <s v="WQMAY93"/>
    <d v="1993-05-05T00:00:00"/>
    <s v="H6"/>
    <n v="9.8201000000000001"/>
    <n v="5.5917000000000003"/>
    <x v="2"/>
  </r>
  <r>
    <s v="WQJUN93"/>
    <d v="1993-06-01T00:00:00"/>
    <s v="H6"/>
    <n v="12.8719"/>
    <n v="11.385300000000001"/>
    <x v="2"/>
  </r>
  <r>
    <s v="WQJUL93"/>
    <d v="1993-07-07T00:00:00"/>
    <s v="H6"/>
    <n v="21.634899999999998"/>
    <n v="14.7248"/>
    <x v="2"/>
  </r>
  <r>
    <s v="WQAUG93"/>
    <d v="1993-08-02T00:00:00"/>
    <s v="H6"/>
    <n v="23.317"/>
    <n v="18.348800000000001"/>
    <x v="2"/>
  </r>
  <r>
    <s v="WQSEP93"/>
    <d v="1993-09-07T00:00:00"/>
    <s v="H6"/>
    <n v="23.947500000000002"/>
    <n v="21.822900000000001"/>
    <x v="2"/>
  </r>
  <r>
    <s v="WQOCT93"/>
    <d v="1993-10-05T00:00:00"/>
    <s v="H6"/>
    <n v="18.825399999999998"/>
    <n v="19.083400000000001"/>
    <x v="2"/>
  </r>
  <r>
    <s v="WQNOV93"/>
    <d v="1993-11-02T00:00:00"/>
    <s v="H6"/>
    <n v="14.3545"/>
    <n v="14.3172"/>
    <x v="2"/>
  </r>
  <r>
    <s v="WQDEC93"/>
    <d v="1993-12-15T00:00:00"/>
    <s v="H6"/>
    <n v="8.6217000000000006"/>
    <n v="8.3352000000000004"/>
    <x v="2"/>
  </r>
  <r>
    <s v="WQJAN94"/>
    <d v="1994-01-11T00:00:00"/>
    <s v="H6"/>
    <n v="2.84"/>
    <n v="3.01"/>
    <x v="3"/>
  </r>
  <r>
    <s v="WQFEB94"/>
    <d v="1994-02-01T00:00:00"/>
    <s v="H6"/>
    <n v="0.28000000000000003"/>
    <n v="0.32"/>
    <x v="3"/>
  </r>
  <r>
    <s v="WQMAR94"/>
    <d v="1994-03-07T00:00:00"/>
    <s v="H6"/>
    <n v="-0.46"/>
    <n v="-0.5"/>
    <x v="3"/>
  </r>
  <r>
    <s v="WQAPR94"/>
    <d v="1994-04-05T00:00:00"/>
    <s v="H6"/>
    <n v="3.9"/>
    <n v="2.2000000000000002"/>
    <x v="3"/>
  </r>
  <r>
    <s v="WQMAY94"/>
    <d v="1994-05-03T00:00:00"/>
    <s v="H6"/>
    <n v="8.6"/>
    <n v="5.13"/>
    <x v="3"/>
  </r>
  <r>
    <s v="WQJUN94"/>
    <d v="1994-06-01T00:00:00"/>
    <s v="H6"/>
    <n v="12.64"/>
    <n v="11.31"/>
    <x v="3"/>
  </r>
  <r>
    <s v="HYJUN94"/>
    <d v="1994-06-21T00:00:00"/>
    <s v="H6"/>
    <n v="19.95"/>
    <m/>
    <x v="3"/>
  </r>
  <r>
    <s v="WQJUL94"/>
    <d v="1994-07-07T00:00:00"/>
    <s v="H6"/>
    <n v="22.62"/>
    <n v="14.66"/>
    <x v="3"/>
  </r>
  <r>
    <s v="WQAUG94"/>
    <d v="1994-08-01T00:00:00"/>
    <s v="H6"/>
    <n v="23.15"/>
    <n v="19.7"/>
    <x v="3"/>
  </r>
  <r>
    <s v="HYAUG94"/>
    <d v="1994-08-17T00:00:00"/>
    <s v="H6"/>
    <n v="21.89"/>
    <m/>
    <x v="3"/>
  </r>
  <r>
    <s v="WQSEP94"/>
    <d v="1994-08-29T00:00:00"/>
    <s v="H6"/>
    <n v="22.28"/>
    <n v="21.18"/>
    <x v="3"/>
  </r>
  <r>
    <s v="WQOCT94"/>
    <d v="1994-10-04T00:00:00"/>
    <s v="H6"/>
    <n v="18.47"/>
    <n v="18.510000000000002"/>
    <x v="3"/>
  </r>
  <r>
    <s v="WQNOV94"/>
    <d v="1994-11-09T00:00:00"/>
    <s v="H6"/>
    <n v="14.96"/>
    <n v="14.94"/>
    <x v="3"/>
  </r>
  <r>
    <s v="WQDEC94"/>
    <d v="1994-12-07T00:00:00"/>
    <s v="H6"/>
    <n v="10.52"/>
    <n v="10.33"/>
    <x v="3"/>
  </r>
  <r>
    <s v="WQJAN95"/>
    <d v="1995-01-10T00:00:00"/>
    <s v="H6"/>
    <n v="4.71"/>
    <n v="5.33"/>
    <x v="4"/>
  </r>
  <r>
    <s v="WQFEB95"/>
    <d v="1995-02-15T00:00:00"/>
    <s v="H6"/>
    <n v="1.0900000000000001"/>
    <n v="1.5215000000000001"/>
    <x v="4"/>
  </r>
  <r>
    <s v="WQMAR95"/>
    <d v="1995-03-07T00:00:00"/>
    <s v="H6"/>
    <n v="2.33"/>
    <n v="1.86"/>
    <x v="4"/>
  </r>
  <r>
    <s v="WQAPR95"/>
    <d v="1995-04-10T00:00:00"/>
    <s v="H6"/>
    <n v="4.97"/>
    <n v="4.68"/>
    <x v="4"/>
  </r>
  <r>
    <s v="WQMAY95"/>
    <d v="1995-05-09T00:00:00"/>
    <s v="H6"/>
    <n v="9.9499999999999993"/>
    <n v="7.98"/>
    <x v="4"/>
  </r>
  <r>
    <s v="WQJUN95"/>
    <d v="1995-06-05T00:00:00"/>
    <s v="H6"/>
    <n v="15.45"/>
    <n v="11.62"/>
    <x v="4"/>
  </r>
  <r>
    <s v="WQJUL95"/>
    <d v="1995-07-10T00:00:00"/>
    <s v="H6"/>
    <n v="20.14"/>
    <n v="15.6069"/>
    <x v="4"/>
  </r>
  <r>
    <s v="HYJUL95"/>
    <d v="1995-07-19T00:00:00"/>
    <s v="H6"/>
    <n v="22.13"/>
    <n v="17.670000000000002"/>
    <x v="4"/>
  </r>
  <r>
    <s v="WQAUG95"/>
    <d v="1995-08-01T00:00:00"/>
    <s v="H6"/>
    <n v="24.7"/>
    <n v="20.51"/>
    <x v="4"/>
  </r>
  <r>
    <s v="HYAUG95"/>
    <d v="1995-08-15T00:00:00"/>
    <s v="H6"/>
    <n v="23.94"/>
    <n v="20.6"/>
    <x v="4"/>
  </r>
  <r>
    <s v="WQSEP95"/>
    <d v="1995-09-11T00:00:00"/>
    <s v="H6"/>
    <n v="22.63"/>
    <n v="22.1035"/>
    <x v="4"/>
  </r>
  <r>
    <s v="WQOCT95"/>
    <d v="1995-10-03T00:00:00"/>
    <s v="H6"/>
    <n v="20.09"/>
    <n v="19.808800000000002"/>
    <x v="4"/>
  </r>
  <r>
    <s v="WQDEC95"/>
    <d v="1995-12-05T00:00:00"/>
    <s v="H6"/>
    <n v="9.2200000000000006"/>
    <n v="9.1300000000000008"/>
    <x v="4"/>
  </r>
  <r>
    <s v="WQJAN96"/>
    <d v="1996-01-10T00:00:00"/>
    <s v="H6"/>
    <n v="1.45"/>
    <n v="1.54"/>
    <x v="5"/>
  </r>
  <r>
    <s v="WQFEB96"/>
    <d v="1996-02-07T00:00:00"/>
    <s v="H6"/>
    <n v="0.35"/>
    <n v="0.6"/>
    <x v="5"/>
  </r>
  <r>
    <s v="WQMAR96"/>
    <d v="1996-03-06T00:00:00"/>
    <s v="H6"/>
    <n v="0.82"/>
    <n v="0.78"/>
    <x v="5"/>
  </r>
  <r>
    <s v="WQAPR96"/>
    <d v="1996-04-03T00:00:00"/>
    <s v="H6"/>
    <n v="3.06"/>
    <n v="2.44"/>
    <x v="5"/>
  </r>
  <r>
    <s v="WQMAY96"/>
    <d v="1996-05-10T00:00:00"/>
    <s v="H6"/>
    <n v="9.32"/>
    <n v="6.9"/>
    <x v="5"/>
  </r>
  <r>
    <s v="WQJUN96"/>
    <d v="1996-06-05T00:00:00"/>
    <s v="H6"/>
    <n v="13.59"/>
    <n v="10.27"/>
    <x v="5"/>
  </r>
  <r>
    <s v="HYJUN96"/>
    <d v="1996-06-25T00:00:00"/>
    <s v="H6"/>
    <n v="18.45"/>
    <n v="12.85"/>
    <x v="5"/>
  </r>
  <r>
    <s v="WQJUL96"/>
    <d v="1996-07-10T00:00:00"/>
    <s v="H6"/>
    <n v="19.91"/>
    <n v="15.27"/>
    <x v="5"/>
  </r>
  <r>
    <s v="HYJUL96"/>
    <d v="1996-07-23T00:00:00"/>
    <s v="H6"/>
    <n v="20.399999999999999"/>
    <n v="18.05"/>
    <x v="5"/>
  </r>
  <r>
    <s v="WQAUG96"/>
    <d v="1996-08-06T00:00:00"/>
    <s v="H6"/>
    <n v="22.24"/>
    <n v="18.75"/>
    <x v="5"/>
  </r>
  <r>
    <s v="HYAUG96"/>
    <d v="1996-08-20T00:00:00"/>
    <s v="H6"/>
    <n v="22.8"/>
    <n v="19.510000000000002"/>
    <x v="5"/>
  </r>
  <r>
    <s v="WQSEP96"/>
    <d v="1996-09-04T00:00:00"/>
    <s v="H6"/>
    <n v="22.52"/>
    <n v="20.43"/>
    <x v="5"/>
  </r>
  <r>
    <s v="WQOCT96"/>
    <d v="1996-10-02T00:00:00"/>
    <s v="H6"/>
    <n v="19.940000000000001"/>
    <n v="19.79"/>
    <x v="5"/>
  </r>
  <r>
    <s v="WQNOV96"/>
    <d v="1996-11-07T00:00:00"/>
    <s v="H6"/>
    <n v="14.42"/>
    <n v="14.1"/>
    <x v="5"/>
  </r>
  <r>
    <s v="WQDEC96"/>
    <d v="1996-12-03T00:00:00"/>
    <s v="H6"/>
    <n v="9.4700000000000006"/>
    <n v="9.33"/>
    <x v="5"/>
  </r>
  <r>
    <s v="WQFEB97"/>
    <d v="1997-02-06T00:00:00"/>
    <s v="H6"/>
    <n v="2.4300000000000002"/>
    <n v="2.62"/>
    <x v="6"/>
  </r>
  <r>
    <s v="WQMAR97"/>
    <d v="1997-03-05T00:00:00"/>
    <s v="H6"/>
    <n v="3.13"/>
    <n v="3.25"/>
    <x v="6"/>
  </r>
  <r>
    <s v="WQAPR97"/>
    <d v="1997-04-02T00:00:00"/>
    <s v="H6"/>
    <n v="4.3600000000000003"/>
    <n v="4.33"/>
    <x v="6"/>
  </r>
  <r>
    <s v="WQMAY97"/>
    <d v="1997-05-09T00:00:00"/>
    <s v="H6"/>
    <n v="8.9600000000000009"/>
    <n v="8.7899999999999991"/>
    <x v="6"/>
  </r>
  <r>
    <s v="WQJUN97"/>
    <d v="1997-06-03T00:00:00"/>
    <s v="H6"/>
    <n v="12.41"/>
    <n v="10.62"/>
    <x v="6"/>
  </r>
  <r>
    <s v="HYJUN97"/>
    <d v="1997-06-30T00:00:00"/>
    <s v="H6"/>
    <n v="19.059999999999999"/>
    <m/>
    <x v="6"/>
  </r>
  <r>
    <s v="WQJUL97"/>
    <d v="1997-07-08T00:00:00"/>
    <s v="H6"/>
    <n v="19.899999999999999"/>
    <n v="16.760000000000002"/>
    <x v="6"/>
  </r>
  <r>
    <s v="WQAUG97"/>
    <d v="1997-08-06T00:00:00"/>
    <s v="H6"/>
    <n v="22.51"/>
    <n v="19.96"/>
    <x v="6"/>
  </r>
  <r>
    <s v="HYAUG97"/>
    <d v="1997-08-19T00:00:00"/>
    <s v="H6"/>
    <n v="22.6"/>
    <n v="20.239999999999998"/>
    <x v="6"/>
  </r>
  <r>
    <s v="WQSEP97"/>
    <d v="1997-09-05T00:00:00"/>
    <s v="H6"/>
    <n v="21.52"/>
    <n v="20.94"/>
    <x v="6"/>
  </r>
  <r>
    <s v="WQOCT97"/>
    <d v="1997-10-06T00:00:00"/>
    <s v="H6"/>
    <n v="19.399999999999999"/>
    <n v="18.41"/>
    <x v="6"/>
  </r>
  <r>
    <s v="WQNOV97"/>
    <d v="1997-11-05T00:00:00"/>
    <s v="H6"/>
    <n v="14.54"/>
    <n v="14.48"/>
    <x v="6"/>
  </r>
  <r>
    <s v="WQDEC97"/>
    <d v="1997-12-05T00:00:00"/>
    <s v="H6"/>
    <n v="8.4499999999999993"/>
    <n v="8.41"/>
    <x v="6"/>
  </r>
  <r>
    <s v="WQJAN98"/>
    <d v="1998-01-08T00:00:00"/>
    <s v="H6"/>
    <n v="5.12"/>
    <n v="4.8099999999999996"/>
    <x v="7"/>
  </r>
  <r>
    <s v="WQFEB98"/>
    <d v="1998-02-03T00:00:00"/>
    <s v="H6"/>
    <n v="3.75"/>
    <n v="3.75"/>
    <x v="7"/>
  </r>
  <r>
    <s v="WQMAR98"/>
    <d v="1998-03-03T00:00:00"/>
    <s v="H6"/>
    <n v="4.18"/>
    <n v="3.94"/>
    <x v="7"/>
  </r>
  <r>
    <s v="WQAPR98"/>
    <d v="1998-04-14T00:00:00"/>
    <s v="H6"/>
    <n v="7.66"/>
    <n v="5.66"/>
    <x v="7"/>
  </r>
  <r>
    <s v="WQMAY98"/>
    <d v="1998-05-08T00:00:00"/>
    <s v="H6"/>
    <n v="11.78"/>
    <n v="8.9"/>
    <x v="7"/>
  </r>
  <r>
    <s v="WQJUN98"/>
    <d v="1998-06-01T00:00:00"/>
    <s v="H6"/>
    <n v="14.59"/>
    <n v="12.47"/>
    <x v="7"/>
  </r>
  <r>
    <s v="HYJUN98"/>
    <d v="1998-06-24T00:00:00"/>
    <s v="H6"/>
    <n v="18.45"/>
    <n v="14.38"/>
    <x v="7"/>
  </r>
  <r>
    <s v="WQJUL98"/>
    <d v="1998-07-07T00:00:00"/>
    <s v="H6"/>
    <n v="21.7"/>
    <n v="14.98"/>
    <x v="7"/>
  </r>
  <r>
    <s v="HYJUL98"/>
    <d v="1998-07-21T00:00:00"/>
    <s v="H6"/>
    <n v="22.14"/>
    <n v="16.3"/>
    <x v="7"/>
  </r>
  <r>
    <s v="WQAUG98"/>
    <d v="1998-08-05T00:00:00"/>
    <s v="H6"/>
    <n v="22.57"/>
    <n v="19.71"/>
    <x v="7"/>
  </r>
  <r>
    <s v="HYAUG98"/>
    <d v="1998-08-18T00:00:00"/>
    <s v="H6"/>
    <n v="23.45"/>
    <n v="20.13"/>
    <x v="7"/>
  </r>
  <r>
    <s v="WQSEP98"/>
    <d v="1998-09-01T00:00:00"/>
    <s v="H6"/>
    <n v="23.58"/>
    <n v="21.45"/>
    <x v="7"/>
  </r>
  <r>
    <s v="WQOCT98"/>
    <d v="1998-10-05T00:00:00"/>
    <s v="H6"/>
    <n v="19.45"/>
    <n v="19.47"/>
    <x v="7"/>
  </r>
  <r>
    <s v="WQNOV98"/>
    <d v="1998-11-06T00:00:00"/>
    <s v="H6"/>
    <n v="14.41"/>
    <n v="14.13"/>
    <x v="7"/>
  </r>
  <r>
    <s v="WQDEC98"/>
    <d v="1998-12-03T00:00:00"/>
    <s v="H6"/>
    <n v="10.73"/>
    <n v="10.64"/>
    <x v="7"/>
  </r>
  <r>
    <s v="WQJAN99"/>
    <d v="1999-01-06T00:00:00"/>
    <s v="H6"/>
    <n v="5.66"/>
    <n v="5.74"/>
    <x v="8"/>
  </r>
  <r>
    <s v="WQFEB99"/>
    <d v="1999-02-03T00:00:00"/>
    <s v="H6"/>
    <n v="3.6"/>
    <n v="3.24"/>
    <x v="8"/>
  </r>
  <r>
    <s v="WQMAR99"/>
    <d v="1999-03-05T00:00:00"/>
    <s v="H6"/>
    <n v="3.27"/>
    <n v="3.21"/>
    <x v="8"/>
  </r>
  <r>
    <s v="WQAPR99"/>
    <d v="1999-04-06T00:00:00"/>
    <s v="H6"/>
    <n v="5.52"/>
    <n v="4.42"/>
    <x v="8"/>
  </r>
  <r>
    <s v="WQMAY99"/>
    <d v="1999-05-07T00:00:00"/>
    <s v="H6"/>
    <n v="10.59"/>
    <n v="7.92"/>
    <x v="8"/>
  </r>
  <r>
    <s v="WQJUN99"/>
    <d v="1999-06-02T00:00:00"/>
    <s v="H6"/>
    <n v="16.66"/>
    <n v="12"/>
    <x v="8"/>
  </r>
  <r>
    <s v="HYJUN99"/>
    <d v="1999-06-22T00:00:00"/>
    <s v="H6"/>
    <n v="18.170000000000002"/>
    <n v="14.94"/>
    <x v="8"/>
  </r>
  <r>
    <s v="WQJUL99"/>
    <d v="1999-07-08T00:00:00"/>
    <s v="H6"/>
    <n v="22.91"/>
    <n v="17.95"/>
    <x v="8"/>
  </r>
  <r>
    <s v="HYJUL99"/>
    <d v="1999-07-22T00:00:00"/>
    <s v="H6"/>
    <n v="22.54"/>
    <n v="19.52"/>
    <x v="8"/>
  </r>
  <r>
    <s v="WQAUG99"/>
    <d v="1999-08-03T00:00:00"/>
    <s v="H6"/>
    <n v="24.36"/>
    <n v="20.02"/>
    <x v="8"/>
  </r>
  <r>
    <s v="HYAUG99"/>
    <d v="1999-08-17T00:00:00"/>
    <s v="H6"/>
    <n v="23.26"/>
    <n v="21.27"/>
    <x v="8"/>
  </r>
  <r>
    <s v="WQSEP99"/>
    <d v="1999-09-02T00:00:00"/>
    <s v="H6"/>
    <n v="22.16"/>
    <n v="21.78"/>
    <x v="8"/>
  </r>
  <r>
    <s v="WQOCT99"/>
    <d v="1999-09-29T00:00:00"/>
    <s v="H6"/>
    <n v="21.12"/>
    <n v="20.62"/>
    <x v="8"/>
  </r>
  <r>
    <s v="WQNOV99"/>
    <d v="1999-11-02T00:00:00"/>
    <s v="H6"/>
    <n v="15.94"/>
    <n v="15.83"/>
    <x v="8"/>
  </r>
  <r>
    <s v="WQDEC99"/>
    <d v="1999-12-08T00:00:00"/>
    <s v="H6"/>
    <n v="10.1"/>
    <n v="10.06"/>
    <x v="8"/>
  </r>
  <r>
    <s v="WQJAN00"/>
    <d v="2000-01-07T00:00:00"/>
    <s v="H6"/>
    <n v="5.93"/>
    <n v="6.14"/>
    <x v="9"/>
  </r>
  <r>
    <s v="WQFEB00"/>
    <d v="2000-02-04T00:00:00"/>
    <s v="H6"/>
    <n v="0.97"/>
    <n v="0.95"/>
    <x v="9"/>
  </r>
  <r>
    <s v="WQAPR00"/>
    <d v="2000-04-07T00:00:00"/>
    <s v="H6"/>
    <n v="6.23"/>
    <n v="5.52"/>
    <x v="9"/>
  </r>
  <r>
    <s v="WQMAY00"/>
    <d v="2000-05-02T00:00:00"/>
    <s v="H6"/>
    <n v="9.01"/>
    <n v="7.1"/>
    <x v="9"/>
  </r>
  <r>
    <s v="WQJUN00"/>
    <d v="2000-06-02T00:00:00"/>
    <s v="H6"/>
    <n v="16.690000000000001"/>
    <n v="11.1"/>
    <x v="9"/>
  </r>
  <r>
    <s v="HYJUN00"/>
    <d v="2000-06-22T00:00:00"/>
    <s v="H6"/>
    <n v="17.25"/>
    <n v="13.68"/>
    <x v="9"/>
  </r>
  <r>
    <s v="WQJUL00"/>
    <d v="2000-07-06T00:00:00"/>
    <s v="H6"/>
    <n v="20.399999999999999"/>
    <n v="15.78"/>
    <x v="9"/>
  </r>
  <r>
    <s v="HYJUL00"/>
    <d v="2000-07-18T00:00:00"/>
    <s v="H6"/>
    <n v="20.84"/>
    <n v="18.55"/>
    <x v="9"/>
  </r>
  <r>
    <s v="WQAUG00"/>
    <d v="2000-08-02T00:00:00"/>
    <s v="H6"/>
    <n v="20.399999999999999"/>
    <n v="19.02"/>
    <x v="9"/>
  </r>
  <r>
    <s v="HYAUG00"/>
    <d v="2000-08-15T00:00:00"/>
    <s v="H6"/>
    <n v="21.37"/>
    <n v="20.09"/>
    <x v="9"/>
  </r>
  <r>
    <s v="WQSEP00"/>
    <d v="2000-08-30T00:00:00"/>
    <s v="H6"/>
    <n v="21.63"/>
    <n v="20.83"/>
    <x v="9"/>
  </r>
  <r>
    <s v="WQOCT00"/>
    <d v="2000-10-02T00:00:00"/>
    <s v="H6"/>
    <n v="19.55"/>
    <n v="19.45"/>
    <x v="9"/>
  </r>
  <r>
    <s v="WQNOV00"/>
    <d v="2000-11-13T00:00:00"/>
    <s v="H6"/>
    <n v="13.28"/>
    <n v="13.35"/>
    <x v="9"/>
  </r>
  <r>
    <s v="WQDEC00"/>
    <d v="2000-12-05T00:00:00"/>
    <s v="H6"/>
    <n v="8.43"/>
    <n v="8.6199999999999992"/>
    <x v="9"/>
  </r>
  <r>
    <s v="WQJAN01"/>
    <d v="2001-01-12T00:00:00"/>
    <s v="H6"/>
    <n v="2.21"/>
    <n v="2.2200000000000002"/>
    <x v="10"/>
  </r>
  <r>
    <s v="WQFEB01"/>
    <d v="2001-02-02T00:00:00"/>
    <s v="H6"/>
    <n v="2.11"/>
    <n v="1.98"/>
    <x v="10"/>
  </r>
  <r>
    <s v="WQMAR01"/>
    <d v="2001-03-02T00:00:00"/>
    <s v="H6"/>
    <n v="1.84"/>
    <n v="1.92"/>
    <x v="10"/>
  </r>
  <r>
    <s v="WQAPR01"/>
    <d v="2001-04-05T00:00:00"/>
    <s v="H6"/>
    <n v="4.53"/>
    <n v="3.42"/>
    <x v="10"/>
  </r>
  <r>
    <s v="WQMAY01"/>
    <d v="2001-05-02T00:00:00"/>
    <s v="H6"/>
    <m/>
    <m/>
    <x v="10"/>
  </r>
  <r>
    <s v="WQJUN01"/>
    <d v="2001-06-05T00:00:00"/>
    <s v="H6"/>
    <n v="13.85"/>
    <n v="10.75"/>
    <x v="10"/>
  </r>
  <r>
    <s v="WQJUL01"/>
    <d v="2001-07-09T00:00:00"/>
    <s v="H6"/>
    <n v="19.809999999999999"/>
    <n v="15.56"/>
    <x v="10"/>
  </r>
  <r>
    <s v="HYJUL01"/>
    <d v="2001-07-24T00:00:00"/>
    <s v="H6"/>
    <n v="21.29"/>
    <n v="18.59"/>
    <x v="10"/>
  </r>
  <r>
    <s v="WQAUG01"/>
    <d v="2001-08-08T00:00:00"/>
    <s v="H6"/>
    <n v="23.37"/>
    <n v="20.45"/>
    <x v="10"/>
  </r>
  <r>
    <s v="HYAUG01"/>
    <d v="2001-08-22T00:00:00"/>
    <s v="H6"/>
    <n v="22.87"/>
    <n v="20.92"/>
    <x v="10"/>
  </r>
  <r>
    <s v="WQSEP01"/>
    <d v="2001-09-06T00:00:00"/>
    <s v="H6"/>
    <n v="22.91"/>
    <n v="21.94"/>
    <x v="10"/>
  </r>
  <r>
    <s v="WQOCT01"/>
    <d v="2001-10-03T00:00:00"/>
    <s v="H6"/>
    <n v="19.77"/>
    <n v="19.29"/>
    <x v="10"/>
  </r>
  <r>
    <s v="WQNOV01"/>
    <d v="2001-11-14T00:00:00"/>
    <s v="H6"/>
    <n v="13.08"/>
    <n v="13.07"/>
    <x v="10"/>
  </r>
  <r>
    <s v="WQDEC01"/>
    <d v="2001-12-04T00:00:00"/>
    <s v="H6"/>
    <n v="12"/>
    <n v="11.81"/>
    <x v="10"/>
  </r>
  <r>
    <s v="WQJAN02"/>
    <d v="2002-01-14T00:00:00"/>
    <s v="H6"/>
    <n v="5.45"/>
    <n v="5.18"/>
    <x v="11"/>
  </r>
  <r>
    <s v="WQFEB02"/>
    <d v="2002-02-07T00:00:00"/>
    <s v="H6"/>
    <n v="4.3099999999999996"/>
    <n v="4.2699999999999996"/>
    <x v="11"/>
  </r>
  <r>
    <s v="WQMAR02"/>
    <d v="2002-03-01T00:00:00"/>
    <s v="H6"/>
    <n v="4.41"/>
    <n v="4.45"/>
    <x v="11"/>
  </r>
  <r>
    <s v="WQAPR02"/>
    <d v="2002-04-05T00:00:00"/>
    <s v="H6"/>
    <n v="6.36"/>
    <n v="5.72"/>
    <x v="11"/>
  </r>
  <r>
    <s v="WQMAY02"/>
    <d v="2002-05-09T00:00:00"/>
    <s v="H6"/>
    <n v="10.89"/>
    <n v="8.93"/>
    <x v="11"/>
  </r>
  <r>
    <s v="WQJUN02"/>
    <d v="2002-06-10T00:00:00"/>
    <s v="H6"/>
    <n v="16.96"/>
    <n v="12.08"/>
    <x v="11"/>
  </r>
  <r>
    <s v="WQJUL02"/>
    <d v="2002-07-10T00:00:00"/>
    <s v="H6"/>
    <n v="21.78"/>
    <n v="17.95"/>
    <x v="11"/>
  </r>
  <r>
    <s v="WQAUG02"/>
    <d v="2002-08-08T00:00:00"/>
    <s v="H6"/>
    <n v="23.19"/>
    <n v="20.89"/>
    <x v="11"/>
  </r>
  <r>
    <s v="WQSEP02"/>
    <d v="2002-09-13T00:00:00"/>
    <s v="H6"/>
    <n v="21.93"/>
    <n v="21.53"/>
    <x v="11"/>
  </r>
  <r>
    <s v="WQOCT02"/>
    <d v="2002-10-10T00:00:00"/>
    <s v="H6"/>
    <n v="20.25"/>
    <n v="20.350000000000001"/>
    <x v="11"/>
  </r>
  <r>
    <s v="WQNOV02"/>
    <d v="2002-11-14T00:00:00"/>
    <s v="H6"/>
    <n v="12.81"/>
    <n v="12.94"/>
    <x v="11"/>
  </r>
  <r>
    <s v="WQDEC02"/>
    <d v="2002-12-13T00:00:00"/>
    <s v="H6"/>
    <n v="6.69"/>
    <n v="6.79"/>
    <x v="11"/>
  </r>
  <r>
    <s v="WQFEB03"/>
    <d v="2003-02-03T00:00:00"/>
    <s v="H6"/>
    <n v="0.38"/>
    <n v="0.35"/>
    <x v="12"/>
  </r>
  <r>
    <s v="WQMAR03"/>
    <d v="2003-03-11T00:00:00"/>
    <s v="H6"/>
    <n v="0.23"/>
    <n v="0.08"/>
    <x v="12"/>
  </r>
  <r>
    <s v="WQAPR03"/>
    <d v="2003-04-02T00:00:00"/>
    <s v="H6"/>
    <m/>
    <m/>
    <x v="12"/>
  </r>
  <r>
    <s v="WQMAY03"/>
    <d v="2003-05-07T00:00:00"/>
    <s v="H6"/>
    <n v="9.18"/>
    <n v="5.61"/>
    <x v="12"/>
  </r>
  <r>
    <s v="WQJUN03"/>
    <d v="2003-06-04T00:00:00"/>
    <s v="H6"/>
    <n v="12.98"/>
    <n v="8.7100000000000009"/>
    <x v="12"/>
  </r>
  <r>
    <s v="WQJUL03"/>
    <d v="2003-07-09T00:00:00"/>
    <s v="H6"/>
    <n v="18.97"/>
    <n v="15.07"/>
    <x v="12"/>
  </r>
  <r>
    <s v="HYJUL03"/>
    <d v="2003-07-24T00:00:00"/>
    <s v="H6"/>
    <n v="20.38"/>
    <n v="15.99"/>
    <x v="12"/>
  </r>
  <r>
    <s v="WQAUG03"/>
    <d v="2003-08-05T00:00:00"/>
    <s v="H6"/>
    <n v="20.55"/>
    <n v="18.21"/>
    <x v="12"/>
  </r>
  <r>
    <s v="HYAUG03"/>
    <d v="2003-08-19T00:00:00"/>
    <s v="H6"/>
    <n v="23.35"/>
    <n v="18.71"/>
    <x v="12"/>
  </r>
  <r>
    <s v="WQSEP03"/>
    <d v="2003-09-08T00:00:00"/>
    <s v="H6"/>
    <n v="21.35"/>
    <n v="20.62"/>
    <x v="12"/>
  </r>
  <r>
    <s v="WQOCT03"/>
    <d v="2003-10-07T00:00:00"/>
    <s v="H6"/>
    <n v="18.829999999999998"/>
    <n v="19.14"/>
    <x v="12"/>
  </r>
  <r>
    <s v="WQNOV03"/>
    <d v="2003-11-04T00:00:00"/>
    <s v="H6"/>
    <n v="15.39"/>
    <n v="15.08"/>
    <x v="12"/>
  </r>
  <r>
    <s v="WQDEC03"/>
    <d v="2003-12-10T00:00:00"/>
    <s v="H6"/>
    <n v="7.8"/>
    <n v="7.5"/>
    <x v="12"/>
  </r>
  <r>
    <s v="WQJAN04"/>
    <d v="2004-01-13T00:00:00"/>
    <s v="H6"/>
    <n v="3.2"/>
    <n v="3.59"/>
    <x v="13"/>
  </r>
  <r>
    <s v="WQFEB04"/>
    <d v="2004-02-03T00:00:00"/>
    <s v="H6"/>
    <n v="-0.63"/>
    <n v="-0.56000000000000005"/>
    <x v="13"/>
  </r>
  <r>
    <s v="WQMAR04"/>
    <d v="2004-03-02T00:00:00"/>
    <s v="H6"/>
    <n v="1.96"/>
    <n v="0.88"/>
    <x v="13"/>
  </r>
  <r>
    <s v="WQAPR04"/>
    <d v="2004-04-12T00:00:00"/>
    <s v="H6"/>
    <n v="4.96"/>
    <n v="3.71"/>
    <x v="13"/>
  </r>
  <r>
    <s v="WQMAY04"/>
    <d v="2004-05-05T00:00:00"/>
    <s v="H6"/>
    <n v="9.86"/>
    <n v="6.7"/>
    <x v="13"/>
  </r>
  <r>
    <s v="WQJUN04"/>
    <d v="2004-06-03T00:00:00"/>
    <s v="H6"/>
    <n v="15.01"/>
    <n v="9.9700000000000006"/>
    <x v="13"/>
  </r>
  <r>
    <s v="HYJUN04"/>
    <d v="2004-06-28T00:00:00"/>
    <s v="H6"/>
    <n v="18.11"/>
    <n v="15.51"/>
    <x v="13"/>
  </r>
  <r>
    <s v="WQJUL04"/>
    <d v="2004-07-07T00:00:00"/>
    <s v="H6"/>
    <n v="19.8"/>
    <n v="15.7"/>
    <x v="13"/>
  </r>
  <r>
    <s v="HYJUL04"/>
    <d v="2004-07-19T00:00:00"/>
    <s v="H6"/>
    <n v="20.87"/>
    <n v="16.48"/>
    <x v="13"/>
  </r>
  <r>
    <s v="WQAUG04"/>
    <d v="2004-08-02T00:00:00"/>
    <s v="H6"/>
    <n v="21.55"/>
    <n v="18.3"/>
    <x v="13"/>
  </r>
  <r>
    <s v="HYAUG04"/>
    <d v="2004-08-19T00:00:00"/>
    <s v="H6"/>
    <n v="22.32"/>
    <n v="20.56"/>
    <x v="13"/>
  </r>
  <r>
    <s v="WQSEP04"/>
    <d v="2004-09-01T00:00:00"/>
    <s v="H6"/>
    <n v="23.43"/>
    <n v="21"/>
    <x v="13"/>
  </r>
  <r>
    <s v="WQOCT04"/>
    <d v="2004-10-06T00:00:00"/>
    <s v="H6"/>
    <n v="20.239999999999998"/>
    <n v="20.239999999999998"/>
    <x v="13"/>
  </r>
  <r>
    <s v="WQDEC04"/>
    <d v="2004-11-29T00:00:00"/>
    <s v="H6"/>
    <n v="10.93"/>
    <n v="10.87"/>
    <x v="13"/>
  </r>
  <r>
    <s v="WQJAN05"/>
    <d v="2005-01-11T00:00:00"/>
    <s v="H6"/>
    <n v="5.05"/>
    <n v="5.04"/>
    <x v="14"/>
  </r>
  <r>
    <s v="WQFEB05"/>
    <d v="2005-02-01T00:00:00"/>
    <s v="H6"/>
    <n v="0.97"/>
    <n v="1.1599999999999999"/>
    <x v="14"/>
  </r>
  <r>
    <s v="WQMAR05"/>
    <d v="2005-03-11T00:00:00"/>
    <s v="H6"/>
    <n v="0.94"/>
    <n v="1.19"/>
    <x v="14"/>
  </r>
  <r>
    <s v="WQAPR05"/>
    <d v="2005-04-08T00:00:00"/>
    <s v="H6"/>
    <n v="5.01"/>
    <n v="2.82"/>
    <x v="14"/>
  </r>
  <r>
    <s v="WQMAY05"/>
    <d v="2005-05-05T00:00:00"/>
    <s v="H6"/>
    <n v="10.88"/>
    <n v="6.56"/>
    <x v="14"/>
  </r>
  <r>
    <s v="WQJUN05"/>
    <d v="2005-06-08T00:00:00"/>
    <s v="H6"/>
    <n v="15.56"/>
    <n v="11.23"/>
    <x v="14"/>
  </r>
  <r>
    <s v="WQJUL05"/>
    <d v="2005-07-07T00:00:00"/>
    <s v="H6"/>
    <n v="18.899999999999999"/>
    <n v="13.86"/>
    <x v="14"/>
  </r>
  <r>
    <s v="HYJUL05"/>
    <d v="2005-07-18T00:00:00"/>
    <s v="H6"/>
    <n v="21.49"/>
    <n v="15.4"/>
    <x v="14"/>
  </r>
  <r>
    <s v="WQAUG05"/>
    <d v="2005-08-04T00:00:00"/>
    <s v="H6"/>
    <n v="24.63"/>
    <n v="17.73"/>
    <x v="14"/>
  </r>
  <r>
    <s v="HYAUG05"/>
    <d v="2005-08-16T00:00:00"/>
    <s v="H6"/>
    <n v="24.16"/>
    <n v="20.27"/>
    <x v="14"/>
  </r>
  <r>
    <s v="WQSEP05"/>
    <d v="2005-09-02T00:00:00"/>
    <s v="H6"/>
    <n v="23.29"/>
    <n v="21.65"/>
    <x v="14"/>
  </r>
  <r>
    <s v="WQOCT05"/>
    <d v="2005-10-11T00:00:00"/>
    <s v="H6"/>
    <n v="20.75"/>
    <n v="20.77"/>
    <x v="14"/>
  </r>
  <r>
    <s v="WQNOV05"/>
    <d v="2005-11-14T00:00:00"/>
    <s v="H6"/>
    <n v="13.66"/>
    <n v="13.7"/>
    <x v="14"/>
  </r>
  <r>
    <s v="WQDEC05"/>
    <d v="2005-12-08T00:00:00"/>
    <s v="H6"/>
    <n v="8.6999999999999993"/>
    <n v="8.9600000000000009"/>
    <x v="14"/>
  </r>
  <r>
    <s v="WQMAR06"/>
    <d v="2006-03-07T00:00:00"/>
    <s v="H6"/>
    <n v="2.11"/>
    <n v="2.44"/>
    <x v="15"/>
  </r>
  <r>
    <s v="WQAPR06"/>
    <d v="2006-04-12T00:00:00"/>
    <s v="H6"/>
    <n v="6.6"/>
    <n v="5.74"/>
    <x v="15"/>
  </r>
  <r>
    <s v="WQMAY06"/>
    <d v="2006-05-04T00:00:00"/>
    <s v="H6"/>
    <n v="10.79"/>
    <n v="7.06"/>
    <x v="15"/>
  </r>
  <r>
    <s v="WQJUN06"/>
    <d v="2006-06-06T00:00:00"/>
    <s v="H6"/>
    <n v="16.09"/>
    <n v="11.46"/>
    <x v="15"/>
  </r>
  <r>
    <s v="WQJUL06"/>
    <d v="2006-07-06T00:00:00"/>
    <s v="H6"/>
    <n v="21.2"/>
    <m/>
    <x v="15"/>
  </r>
  <r>
    <s v="HYJUL06"/>
    <d v="2006-07-19T00:00:00"/>
    <s v="H6"/>
    <n v="23.22"/>
    <n v="16.989999999999998"/>
    <x v="15"/>
  </r>
  <r>
    <s v="WQAUG06"/>
    <d v="2006-08-01T00:00:00"/>
    <s v="H6"/>
    <n v="25.44"/>
    <n v="18.010000000000002"/>
    <x v="15"/>
  </r>
  <r>
    <s v="HYAUG06"/>
    <d v="2006-08-16T00:00:00"/>
    <s v="H6"/>
    <n v="22.25"/>
    <n v="20.67"/>
    <x v="15"/>
  </r>
  <r>
    <s v="WQSEP06"/>
    <d v="2006-08-30T00:00:00"/>
    <s v="H6"/>
    <n v="21.8"/>
    <n v="21.56"/>
    <x v="15"/>
  </r>
  <r>
    <s v="WQOCT06"/>
    <d v="2006-10-04T00:00:00"/>
    <s v="H6"/>
    <n v="19.73"/>
    <n v="19.82"/>
    <x v="15"/>
  </r>
  <r>
    <s v="WQNOV06"/>
    <d v="2006-11-07T00:00:00"/>
    <s v="H6"/>
    <n v="13.49"/>
    <n v="13.63"/>
    <x v="15"/>
  </r>
  <r>
    <s v="WQDEC06"/>
    <d v="2006-12-11T00:00:00"/>
    <s v="H6"/>
    <n v="9.5500000000000007"/>
    <n v="9.82"/>
    <x v="15"/>
  </r>
  <r>
    <s v="WQJAN07"/>
    <d v="2007-01-11T00:00:00"/>
    <s v="H6"/>
    <n v="7.4"/>
    <n v="7.16"/>
    <x v="16"/>
  </r>
  <r>
    <s v="WQFEB07"/>
    <d v="2007-02-13T00:00:00"/>
    <s v="H6"/>
    <n v="1.58"/>
    <n v="2.12"/>
    <x v="16"/>
  </r>
  <r>
    <s v="WQMAR07"/>
    <d v="2007-03-13T00:00:00"/>
    <s v="H6"/>
    <n v="1.45"/>
    <n v="1.29"/>
    <x v="16"/>
  </r>
  <r>
    <s v="WQAPR07"/>
    <d v="2007-04-02T00:00:00"/>
    <s v="H6"/>
    <n v="4.2"/>
    <n v="2.44"/>
    <x v="16"/>
  </r>
  <r>
    <s v="WQMAY07"/>
    <d v="2007-05-07T00:00:00"/>
    <s v="H6"/>
    <n v="11.03"/>
    <n v="5.43"/>
    <x v="16"/>
  </r>
  <r>
    <s v="WQJUN07"/>
    <d v="2007-06-05T00:00:00"/>
    <s v="H6"/>
    <n v="15.92"/>
    <n v="11.38"/>
    <x v="16"/>
  </r>
  <r>
    <s v="WQJUL07"/>
    <d v="2007-07-09T00:00:00"/>
    <s v="H6"/>
    <n v="20.72"/>
    <n v="17.53"/>
    <x v="16"/>
  </r>
  <r>
    <s v="HYJUL07"/>
    <d v="2007-07-19T00:00:00"/>
    <s v="H6"/>
    <n v="20.56"/>
    <n v="17.670000000000002"/>
    <x v="16"/>
  </r>
  <r>
    <s v="WQAUG07"/>
    <d v="2007-07-31T00:00:00"/>
    <s v="H6"/>
    <n v="24.1"/>
    <n v="18.100000000000001"/>
    <x v="16"/>
  </r>
  <r>
    <s v="HYAUG07"/>
    <d v="2007-08-13T00:00:00"/>
    <s v="H6"/>
    <n v="22.84"/>
    <n v="20.079999999999998"/>
    <x v="16"/>
  </r>
  <r>
    <s v="WQSEP07"/>
    <d v="2007-08-28T00:00:00"/>
    <s v="H6"/>
    <n v="23.05"/>
    <n v="21.78"/>
    <x v="16"/>
  </r>
  <r>
    <s v="WQOCT07"/>
    <d v="2007-10-02T00:00:00"/>
    <s v="H6"/>
    <n v="21.16"/>
    <n v="20.85"/>
    <x v="16"/>
  </r>
  <r>
    <s v="WQNOV07"/>
    <d v="2007-11-08T00:00:00"/>
    <s v="H6"/>
    <n v="15.34"/>
    <n v="15.3"/>
    <x v="16"/>
  </r>
  <r>
    <s v="WQDEC07"/>
    <d v="2007-12-10T00:00:00"/>
    <s v="H6"/>
    <n v="8.31"/>
    <n v="8.27"/>
    <x v="16"/>
  </r>
  <r>
    <s v="WQJAN08"/>
    <d v="2008-01-07T00:00:00"/>
    <s v="H6"/>
    <n v="4.8899999999999997"/>
    <n v="5"/>
    <x v="17"/>
  </r>
  <r>
    <s v="WQFEB08"/>
    <d v="2008-02-04T00:00:00"/>
    <s v="H6"/>
    <n v="3.27"/>
    <n v="3.32"/>
    <x v="17"/>
  </r>
  <r>
    <s v="WQMAR08"/>
    <d v="2008-03-06T00:00:00"/>
    <s v="H6"/>
    <n v="3.08"/>
    <n v="2.8"/>
    <x v="17"/>
  </r>
  <r>
    <s v="WQAPR08"/>
    <d v="2008-04-03T00:00:00"/>
    <s v="H6"/>
    <n v="5.0199999999999996"/>
    <n v="4.57"/>
    <x v="17"/>
  </r>
  <r>
    <s v="WQMAY08"/>
    <d v="2008-05-06T00:00:00"/>
    <s v="H6"/>
    <n v="10.7"/>
    <n v="7.45"/>
    <x v="17"/>
  </r>
  <r>
    <s v="WQJUN08"/>
    <d v="2008-06-02T00:00:00"/>
    <s v="H6"/>
    <n v="16.27"/>
    <n v="11.08"/>
    <x v="17"/>
  </r>
  <r>
    <s v="WQJUL08"/>
    <d v="2008-07-02T00:00:00"/>
    <s v="H6"/>
    <n v="19.89"/>
    <n v="14.85"/>
    <x v="17"/>
  </r>
  <r>
    <s v="HYJUL08"/>
    <d v="2008-07-21T00:00:00"/>
    <s v="H6"/>
    <n v="22.06"/>
    <n v="18.32"/>
    <x v="17"/>
  </r>
  <r>
    <s v="WQAUG08"/>
    <d v="2008-08-07T00:00:00"/>
    <s v="H6"/>
    <n v="22.96"/>
    <n v="19.559999999999999"/>
    <x v="17"/>
  </r>
  <r>
    <s v="HYAUG08"/>
    <d v="2008-08-22T00:00:00"/>
    <s v="H6"/>
    <n v="22.61"/>
    <n v="19.760000000000002"/>
    <x v="17"/>
  </r>
  <r>
    <s v="WQSEP08"/>
    <d v="2008-09-05T00:00:00"/>
    <s v="H6"/>
    <n v="23.35"/>
    <n v="21.22"/>
    <x v="17"/>
  </r>
  <r>
    <s v="WQOCT08"/>
    <d v="2008-10-06T00:00:00"/>
    <s v="H6"/>
    <n v="19.55"/>
    <n v="19.329999999999998"/>
    <x v="17"/>
  </r>
  <r>
    <s v="WQNOV08"/>
    <d v="2008-11-05T00:00:00"/>
    <s v="H6"/>
    <n v="14.84"/>
    <n v="14.86"/>
    <x v="17"/>
  </r>
  <r>
    <s v="WQDEC08"/>
    <d v="2008-12-16T00:00:00"/>
    <s v="H6"/>
    <n v="7.72"/>
    <n v="7.75"/>
    <x v="17"/>
  </r>
  <r>
    <s v="WQJAN09"/>
    <d v="2009-01-13T00:00:00"/>
    <s v="H6"/>
    <n v="3.26"/>
    <n v="3.35"/>
    <x v="18"/>
  </r>
  <r>
    <s v="WQFEB09"/>
    <d v="2009-02-02T00:00:00"/>
    <s v="H6"/>
    <n v="1.4"/>
    <n v="1.41"/>
    <x v="18"/>
  </r>
  <r>
    <s v="WQMAR09"/>
    <d v="2009-03-06T00:00:00"/>
    <s v="H6"/>
    <n v="1.59"/>
    <n v="1.77"/>
    <x v="18"/>
  </r>
  <r>
    <s v="WQAPR09"/>
    <d v="2009-03-31T00:00:00"/>
    <s v="H6"/>
    <n v="4.25"/>
    <n v="3"/>
    <x v="18"/>
  </r>
  <r>
    <s v="WQMAY09"/>
    <d v="2009-04-29T00:00:00"/>
    <s v="H6"/>
    <n v="8.84"/>
    <n v="6.15"/>
    <x v="18"/>
  </r>
  <r>
    <s v="WQJUN09"/>
    <d v="2009-06-04T00:00:00"/>
    <s v="H6"/>
    <n v="15.07"/>
    <n v="10.73"/>
    <x v="18"/>
  </r>
  <r>
    <s v="WQJUL09"/>
    <d v="2009-07-07T00:00:00"/>
    <s v="H6"/>
    <n v="21.67"/>
    <n v="13.65"/>
    <x v="18"/>
  </r>
  <r>
    <s v="HYJUL09"/>
    <d v="2009-07-20T00:00:00"/>
    <s v="H6"/>
    <n v="22.21"/>
    <n v="15.21"/>
    <x v="18"/>
  </r>
  <r>
    <s v="WQAUG09"/>
    <d v="2009-08-03T00:00:00"/>
    <s v="H6"/>
    <n v="22.57"/>
    <n v="18.07"/>
    <x v="18"/>
  </r>
  <r>
    <s v="HYAUG09"/>
    <d v="2009-08-19T00:00:00"/>
    <s v="H6"/>
    <n v="24.52"/>
    <n v="19.25"/>
    <x v="18"/>
  </r>
  <r>
    <s v="WQSEP09"/>
    <d v="2009-09-02T00:00:00"/>
    <s v="H6"/>
    <n v="22.59"/>
    <n v="20.89"/>
    <x v="18"/>
  </r>
  <r>
    <s v="WQOCT09"/>
    <d v="2009-10-08T00:00:00"/>
    <s v="H6"/>
    <n v="18.86"/>
    <n v="18.670000000000002"/>
    <x v="18"/>
  </r>
  <r>
    <s v="WQNOV09"/>
    <d v="2009-11-05T00:00:00"/>
    <s v="H6"/>
    <n v="14.56"/>
    <n v="14.6"/>
    <x v="18"/>
  </r>
  <r>
    <s v="WQDEC09"/>
    <d v="2009-12-07T00:00:00"/>
    <s v="H6"/>
    <n v="10.75"/>
    <n v="10.83"/>
    <x v="18"/>
  </r>
  <r>
    <s v="WQJAN10"/>
    <d v="2010-01-08T00:00:00"/>
    <s v="H6"/>
    <n v="3.12"/>
    <n v="3.35"/>
    <x v="19"/>
  </r>
  <r>
    <s v="WQFEB10"/>
    <d v="2010-02-09T00:00:00"/>
    <s v="H6"/>
    <n v="1.38"/>
    <n v="1.57"/>
    <x v="19"/>
  </r>
  <r>
    <s v="WQMAR10"/>
    <d v="2010-03-05T00:00:00"/>
    <s v="H6"/>
    <n v="2.46"/>
    <n v="2.0499999999999998"/>
    <x v="19"/>
  </r>
  <r>
    <s v="WQAPR10"/>
    <d v="2010-04-01T00:00:00"/>
    <s v="H6"/>
    <n v="5.28"/>
    <n v="4.22"/>
    <x v="19"/>
  </r>
  <r>
    <s v="WQMAY10"/>
    <d v="2010-05-05T00:00:00"/>
    <s v="H6"/>
    <n v="11.39"/>
    <n v="8.89"/>
    <x v="19"/>
  </r>
  <r>
    <s v="WQJUN10"/>
    <d v="2010-06-03T00:00:00"/>
    <s v="H6"/>
    <n v="17.440000000000001"/>
    <n v="11.96"/>
    <x v="19"/>
  </r>
  <r>
    <s v="WQJUL10"/>
    <d v="2010-07-09T00:00:00"/>
    <s v="H6"/>
    <n v="23.15"/>
    <n v="15.67"/>
    <x v="19"/>
  </r>
  <r>
    <s v="HYJUL10"/>
    <d v="2010-07-21T00:00:00"/>
    <s v="H6"/>
    <n v="24.04"/>
    <n v="18.86"/>
    <x v="19"/>
  </r>
  <r>
    <s v="WQAUG10"/>
    <d v="2010-08-04T00:00:00"/>
    <s v="H6"/>
    <n v="22.81"/>
    <n v="20.52"/>
    <x v="19"/>
  </r>
  <r>
    <s v="HYAUG10"/>
    <d v="2010-08-19T00:00:00"/>
    <s v="H6"/>
    <n v="23.88"/>
    <n v="21.39"/>
    <x v="19"/>
  </r>
  <r>
    <s v="WQSEP10"/>
    <d v="2010-09-01T00:00:00"/>
    <s v="H6"/>
    <n v="24.37"/>
    <n v="21.95"/>
    <x v="19"/>
  </r>
  <r>
    <s v="WQOCT10"/>
    <d v="2010-10-13T00:00:00"/>
    <s v="H6"/>
    <n v="18.95"/>
    <n v="18.940000000000001"/>
    <x v="19"/>
  </r>
  <r>
    <s v="WQNOV10"/>
    <d v="2010-11-03T00:00:00"/>
    <s v="H6"/>
    <n v="15.42"/>
    <n v="15.06"/>
    <x v="19"/>
  </r>
  <r>
    <s v="WQDEC10"/>
    <d v="2010-11-29T00:00:00"/>
    <s v="H6"/>
    <n v="11.17"/>
    <n v="11.09"/>
    <x v="19"/>
  </r>
  <r>
    <s v="WQJAN11"/>
    <d v="2011-01-06T00:00:00"/>
    <s v="H6"/>
    <n v="3.62"/>
    <n v="3.2"/>
    <x v="20"/>
  </r>
  <r>
    <s v="WQFEB11"/>
    <d v="2011-01-31T00:00:00"/>
    <s v="H6"/>
    <n v="1.44"/>
    <n v="1.1599999999999999"/>
    <x v="20"/>
  </r>
  <r>
    <s v="WQMAR11"/>
    <d v="2011-03-14T00:00:00"/>
    <s v="H6"/>
    <n v="4.05"/>
    <n v="2.31"/>
    <x v="20"/>
  </r>
  <r>
    <s v="WQAPR11"/>
    <d v="2011-04-12T00:00:00"/>
    <s v="H6"/>
    <n v="6.46"/>
    <n v="4.54"/>
    <x v="20"/>
  </r>
  <r>
    <s v="WQMAY11"/>
    <d v="2011-05-04T00:00:00"/>
    <s v="H6"/>
    <n v="10.9"/>
    <n v="6.59"/>
    <x v="20"/>
  </r>
  <r>
    <s v="WQJUN11"/>
    <d v="2011-05-31T00:00:00"/>
    <s v="H6"/>
    <n v="19.77"/>
    <n v="9.7899999999999991"/>
    <x v="20"/>
  </r>
  <r>
    <s v="WQJUL11"/>
    <d v="2011-07-05T00:00:00"/>
    <s v="H6"/>
    <n v="20.89"/>
    <n v="16.97"/>
    <x v="20"/>
  </r>
  <r>
    <s v="HYJUL11"/>
    <d v="2011-07-19T00:00:00"/>
    <s v="H6"/>
    <n v="21.69"/>
    <n v="17.07"/>
    <x v="20"/>
  </r>
  <r>
    <s v="WQAUG11"/>
    <d v="2011-08-01T00:00:00"/>
    <s v="H6"/>
    <n v="24.46"/>
    <n v="20.04"/>
    <x v="20"/>
  </r>
  <r>
    <s v="HYAUG11"/>
    <d v="2011-08-16T00:00:00"/>
    <s v="H6"/>
    <n v="22.72"/>
    <n v="21.19"/>
    <x v="20"/>
  </r>
  <r>
    <s v="WQSEP11"/>
    <d v="2011-08-30T00:00:00"/>
    <s v="H6"/>
    <n v="23.1"/>
    <n v="21.99"/>
    <x v="20"/>
  </r>
  <r>
    <s v="WQOCT11"/>
    <d v="2011-10-04T00:00:00"/>
    <s v="H6"/>
    <n v="20.57"/>
    <n v="20.9"/>
    <x v="20"/>
  </r>
  <r>
    <s v="WQNOV11"/>
    <d v="2011-11-08T00:00:00"/>
    <s v="H6"/>
    <n v="14.3"/>
    <n v="14.3"/>
    <x v="20"/>
  </r>
  <r>
    <s v="WQDEC11"/>
    <d v="2011-11-28T00:00:00"/>
    <s v="H6"/>
    <n v="12.01"/>
    <n v="11.95"/>
    <x v="20"/>
  </r>
  <r>
    <s v="WQJAN12"/>
    <d v="2012-01-11T00:00:00"/>
    <s v="H6"/>
    <n v="6.36"/>
    <n v="7.42"/>
    <x v="21"/>
  </r>
  <r>
    <s v="WQFEB12"/>
    <d v="2012-02-03T00:00:00"/>
    <s v="H6"/>
    <n v="4.6100000000000003"/>
    <n v="5.54"/>
    <x v="21"/>
  </r>
  <r>
    <s v="WQMAR12"/>
    <d v="2012-03-06T00:00:00"/>
    <s v="H6"/>
    <n v="4.76"/>
    <n v="5.1100000000000003"/>
    <x v="21"/>
  </r>
  <r>
    <s v="WQAPR12"/>
    <d v="2012-04-04T00:00:00"/>
    <s v="H6"/>
    <n v="7.42"/>
    <n v="6.49"/>
    <x v="21"/>
  </r>
  <r>
    <s v="WQMAY12"/>
    <d v="2012-05-03T00:00:00"/>
    <s v="H6"/>
    <n v="10.88"/>
    <n v="10.78"/>
    <x v="21"/>
  </r>
  <r>
    <s v="WQJUN12"/>
    <d v="2012-05-31T00:00:00"/>
    <s v="H6"/>
    <n v="17.61"/>
    <n v="12.06"/>
    <x v="21"/>
  </r>
  <r>
    <s v="WQJUL12"/>
    <d v="2012-06-28T00:00:00"/>
    <s v="H6"/>
    <n v="20.22"/>
    <n v="14.6"/>
    <x v="21"/>
  </r>
  <r>
    <s v="HYJUL12"/>
    <d v="2012-07-18T00:00:00"/>
    <s v="H6"/>
    <n v="23.53"/>
    <n v="20.57"/>
    <x v="21"/>
  </r>
  <r>
    <s v="WQAUG12"/>
    <d v="2012-07-31T00:00:00"/>
    <s v="H6"/>
    <n v="22.79"/>
    <n v="20.5"/>
    <x v="21"/>
  </r>
  <r>
    <s v="HYAUG12"/>
    <d v="2012-08-14T00:00:00"/>
    <s v="H6"/>
    <n v="24.87"/>
    <n v="21.49"/>
    <x v="21"/>
  </r>
  <r>
    <s v="WQSEP12"/>
    <d v="2012-08-27T00:00:00"/>
    <s v="H6"/>
    <n v="24.24"/>
    <n v="22.6"/>
    <x v="21"/>
  </r>
  <r>
    <s v="WQOCT12"/>
    <d v="2012-10-04T00:00:00"/>
    <s v="H6"/>
    <n v="20.79"/>
    <n v="20.74"/>
    <x v="21"/>
  </r>
  <r>
    <s v="WQNOV12"/>
    <d v="2012-11-15T00:00:00"/>
    <s v="H6"/>
    <n v="12.81"/>
    <n v="12.87"/>
    <x v="21"/>
  </r>
  <r>
    <s v="WQDEC12"/>
    <d v="2012-12-03T00:00:00"/>
    <s v="H6"/>
    <n v="10.35"/>
    <n v="10.09"/>
    <x v="21"/>
  </r>
  <r>
    <s v="WQJAN13"/>
    <d v="2013-01-11T00:00:00"/>
    <s v="H6"/>
    <n v="5.07"/>
    <n v="5.1100000000000003"/>
    <x v="22"/>
  </r>
  <r>
    <s v="WQFEB13"/>
    <d v="2013-01-28T00:00:00"/>
    <s v="H6"/>
    <n v="2.89"/>
    <n v="3.26"/>
    <x v="22"/>
  </r>
  <r>
    <s v="WQMAR13"/>
    <d v="2013-03-05T00:00:00"/>
    <s v="H6"/>
    <n v="2.46"/>
    <n v="2.81"/>
    <x v="22"/>
  </r>
  <r>
    <s v="WQAPR13"/>
    <d v="2013-04-01T00:00:00"/>
    <s v="H6"/>
    <n v="4.95"/>
    <n v="3.8"/>
    <x v="22"/>
  </r>
  <r>
    <s v="WQMAY13"/>
    <d v="2013-04-30T00:00:00"/>
    <s v="H6"/>
    <n v="9.42"/>
    <n v="6.95"/>
    <x v="22"/>
  </r>
  <r>
    <s v="WQJUN13"/>
    <d v="2013-06-03T00:00:00"/>
    <s v="H6"/>
    <n v="15.67"/>
    <n v="12.39"/>
    <x v="22"/>
  </r>
  <r>
    <s v="WQJUL13"/>
    <d v="2013-07-01T00:00:00"/>
    <s v="H6"/>
    <n v="21.04"/>
    <n v="14.54"/>
    <x v="22"/>
  </r>
  <r>
    <s v="HYJUL13"/>
    <d v="2013-07-16T00:00:00"/>
    <s v="H6"/>
    <n v="25.41"/>
    <n v="17.73"/>
    <x v="22"/>
  </r>
  <r>
    <s v="WQAUG13"/>
    <d v="2013-07-30T00:00:00"/>
    <s v="H6"/>
    <n v="22.81"/>
    <n v="18.850000000000001"/>
    <x v="22"/>
  </r>
  <r>
    <s v="HYAUG13"/>
    <d v="2013-08-13T00:00:00"/>
    <s v="H6"/>
    <n v="22.79"/>
    <n v="21.29"/>
    <x v="22"/>
  </r>
  <r>
    <s v="WQSEP13"/>
    <d v="2013-08-27T00:00:00"/>
    <s v="H6"/>
    <n v="22.92"/>
    <n v="21.45"/>
    <x v="22"/>
  </r>
  <r>
    <s v="WQOCT13"/>
    <d v="2013-10-01T00:00:00"/>
    <s v="H6"/>
    <n v="20.440000000000001"/>
    <n v="19.91"/>
    <x v="22"/>
  </r>
  <r>
    <s v="WQNOV13"/>
    <d v="2013-11-04T00:00:00"/>
    <s v="H6"/>
    <n v="15.54"/>
    <n v="15.54"/>
    <x v="22"/>
  </r>
  <r>
    <s v="WQDEC13"/>
    <d v="2013-12-09T00:00:00"/>
    <s v="H6"/>
    <n v="8.6199999999999992"/>
    <n v="8.59"/>
    <x v="22"/>
  </r>
  <r>
    <s v="WQJAN14"/>
    <d v="2014-01-10T00:00:00"/>
    <s v="H6"/>
    <n v="2.21"/>
    <n v="3"/>
    <x v="23"/>
  </r>
  <r>
    <s v="WQFEB14"/>
    <d v="2014-02-03T00:00:00"/>
    <s v="H6"/>
    <n v="1.06"/>
    <n v="1.1499999999999999"/>
    <x v="23"/>
  </r>
  <r>
    <s v="WQMAR14"/>
    <d v="2014-03-04T00:00:00"/>
    <s v="H6"/>
    <n v="0.35"/>
    <n v="0.52"/>
    <x v="23"/>
  </r>
  <r>
    <s v="WQAPR14"/>
    <d v="2014-04-03T00:00:00"/>
    <s v="H6"/>
    <n v="3.28"/>
    <n v="1.92"/>
    <x v="23"/>
  </r>
  <r>
    <s v="WQMAY14"/>
    <d v="2014-05-08T00:00:00"/>
    <s v="H6"/>
    <n v="10.26"/>
    <n v="6.85"/>
    <x v="23"/>
  </r>
  <r>
    <s v="WQJUN14"/>
    <d v="2014-06-02T00:00:00"/>
    <s v="H6"/>
    <n v="15.81"/>
    <n v="9.76"/>
    <x v="23"/>
  </r>
  <r>
    <s v="WQJUL14"/>
    <d v="2014-06-30T00:00:00"/>
    <s v="H6"/>
    <n v="20.440000000000001"/>
    <n v="14.38"/>
    <x v="23"/>
  </r>
  <r>
    <s v="WQAUG14"/>
    <d v="2014-08-04T00:00:00"/>
    <s v="H6"/>
    <n v="22.83"/>
    <n v="20.440000000000001"/>
    <x v="23"/>
  </r>
  <r>
    <s v="HYAUG14"/>
    <d v="2014-08-20T00:00:00"/>
    <s v="H6"/>
    <n v="22.61"/>
    <n v="21.43"/>
    <x v="23"/>
  </r>
  <r>
    <s v="WQSEP14"/>
    <d v="2014-09-04T00:00:00"/>
    <s v="H6"/>
    <n v="23.42"/>
    <n v="21.54"/>
    <x v="23"/>
  </r>
  <r>
    <s v="HYSEP14"/>
    <d v="2014-09-15T00:00:00"/>
    <s v="H6"/>
    <n v="21.79"/>
    <n v="21.79"/>
    <x v="23"/>
  </r>
  <r>
    <s v="WQOCT14"/>
    <d v="2014-09-30T00:00:00"/>
    <s v="H6"/>
    <n v="20.85"/>
    <n v="20.56"/>
    <x v="23"/>
  </r>
  <r>
    <s v="WQNOV14"/>
    <d v="2014-11-12T00:00:00"/>
    <s v="H6"/>
    <n v="13.92"/>
    <n v="13.82"/>
    <x v="23"/>
  </r>
  <r>
    <s v="WQDEC14"/>
    <d v="2014-12-15T00:00:00"/>
    <s v="H6"/>
    <n v="6.75"/>
    <n v="7.21"/>
    <x v="23"/>
  </r>
  <r>
    <s v="WQJAN15"/>
    <d v="2015-01-15T00:00:00"/>
    <s v="H6"/>
    <n v="3.29"/>
    <n v="3.24"/>
    <x v="24"/>
  </r>
  <r>
    <s v="WQFEB15"/>
    <d v="2015-02-06T00:00:00"/>
    <s v="H6"/>
    <n v="0.62"/>
    <n v="0.6"/>
    <x v="24"/>
  </r>
  <r>
    <s v="WQMAR15"/>
    <d v="2015-03-09T00:00:00"/>
    <s v="H6"/>
    <n v="-0.74"/>
    <n v="-0.88"/>
    <x v="24"/>
  </r>
  <r>
    <s v="WQAPR15"/>
    <d v="2015-03-31T00:00:00"/>
    <s v="H6"/>
    <n v="1.45"/>
    <n v="0.91"/>
    <x v="24"/>
  </r>
  <r>
    <s v="WQMAY15"/>
    <d v="2015-05-04T00:00:00"/>
    <s v="H6"/>
    <n v="9.23"/>
    <n v="4.5199999999999996"/>
    <x v="24"/>
  </r>
  <r>
    <s v="WQJUN15"/>
    <d v="2015-06-05T00:00:00"/>
    <s v="H6"/>
    <n v="13.61"/>
    <n v="11.17"/>
    <x v="24"/>
  </r>
  <r>
    <s v="HYJUN15"/>
    <d v="2015-06-17T00:00:00"/>
    <s v="H6"/>
    <n v="17.100000000000001"/>
    <n v="12.81"/>
    <x v="24"/>
  </r>
  <r>
    <s v="WQJUL15"/>
    <d v="2015-07-08T00:00:00"/>
    <s v="H6"/>
    <n v="20.78"/>
    <n v="14.48"/>
    <x v="24"/>
  </r>
  <r>
    <s v="HYJUL15"/>
    <d v="2015-07-21T00:00:00"/>
    <s v="H6"/>
    <n v="25.19"/>
    <n v="15.78"/>
    <x v="24"/>
  </r>
  <r>
    <s v="WQAUG15"/>
    <d v="2015-08-05T00:00:00"/>
    <s v="H6"/>
    <n v="23.16"/>
    <n v="20.239999999999998"/>
    <x v="24"/>
  </r>
  <r>
    <s v="HYAUG15"/>
    <d v="2015-08-18T00:00:00"/>
    <s v="H6"/>
    <n v="24.16"/>
    <n v="20.59"/>
    <x v="24"/>
  </r>
  <r>
    <s v="WQSEP15"/>
    <d v="2015-09-02T00:00:00"/>
    <s v="H6"/>
    <n v="24.69"/>
    <n v="22.61"/>
    <x v="24"/>
  </r>
  <r>
    <s v="WQOCT15"/>
    <d v="2015-10-07T00:00:00"/>
    <s v="H6"/>
    <n v="19.97"/>
    <n v="19.25"/>
    <x v="24"/>
  </r>
  <r>
    <s v="WQNOV15"/>
    <d v="2015-11-10T00:00:00"/>
    <s v="H6"/>
    <n v="15.35"/>
    <n v="15.47"/>
    <x v="24"/>
  </r>
  <r>
    <s v="WQDEC15"/>
    <d v="2015-12-14T00:00:00"/>
    <s v="H6"/>
    <n v="11.19"/>
    <n v="11.12"/>
    <x v="24"/>
  </r>
  <r>
    <s v="WQJAN16"/>
    <d v="2016-01-08T00:00:00"/>
    <s v="H6"/>
    <n v="8.1"/>
    <n v="8.3000000000000007"/>
    <x v="25"/>
  </r>
  <r>
    <s v="WQFEB16"/>
    <d v="2016-02-02T00:00:00"/>
    <s v="H6"/>
    <n v="4.49"/>
    <n v="4.47"/>
    <x v="25"/>
  </r>
  <r>
    <s v="WQMAR16"/>
    <d v="2016-03-09T00:00:00"/>
    <s v="H6"/>
    <n v="5"/>
    <n v="3.57"/>
    <x v="25"/>
  </r>
  <r>
    <s v="WQAPR16"/>
    <d v="2016-04-06T00:00:00"/>
    <s v="H6"/>
    <n v="6.45"/>
    <n v="5.87"/>
    <x v="25"/>
  </r>
  <r>
    <s v="WQMAY16"/>
    <d v="2016-05-18T00:00:00"/>
    <s v="H6"/>
    <n v="11.27"/>
    <n v="10.09"/>
    <x v="25"/>
  </r>
  <r>
    <s v="WQJUN16"/>
    <d v="2016-06-14T00:00:00"/>
    <s v="H6"/>
    <n v="16.27"/>
    <n v="13.17"/>
    <x v="25"/>
  </r>
  <r>
    <s v="WQJUL16"/>
    <d v="2016-07-05T00:00:00"/>
    <s v="H6"/>
    <n v="21.08"/>
    <n v="16.55"/>
    <x v="25"/>
  </r>
  <r>
    <s v="HYJUL16"/>
    <d v="2016-07-18T00:00:00"/>
    <s v="H6"/>
    <m/>
    <m/>
    <x v="25"/>
  </r>
  <r>
    <s v="WQAUG16"/>
    <d v="2016-08-04T00:00:00"/>
    <s v="H6"/>
    <n v="22.44"/>
    <n v="20.78"/>
    <x v="25"/>
  </r>
  <r>
    <s v="HYAUG16"/>
    <d v="2016-08-16T00:00:00"/>
    <s v="H6"/>
    <n v="26.25"/>
    <n v="22.26"/>
    <x v="25"/>
  </r>
  <r>
    <s v="WQSEP16"/>
    <d v="2016-08-29T00:00:00"/>
    <s v="H6"/>
    <m/>
    <n v="22.44"/>
    <x v="25"/>
  </r>
  <r>
    <s v="HYSEP16"/>
    <d v="2016-09-12T00:00:00"/>
    <s v="H6"/>
    <n v="23.66"/>
    <n v="22.86"/>
    <x v="25"/>
  </r>
  <r>
    <s v="WQOCT16"/>
    <d v="2016-10-03T00:00:00"/>
    <s v="H6"/>
    <n v="21.55"/>
    <n v="20.69"/>
    <x v="25"/>
  </r>
  <r>
    <s v="WQNOV16"/>
    <d v="2016-11-08T00:00:00"/>
    <s v="H6"/>
    <n v="15.12"/>
    <n v="15.06"/>
    <x v="25"/>
  </r>
  <r>
    <s v="WQDEC16"/>
    <d v="2016-12-06T00:00:00"/>
    <s v="H6"/>
    <n v="10.29"/>
    <n v="10.38"/>
    <x v="25"/>
  </r>
  <r>
    <s v="WQJAN17"/>
    <d v="2017-01-06T00:00:00"/>
    <s v="H6"/>
    <n v="5.46"/>
    <n v="5.5"/>
    <x v="26"/>
  </r>
  <r>
    <s v="WQFEB17"/>
    <d v="2017-02-14T00:00:00"/>
    <s v="H6"/>
    <n v="2.99"/>
    <n v="3.02"/>
    <x v="26"/>
  </r>
  <r>
    <s v="WQMAR17"/>
    <d v="2017-03-06T00:00:00"/>
    <s v="H6"/>
    <n v="3.63"/>
    <n v="3.52"/>
    <x v="26"/>
  </r>
  <r>
    <s v="WQAPR17"/>
    <d v="2017-04-05T00:00:00"/>
    <s v="H6"/>
    <n v="4.78"/>
    <n v="3.45"/>
    <x v="26"/>
  </r>
  <r>
    <s v="WQMAY17"/>
    <d v="2017-05-01T00:00:00"/>
    <s v="H6"/>
    <n v="9.6999999999999993"/>
    <n v="5.94"/>
    <x v="26"/>
  </r>
  <r>
    <s v="WQJUN17"/>
    <d v="2017-06-08T00:00:00"/>
    <s v="H6"/>
    <n v="15.2"/>
    <n v="11.33"/>
    <x v="26"/>
  </r>
  <r>
    <s v="WQJUL17"/>
    <d v="2017-07-05T00:00:00"/>
    <s v="H6"/>
    <n v="23.52"/>
    <n v="15.48"/>
    <x v="26"/>
  </r>
  <r>
    <s v="HYJUL17"/>
    <d v="2017-07-20T00:00:00"/>
    <s v="H6"/>
    <n v="25.33"/>
    <n v="17.66"/>
    <x v="26"/>
  </r>
  <r>
    <s v="WQAUG17"/>
    <d v="2017-08-02T00:00:00"/>
    <s v="H6"/>
    <n v="24.38"/>
    <n v="19.48"/>
    <x v="26"/>
  </r>
  <r>
    <s v="HYAUG17"/>
    <d v="2017-08-14T00:00:00"/>
    <s v="H6"/>
    <n v="23"/>
    <n v="21.29"/>
    <x v="26"/>
  </r>
  <r>
    <s v="WQSEP17"/>
    <d v="2017-08-31T00:00:00"/>
    <s v="H6"/>
    <n v="22.46"/>
    <n v="21.78"/>
    <x v="26"/>
  </r>
  <r>
    <s v="WQOCT17"/>
    <d v="2017-10-11T00:00:00"/>
    <s v="H6"/>
    <n v="21.11"/>
    <n v="20.65"/>
    <x v="26"/>
  </r>
  <r>
    <s v="WQNOV17"/>
    <d v="2017-11-09T00:00:00"/>
    <s v="H6"/>
    <m/>
    <m/>
    <x v="26"/>
  </r>
  <r>
    <s v="WQDEC17"/>
    <d v="2017-12-01T00:00:00"/>
    <s v="H6"/>
    <n v="11.31"/>
    <n v="11.32"/>
    <x v="26"/>
  </r>
  <r>
    <s v="WQJAN18"/>
    <d v="2018-01-10T00:00:00"/>
    <s v="H6"/>
    <n v="1.91"/>
    <n v="1.79"/>
    <x v="27"/>
  </r>
  <r>
    <s v="WQFEB18"/>
    <d v="2018-02-06T00:00:00"/>
    <s v="H6"/>
    <n v="1.41"/>
    <n v="1.58"/>
    <x v="27"/>
  </r>
  <r>
    <s v="WQMAR18"/>
    <d v="2018-03-06T00:00:00"/>
    <s v="H6"/>
    <n v="3"/>
    <n v="2.6"/>
    <x v="27"/>
  </r>
  <r>
    <s v="WQAPR18"/>
    <d v="2018-04-09T00:00:00"/>
    <s v="H6"/>
    <n v="4.2699999999999996"/>
    <n v="4.2300000000000004"/>
    <x v="27"/>
  </r>
  <r>
    <s v="WQMAY18"/>
    <d v="2018-05-01T00:00:00"/>
    <s v="H6"/>
    <n v="8.3699999999999992"/>
    <n v="6.23"/>
    <x v="27"/>
  </r>
  <r>
    <s v="WQJUN18"/>
    <d v="2018-05-30T00:00:00"/>
    <s v="H6"/>
    <n v="15.02"/>
    <n v="9.6300000000000008"/>
    <x v="27"/>
  </r>
  <r>
    <s v="WQJUL18"/>
    <d v="2018-07-02T00:00:00"/>
    <s v="H6"/>
    <n v="23.02"/>
    <n v="16.850000000000001"/>
    <x v="27"/>
  </r>
  <r>
    <s v="HYJUL18"/>
    <d v="2018-07-17T00:00:00"/>
    <s v="H6"/>
    <n v="21.09"/>
    <n v="16.989999999999998"/>
    <x v="27"/>
  </r>
  <r>
    <s v="WQAUG18"/>
    <d v="2018-07-31T00:00:00"/>
    <s v="H6"/>
    <n v="24.37"/>
    <n v="18.100000000000001"/>
    <x v="27"/>
  </r>
  <r>
    <s v="HYAUG18"/>
    <d v="2018-08-14T00:00:00"/>
    <s v="H6"/>
    <n v="23.41"/>
    <n v="22.07"/>
    <x v="27"/>
  </r>
  <r>
    <s v="WQSEP18"/>
    <d v="2018-08-28T00:00:00"/>
    <s v="H6"/>
    <n v="26.13"/>
    <n v="22.13"/>
    <x v="27"/>
  </r>
  <r>
    <s v="WQOCT18"/>
    <d v="2018-10-02T00:00:00"/>
    <s v="H6"/>
    <n v="21.66"/>
    <n v="22.08"/>
    <x v="27"/>
  </r>
  <r>
    <s v="WQNOV18"/>
    <d v="2018-11-08T00:00:00"/>
    <s v="H6"/>
    <n v="14.34"/>
    <n v="14.75"/>
    <x v="27"/>
  </r>
  <r>
    <s v="WQDEC18"/>
    <d v="2018-11-30T00:00:00"/>
    <s v="H6"/>
    <n v="9.2899999999999991"/>
    <n v="9.33"/>
    <x v="27"/>
  </r>
  <r>
    <s v="WQJAN19"/>
    <d v="2019-01-02T00:00:00"/>
    <s v="H6"/>
    <n v="5.98"/>
    <n v="6.16"/>
    <x v="28"/>
  </r>
  <r>
    <s v="WQFEB19"/>
    <d v="2019-02-04T00:00:00"/>
    <s v="H6"/>
    <n v="2.38"/>
    <n v="2.1800000000000002"/>
    <x v="28"/>
  </r>
  <r>
    <s v="WQMAR19"/>
    <d v="2019-03-07T00:00:00"/>
    <s v="H6"/>
    <n v="1.76"/>
    <n v="1.82"/>
    <x v="28"/>
  </r>
  <r>
    <s v="WQAPR19"/>
    <d v="2019-04-04T00:00:00"/>
    <s v="H6"/>
    <n v="4.83"/>
    <n v="4.72"/>
    <x v="28"/>
  </r>
  <r>
    <s v="WQMAY19"/>
    <d v="2019-05-08T00:00:00"/>
    <s v="H6"/>
    <n v="11.74"/>
    <n v="8.0299999999999994"/>
    <x v="28"/>
  </r>
  <r>
    <s v="WQJUN19"/>
    <d v="2019-05-29T00:00:00"/>
    <s v="H6"/>
    <n v="14.95"/>
    <n v="11.52"/>
    <x v="28"/>
  </r>
  <r>
    <s v="WQJUL19"/>
    <d v="2019-07-01T00:00:00"/>
    <s v="H6"/>
    <n v="20.46"/>
    <n v="15.95"/>
    <x v="28"/>
  </r>
  <r>
    <s v="HYJUL19"/>
    <d v="2019-07-16T00:00:00"/>
    <s v="H6"/>
    <n v="23.11"/>
    <n v="15.86"/>
    <x v="28"/>
  </r>
  <r>
    <s v="WQAUG19"/>
    <d v="2019-07-31T00:00:00"/>
    <s v="H6"/>
    <n v="23.72"/>
    <n v="20.22"/>
    <x v="28"/>
  </r>
  <r>
    <s v="HYAUG19"/>
    <d v="2019-08-13T00:00:00"/>
    <s v="H6"/>
    <n v="23.2"/>
    <n v="20.22"/>
    <x v="28"/>
  </r>
  <r>
    <s v="WQSEP19"/>
    <d v="2019-08-29T00:00:00"/>
    <s v="H6"/>
    <n v="23.15"/>
    <n v="21.68"/>
    <x v="28"/>
  </r>
  <r>
    <s v="WQOCT19"/>
    <d v="2019-09-30T00:00:00"/>
    <s v="H6"/>
    <n v="21.44"/>
    <n v="20.8"/>
    <x v="28"/>
  </r>
  <r>
    <s v="WQNOV19"/>
    <d v="2019-11-04T00:00:00"/>
    <s v="H6"/>
    <n v="15.88"/>
    <n v="15.51"/>
    <x v="28"/>
  </r>
  <r>
    <s v="WQDEC19"/>
    <d v="2019-12-16T00:00:00"/>
    <s v="H6"/>
    <n v="6.95"/>
    <n v="7.36"/>
    <x v="28"/>
  </r>
  <r>
    <s v="WQJAN20"/>
    <d v="2020-01-10T00:00:00"/>
    <s v="H6"/>
    <n v="4.9400000000000004"/>
    <n v="5.0999999999999996"/>
    <x v="29"/>
  </r>
  <r>
    <s v="WQFEB20"/>
    <d v="2020-02-11T00:00:00"/>
    <s v="H6"/>
    <n v="4.1900000000000004"/>
    <n v="4.22"/>
    <x v="29"/>
  </r>
  <r>
    <s v="WQMAR20"/>
    <d v="2020-03-11T00:00:00"/>
    <s v="H6"/>
    <n v="5.0599999999999996"/>
    <n v="4.41"/>
    <x v="29"/>
  </r>
  <r>
    <s v="WQJUN20"/>
    <d v="2020-06-16T00:00:00"/>
    <s v="H6"/>
    <n v="17.7"/>
    <n v="14.52"/>
    <x v="29"/>
  </r>
  <r>
    <s v="WQJUL20"/>
    <d v="2020-07-08T00:00:00"/>
    <s v="H6"/>
    <n v="21.8"/>
    <n v="16.47"/>
    <x v="29"/>
  </r>
  <r>
    <s v="HYJUL20"/>
    <d v="2020-07-21T00:00:00"/>
    <s v="H6"/>
    <n v="24.47"/>
    <n v="17.78"/>
    <x v="29"/>
  </r>
  <r>
    <s v="WQAUG20"/>
    <d v="2020-08-11T00:00:00"/>
    <s v="H6"/>
    <n v="25.4"/>
    <n v="21.27"/>
    <x v="29"/>
  </r>
  <r>
    <s v="HYAUG20"/>
    <d v="2020-08-26T00:00:00"/>
    <s v="H6"/>
    <n v="23.79"/>
    <n v="22.74"/>
    <x v="29"/>
  </r>
  <r>
    <s v="WQSEP20"/>
    <d v="2020-09-08T00:00:00"/>
    <s v="H6"/>
    <n v="23.77"/>
    <n v="22.85"/>
    <x v="29"/>
  </r>
  <r>
    <s v="WQOCT20"/>
    <d v="2020-10-15T00:00:00"/>
    <s v="H6"/>
    <n v="18.75"/>
    <n v="18.53"/>
    <x v="29"/>
  </r>
  <r>
    <s v="WQNOV20"/>
    <d v="2020-11-05T00:00:00"/>
    <s v="H6"/>
    <n v="15"/>
    <n v="15.12"/>
    <x v="29"/>
  </r>
  <r>
    <s v="WQMAR21"/>
    <d v="2021-03-09T00:00:00"/>
    <s v="H6"/>
    <n v="2.68"/>
    <n v="2.57"/>
    <x v="30"/>
  </r>
  <r>
    <s v="WQAPR21"/>
    <d v="2021-04-06T00:00:00"/>
    <s v="H6"/>
    <n v="5.88"/>
    <n v="5.26"/>
    <x v="30"/>
  </r>
  <r>
    <s v="WQMAY21"/>
    <d v="2021-05-04T00:00:00"/>
    <s v="H6"/>
    <n v="9.6"/>
    <n v="8.68"/>
    <x v="30"/>
  </r>
  <r>
    <s v="WQJUN21"/>
    <d v="2021-06-09T00:00:00"/>
    <s v="H6"/>
    <n v="18.7"/>
    <n v="12.83"/>
    <x v="30"/>
  </r>
  <r>
    <s v="WQJUL21"/>
    <d v="2021-07-12T00:00:00"/>
    <s v="H6"/>
    <n v="22.41"/>
    <n v="16.37"/>
    <x v="30"/>
  </r>
  <r>
    <s v="HYJUL21"/>
    <d v="2021-07-20T00:00:00"/>
    <s v="H6"/>
    <n v="23.27"/>
    <n v="17.670000000000002"/>
    <x v="30"/>
  </r>
  <r>
    <s v="WQAUG21"/>
    <d v="2021-08-04T00:00:00"/>
    <s v="H6"/>
    <n v="22.22"/>
    <n v="18.37"/>
    <x v="30"/>
  </r>
  <r>
    <s v="HYAUG21"/>
    <d v="2021-08-17T00:00:00"/>
    <s v="H6"/>
    <n v="25.08"/>
    <n v="19.670000000000002"/>
    <x v="30"/>
  </r>
  <r>
    <s v="WQSEP21"/>
    <d v="2021-09-01T00:00:00"/>
    <s v="H6"/>
    <n v="23.9"/>
    <n v="22.32"/>
    <x v="30"/>
  </r>
  <r>
    <s v="WQOCT21"/>
    <d v="2021-10-06T00:00:00"/>
    <s v="H6"/>
    <n v="20.9"/>
    <n v="21.29"/>
    <x v="30"/>
  </r>
  <r>
    <s v="WQNOV21"/>
    <d v="2021-11-09T00:00:00"/>
    <s v="H6"/>
    <n v="16.190000000000001"/>
    <n v="16.03"/>
    <x v="30"/>
  </r>
  <r>
    <s v="WQDEC21"/>
    <d v="2021-12-08T00:00:00"/>
    <s v="H6"/>
    <n v="10.050000000000001"/>
    <n v="10.33"/>
    <x v="30"/>
  </r>
  <r>
    <s v="WQFEB22"/>
    <d v="2022-02-03T00:00:00"/>
    <s v="H6"/>
    <n v="2.52"/>
    <n v="2.79"/>
    <x v="31"/>
  </r>
  <r>
    <s v="WQMAR22"/>
    <d v="2022-03-07T00:00:00"/>
    <s v="H6"/>
    <n v="3.68"/>
    <n v="3.09"/>
    <x v="31"/>
  </r>
  <r>
    <s v="WQAPR22"/>
    <d v="2022-04-08T00:00:00"/>
    <s v="H6"/>
    <n v="5.88"/>
    <n v="5.17"/>
    <x v="31"/>
  </r>
  <r>
    <s v="WQMAY22"/>
    <d v="2022-05-06T00:00:00"/>
    <s v="H6"/>
    <n v="10.29"/>
    <n v="8.33"/>
    <x v="31"/>
  </r>
  <r>
    <s v="WQJUN22"/>
    <d v="2022-06-06T00:00:00"/>
    <s v="H6"/>
    <n v="16.79"/>
    <n v="12.57"/>
    <x v="31"/>
  </r>
  <r>
    <s v="WQJUL22"/>
    <d v="2022-07-07T00:00:00"/>
    <s v="H6"/>
    <n v="20.46"/>
    <n v="17.71"/>
    <x v="31"/>
  </r>
  <r>
    <s v="HYJUL22"/>
    <d v="2022-07-20T00:00:00"/>
    <s v="H6"/>
    <n v="22.79"/>
    <n v="18.329999999999998"/>
    <x v="31"/>
  </r>
  <r>
    <s v="WQAUG22"/>
    <d v="2022-08-03T00:00:00"/>
    <s v="H6"/>
    <n v="24.11"/>
    <n v="21.15"/>
    <x v="31"/>
  </r>
  <r>
    <s v="HYAUG22"/>
    <d v="2022-08-18T00:00:00"/>
    <s v="H6"/>
    <n v="24.08"/>
    <n v="22"/>
    <x v="31"/>
  </r>
  <r>
    <s v="WQSEP22"/>
    <d v="2022-09-02T00:00:00"/>
    <s v="H6"/>
    <n v="24.55"/>
    <n v="22.57"/>
    <x v="31"/>
  </r>
  <r>
    <s v="WQOCT22"/>
    <d v="2022-10-06T00:00:00"/>
    <s v="H6"/>
    <n v="18.95"/>
    <n v="18.670000000000002"/>
    <x v="31"/>
  </r>
  <r>
    <s v="WQNOV22"/>
    <d v="2022-11-10T00:00:00"/>
    <s v="H6"/>
    <n v="16.23"/>
    <n v="16.170000000000002"/>
    <x v="31"/>
  </r>
  <r>
    <s v="WQDEC22"/>
    <d v="2022-12-06T00:00:00"/>
    <s v="H6"/>
    <n v="10.64"/>
    <n v="10.67"/>
    <x v="31"/>
  </r>
  <r>
    <s v="WQJAN23"/>
    <d v="2023-01-06T00:00:00"/>
    <s v="H6"/>
    <n v="5.83"/>
    <n v="6.11"/>
    <x v="32"/>
  </r>
  <r>
    <s v="WQFEB23"/>
    <d v="2023-02-08T00:00:00"/>
    <s v="H6"/>
    <n v="4.1100000000000003"/>
    <n v="4.3600000000000003"/>
    <x v="32"/>
  </r>
  <r>
    <s v="WQMAY23"/>
    <d v="2023-05-05T00:00:00"/>
    <s v="H6"/>
    <n v="11.47"/>
    <n v="8.8800000000000008"/>
    <x v="32"/>
  </r>
  <r>
    <s v="WQJUN23"/>
    <d v="2023-06-02T00:00:00"/>
    <s v="H6"/>
    <n v="17.57"/>
    <n v="12.66"/>
    <x v="32"/>
  </r>
  <r>
    <s v="WQJUL23"/>
    <d v="2023-07-05T00:00:00"/>
    <s v="H6"/>
    <n v="22.48"/>
    <n v="17.059999999999999"/>
    <x v="32"/>
  </r>
  <r>
    <s v="HYJUL23"/>
    <d v="2023-07-18T00:00:00"/>
    <s v="H6"/>
    <n v="25.07"/>
    <n v="17.28"/>
    <x v="32"/>
  </r>
  <r>
    <s v="WQAUG23"/>
    <d v="2023-08-03T00:00:00"/>
    <s v="H6"/>
    <n v="24.61"/>
    <n v="18.329999999999998"/>
    <x v="32"/>
  </r>
  <r>
    <s v="HYAUG23"/>
    <d v="2023-08-16T00:00:00"/>
    <s v="H6"/>
    <n v="23.42"/>
    <n v="20.11"/>
    <x v="32"/>
  </r>
  <r>
    <s v="WQSEP23"/>
    <d v="2023-09-06T00:00:00"/>
    <s v="H6"/>
    <n v="24.57"/>
    <n v="21.59"/>
    <x v="32"/>
  </r>
  <r>
    <s v="WQOCT23"/>
    <d v="2023-10-05T00:00:00"/>
    <s v="H6"/>
    <n v="20.79"/>
    <n v="19.41"/>
    <x v="32"/>
  </r>
  <r>
    <s v="WQNOV23"/>
    <d v="2023-11-09T00:00:00"/>
    <s v="H6"/>
    <n v="14.86"/>
    <n v="14.93"/>
    <x v="32"/>
  </r>
  <r>
    <s v="WQDEC23"/>
    <d v="2023-12-05T00:00:00"/>
    <s v="H6"/>
    <n v="10.36"/>
    <n v="10.61"/>
    <x v="32"/>
  </r>
  <r>
    <s v="WQJAN24"/>
    <d v="2024-01-04T00:00:00"/>
    <s v="H6"/>
    <n v="7.13"/>
    <n v="7.74"/>
    <x v="33"/>
  </r>
  <r>
    <s v="WQFEB24"/>
    <d v="2024-02-07T00:00:00"/>
    <s v="H6"/>
    <n v="4"/>
    <n v="4.37"/>
    <x v="33"/>
  </r>
  <r>
    <s v="WQMAR24"/>
    <d v="2024-03-07T00:00:00"/>
    <s v="H6"/>
    <n v="4.92"/>
    <n v="4.57"/>
    <x v="33"/>
  </r>
  <r>
    <s v="WQAPR24"/>
    <d v="2024-04-01T00:00:00"/>
    <s v="H6"/>
    <n v="6.84"/>
    <n v="5.91"/>
    <x v="33"/>
  </r>
  <r>
    <s v="WQMAY24"/>
    <d v="2024-05-02T00:00:00"/>
    <s v="H6"/>
    <n v="11.08"/>
    <n v="8.01"/>
    <x v="33"/>
  </r>
  <r>
    <s v="WQJUN24"/>
    <d v="2024-05-31T00:00:00"/>
    <s v="H6"/>
    <n v="16.46"/>
    <n v="12.32"/>
    <x v="33"/>
  </r>
  <r>
    <s v="WQJUL24"/>
    <d v="2024-07-03T00:00:00"/>
    <s v="H6"/>
    <n v="20.62"/>
    <n v="17.25"/>
    <x v="33"/>
  </r>
  <r>
    <s v="HYJUL24"/>
    <d v="2024-07-15T00:00:00"/>
    <s v="H6"/>
    <n v="23.55"/>
    <n v="18.04"/>
    <x v="33"/>
  </r>
  <r>
    <s v="WQAUG24"/>
    <d v="2024-08-01T00:00:00"/>
    <s v="H6"/>
    <n v="24.79"/>
    <n v="18.809999999999999"/>
    <x v="33"/>
  </r>
  <r>
    <s v="HYAUG24"/>
    <d v="2024-08-13T00:00:00"/>
    <s v="H6"/>
    <n v="24.1"/>
    <n v="20.55"/>
    <x v="33"/>
  </r>
  <r>
    <s v="WQSEP24"/>
    <d v="2024-08-28T00:00:00"/>
    <s v="H6"/>
    <n v="23.64"/>
    <n v="21.81"/>
    <x v="33"/>
  </r>
  <r>
    <s v="WQOCT24"/>
    <d v="2024-10-04T00:00:00"/>
    <s v="H6"/>
    <n v="20.55"/>
    <n v="20.239999999999998"/>
    <x v="33"/>
  </r>
  <r>
    <m/>
    <m/>
    <m/>
    <m/>
    <m/>
    <x v="3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9">
  <r>
    <s v="HYJUN94"/>
    <d v="1994-06-23T00:00:00"/>
    <s v="H4"/>
    <n v="19.55"/>
    <m/>
    <x v="0"/>
  </r>
  <r>
    <s v="WQJUL94"/>
    <d v="1994-07-08T00:00:00"/>
    <s v="H4"/>
    <n v="24.32"/>
    <m/>
    <x v="0"/>
  </r>
  <r>
    <s v="HYJUL94"/>
    <d v="1994-07-22T00:00:00"/>
    <s v="H4"/>
    <n v="22.65"/>
    <m/>
    <x v="0"/>
  </r>
  <r>
    <s v="WQAUG94"/>
    <d v="1994-08-04T00:00:00"/>
    <s v="H4"/>
    <n v="22.17"/>
    <m/>
    <x v="0"/>
  </r>
  <r>
    <s v="HYAUG94"/>
    <d v="1994-08-18T00:00:00"/>
    <s v="H4"/>
    <n v="21.76"/>
    <m/>
    <x v="0"/>
  </r>
  <r>
    <s v="WQSEP94"/>
    <d v="1994-09-01T00:00:00"/>
    <s v="H4"/>
    <n v="21.72"/>
    <m/>
    <x v="0"/>
  </r>
  <r>
    <s v="WQDEC94"/>
    <d v="1994-12-07T00:00:00"/>
    <s v="H4"/>
    <n v="10.55"/>
    <n v="10.18"/>
    <x v="0"/>
  </r>
  <r>
    <s v="WQJAN95"/>
    <d v="1995-01-10T00:00:00"/>
    <s v="H4"/>
    <n v="4.71"/>
    <n v="5.27"/>
    <x v="1"/>
  </r>
  <r>
    <s v="WQFEB95"/>
    <d v="1995-02-15T00:00:00"/>
    <s v="H4"/>
    <n v="1.41"/>
    <n v="1.37"/>
    <x v="1"/>
  </r>
  <r>
    <s v="WQMAR95"/>
    <d v="1995-03-07T00:00:00"/>
    <s v="H4"/>
    <n v="2.21"/>
    <n v="1.84"/>
    <x v="1"/>
  </r>
  <r>
    <s v="WQAPR95"/>
    <d v="1995-04-10T00:00:00"/>
    <s v="H4"/>
    <n v="5.01"/>
    <n v="5.01"/>
    <x v="1"/>
  </r>
  <r>
    <s v="WQMAY95"/>
    <d v="1995-05-09T00:00:00"/>
    <s v="H4"/>
    <n v="9.57"/>
    <n v="8.1"/>
    <x v="1"/>
  </r>
  <r>
    <s v="WQJUN95"/>
    <d v="1995-06-05T00:00:00"/>
    <s v="H4"/>
    <n v="15.66"/>
    <n v="11.6008"/>
    <x v="1"/>
  </r>
  <r>
    <s v="HYJUN95"/>
    <d v="1995-06-22T00:00:00"/>
    <s v="H4"/>
    <n v="17.57"/>
    <n v="14.167199999999999"/>
    <x v="1"/>
  </r>
  <r>
    <s v="WQJUL95"/>
    <d v="1995-07-10T00:00:00"/>
    <s v="H4"/>
    <m/>
    <n v="17.095500000000001"/>
    <x v="1"/>
  </r>
  <r>
    <s v="HYJUL95"/>
    <d v="1995-07-20T00:00:00"/>
    <s v="H4"/>
    <n v="22.07"/>
    <n v="18.52"/>
    <x v="1"/>
  </r>
  <r>
    <s v="WQAUG95"/>
    <d v="1995-08-02T00:00:00"/>
    <s v="H4"/>
    <n v="23.19"/>
    <n v="20.170000000000002"/>
    <x v="1"/>
  </r>
  <r>
    <s v="HYAUG95"/>
    <d v="1995-08-15T00:00:00"/>
    <s v="H4"/>
    <n v="24.8"/>
    <n v="21.348500000000001"/>
    <x v="1"/>
  </r>
  <r>
    <s v="WQSEP95"/>
    <d v="1995-09-11T00:00:00"/>
    <s v="H4"/>
    <m/>
    <n v="21.9223"/>
    <x v="1"/>
  </r>
  <r>
    <s v="WQOCT95"/>
    <d v="1995-10-03T00:00:00"/>
    <s v="H4"/>
    <n v="19.66"/>
    <n v="19.82"/>
    <x v="1"/>
  </r>
  <r>
    <s v="WQDEC95"/>
    <d v="1995-12-05T00:00:00"/>
    <s v="H4"/>
    <n v="9.3800000000000008"/>
    <n v="9.39"/>
    <x v="1"/>
  </r>
  <r>
    <s v="WQJAN96"/>
    <d v="1996-01-10T00:00:00"/>
    <s v="H4"/>
    <n v="1.42"/>
    <n v="1.41"/>
    <x v="2"/>
  </r>
  <r>
    <s v="WQFEB96"/>
    <d v="1996-02-07T00:00:00"/>
    <s v="H4"/>
    <n v="0.48"/>
    <n v="0.67"/>
    <x v="2"/>
  </r>
  <r>
    <s v="WQMAR96"/>
    <d v="1996-03-06T00:00:00"/>
    <s v="H4"/>
    <n v="0.81"/>
    <n v="0.67"/>
    <x v="2"/>
  </r>
  <r>
    <s v="WQAPR96"/>
    <d v="1996-04-03T00:00:00"/>
    <s v="H4"/>
    <n v="2.78"/>
    <n v="2.6"/>
    <x v="2"/>
  </r>
  <r>
    <s v="WQMAY96"/>
    <d v="1996-05-10T00:00:00"/>
    <s v="H4"/>
    <n v="9.7100000000000009"/>
    <n v="8.1199999999999992"/>
    <x v="2"/>
  </r>
  <r>
    <s v="WQJUN96"/>
    <d v="1996-06-05T00:00:00"/>
    <s v="H4"/>
    <n v="13.57"/>
    <n v="10.36"/>
    <x v="2"/>
  </r>
  <r>
    <s v="HYJUN96"/>
    <d v="1996-06-25T00:00:00"/>
    <s v="H4"/>
    <n v="19.809999999999999"/>
    <n v="14.02"/>
    <x v="2"/>
  </r>
  <r>
    <s v="WQJUL96"/>
    <d v="1996-07-10T00:00:00"/>
    <s v="H4"/>
    <n v="19.11"/>
    <n v="16.34"/>
    <x v="2"/>
  </r>
  <r>
    <s v="HYJUL96"/>
    <d v="1996-07-23T00:00:00"/>
    <s v="H4"/>
    <n v="19.329999999999998"/>
    <n v="18.45"/>
    <x v="2"/>
  </r>
  <r>
    <s v="WQAUG96"/>
    <d v="1996-08-06T00:00:00"/>
    <s v="H4"/>
    <n v="23.63"/>
    <n v="19.100000000000001"/>
    <x v="2"/>
  </r>
  <r>
    <s v="HYAUG96"/>
    <d v="1996-08-22T00:00:00"/>
    <s v="H4"/>
    <n v="21.43"/>
    <n v="19.920000000000002"/>
    <x v="2"/>
  </r>
  <r>
    <s v="WQSEP96"/>
    <d v="1996-09-04T00:00:00"/>
    <s v="H4"/>
    <n v="22.71"/>
    <n v="20.65"/>
    <x v="2"/>
  </r>
  <r>
    <s v="WQOCT96"/>
    <d v="1996-10-02T00:00:00"/>
    <s v="H4"/>
    <n v="19.36"/>
    <n v="19.48"/>
    <x v="2"/>
  </r>
  <r>
    <s v="WQNOV96"/>
    <d v="1996-11-07T00:00:00"/>
    <s v="H4"/>
    <n v="14.01"/>
    <n v="14.16"/>
    <x v="2"/>
  </r>
  <r>
    <s v="WQDEC96"/>
    <d v="1996-12-03T00:00:00"/>
    <s v="H4"/>
    <n v="8.76"/>
    <n v="9.4700000000000006"/>
    <x v="2"/>
  </r>
  <r>
    <s v="WQJAN97"/>
    <d v="1997-01-14T00:00:00"/>
    <s v="H4"/>
    <n v="4.3"/>
    <n v="4.43"/>
    <x v="3"/>
  </r>
  <r>
    <s v="WQFEB97"/>
    <d v="1997-02-06T00:00:00"/>
    <s v="H4"/>
    <n v="2.2599999999999998"/>
    <n v="2.54"/>
    <x v="3"/>
  </r>
  <r>
    <s v="WQMAR97"/>
    <d v="1997-03-05T00:00:00"/>
    <s v="H4"/>
    <n v="3.09"/>
    <n v="3.18"/>
    <x v="3"/>
  </r>
  <r>
    <s v="WQAPR97"/>
    <d v="1997-04-04T00:00:00"/>
    <s v="H4"/>
    <n v="5.2"/>
    <n v="4.22"/>
    <x v="3"/>
  </r>
  <r>
    <s v="WQMAY97"/>
    <d v="1997-05-09T00:00:00"/>
    <s v="H4"/>
    <n v="8.99"/>
    <n v="8.7899999999999991"/>
    <x v="3"/>
  </r>
  <r>
    <s v="WQJUN97"/>
    <d v="1997-06-03T00:00:00"/>
    <s v="H4"/>
    <n v="12.49"/>
    <n v="10.58"/>
    <x v="3"/>
  </r>
  <r>
    <s v="WQJUL97"/>
    <d v="1997-07-08T00:00:00"/>
    <s v="H4"/>
    <n v="20.010000000000002"/>
    <n v="16.62"/>
    <x v="3"/>
  </r>
  <r>
    <s v="HYJUL97"/>
    <d v="1997-07-24T00:00:00"/>
    <s v="H4"/>
    <n v="20.02"/>
    <m/>
    <x v="3"/>
  </r>
  <r>
    <s v="WQAUG97"/>
    <d v="1997-08-06T00:00:00"/>
    <s v="H4"/>
    <n v="21.98"/>
    <n v="19.48"/>
    <x v="3"/>
  </r>
  <r>
    <s v="HYAUG97"/>
    <d v="1997-08-22T00:00:00"/>
    <s v="H4"/>
    <n v="21.49"/>
    <n v="20.89"/>
    <x v="3"/>
  </r>
  <r>
    <s v="WQSEP97"/>
    <d v="1997-09-05T00:00:00"/>
    <s v="H4"/>
    <n v="21.25"/>
    <n v="21.12"/>
    <x v="3"/>
  </r>
  <r>
    <s v="WQOCT97"/>
    <d v="1997-10-06T00:00:00"/>
    <s v="H4"/>
    <n v="19.37"/>
    <n v="18.72"/>
    <x v="3"/>
  </r>
  <r>
    <s v="WQNOV97"/>
    <d v="1997-11-05T00:00:00"/>
    <s v="H4"/>
    <n v="14.55"/>
    <n v="14.31"/>
    <x v="3"/>
  </r>
  <r>
    <s v="WQDEC97"/>
    <d v="1997-12-05T00:00:00"/>
    <s v="H4"/>
    <n v="8.69"/>
    <n v="8.69"/>
    <x v="3"/>
  </r>
  <r>
    <s v="WQJAN98"/>
    <d v="1998-01-08T00:00:00"/>
    <s v="H4"/>
    <n v="4.79"/>
    <n v="4.82"/>
    <x v="4"/>
  </r>
  <r>
    <s v="WQFEB98"/>
    <d v="1998-02-03T00:00:00"/>
    <s v="H4"/>
    <n v="3.61"/>
    <n v="3.73"/>
    <x v="4"/>
  </r>
  <r>
    <s v="WQMAR98"/>
    <d v="1998-03-03T00:00:00"/>
    <s v="H4"/>
    <n v="4.07"/>
    <n v="3.99"/>
    <x v="4"/>
  </r>
  <r>
    <s v="WQAPR98"/>
    <d v="1998-04-14T00:00:00"/>
    <s v="H4"/>
    <n v="7.48"/>
    <n v="6.27"/>
    <x v="4"/>
  </r>
  <r>
    <s v="WQMAY98"/>
    <d v="1998-05-08T00:00:00"/>
    <s v="H4"/>
    <n v="12.07"/>
    <n v="9.0500000000000007"/>
    <x v="4"/>
  </r>
  <r>
    <s v="WQJUN98"/>
    <d v="1998-06-01T00:00:00"/>
    <s v="H4"/>
    <n v="14.47"/>
    <n v="12.95"/>
    <x v="4"/>
  </r>
  <r>
    <s v="HYJUN98"/>
    <d v="1998-06-24T00:00:00"/>
    <s v="H4"/>
    <n v="19.899999999999999"/>
    <m/>
    <x v="4"/>
  </r>
  <r>
    <s v="WQJUL98"/>
    <d v="1998-07-07T00:00:00"/>
    <s v="H4"/>
    <n v="21.16"/>
    <n v="16.95"/>
    <x v="4"/>
  </r>
  <r>
    <s v="HYJUL98"/>
    <d v="1998-07-23T00:00:00"/>
    <s v="H4"/>
    <n v="23.6"/>
    <n v="18.86"/>
    <x v="4"/>
  </r>
  <r>
    <s v="WQAUG98"/>
    <d v="1998-08-04T00:00:00"/>
    <s v="H4"/>
    <n v="22.01"/>
    <n v="19.760000000000002"/>
    <x v="4"/>
  </r>
  <r>
    <s v="HYAUG98"/>
    <d v="1998-08-18T00:00:00"/>
    <s v="H4"/>
    <n v="24.06"/>
    <n v="20.55"/>
    <x v="4"/>
  </r>
  <r>
    <s v="WQSEP98"/>
    <d v="1998-09-01T00:00:00"/>
    <s v="H4"/>
    <n v="23.92"/>
    <n v="21.53"/>
    <x v="4"/>
  </r>
  <r>
    <s v="WQOCT98"/>
    <d v="1998-10-05T00:00:00"/>
    <s v="H4"/>
    <n v="19.48"/>
    <n v="19.559999999999999"/>
    <x v="4"/>
  </r>
  <r>
    <s v="WQNOV98"/>
    <d v="1998-11-06T00:00:00"/>
    <s v="H4"/>
    <n v="14.25"/>
    <n v="14.24"/>
    <x v="4"/>
  </r>
  <r>
    <s v="WQDEC98"/>
    <d v="1998-12-03T00:00:00"/>
    <s v="H4"/>
    <n v="10.66"/>
    <n v="10.57"/>
    <x v="4"/>
  </r>
  <r>
    <s v="WQJAN99"/>
    <d v="1999-01-06T00:00:00"/>
    <s v="H4"/>
    <n v="4.9800000000000004"/>
    <n v="5.33"/>
    <x v="5"/>
  </r>
  <r>
    <s v="WQFEB99"/>
    <d v="1999-02-03T00:00:00"/>
    <s v="H4"/>
    <n v="3.3"/>
    <n v="3.13"/>
    <x v="5"/>
  </r>
  <r>
    <s v="WQMAR99"/>
    <d v="1999-03-05T00:00:00"/>
    <s v="H4"/>
    <n v="3.54"/>
    <n v="3.16"/>
    <x v="5"/>
  </r>
  <r>
    <s v="WQAPR99"/>
    <d v="1999-04-06T00:00:00"/>
    <s v="H4"/>
    <n v="5.38"/>
    <n v="5.05"/>
    <x v="5"/>
  </r>
  <r>
    <s v="WQMAY99"/>
    <d v="1999-05-07T00:00:00"/>
    <s v="H4"/>
    <n v="10.26"/>
    <n v="8.2200000000000006"/>
    <x v="5"/>
  </r>
  <r>
    <s v="WQJUN99"/>
    <d v="1999-06-02T00:00:00"/>
    <s v="H4"/>
    <n v="16.190000000000001"/>
    <n v="11.91"/>
    <x v="5"/>
  </r>
  <r>
    <s v="HYJUN99"/>
    <d v="1999-06-22T00:00:00"/>
    <s v="H4"/>
    <n v="18.77"/>
    <n v="15.87"/>
    <x v="5"/>
  </r>
  <r>
    <s v="WQJUL99"/>
    <d v="1999-07-08T00:00:00"/>
    <s v="H4"/>
    <n v="21.84"/>
    <n v="18.95"/>
    <x v="5"/>
  </r>
  <r>
    <s v="HYJUL99"/>
    <d v="1999-07-22T00:00:00"/>
    <s v="H4"/>
    <n v="22.8"/>
    <n v="20.079999999999998"/>
    <x v="5"/>
  </r>
  <r>
    <s v="WQAUG99"/>
    <d v="1999-08-05T00:00:00"/>
    <s v="H4"/>
    <n v="24.09"/>
    <n v="20.51"/>
    <x v="5"/>
  </r>
  <r>
    <s v="HYAUG99"/>
    <d v="1999-08-19T00:00:00"/>
    <s v="H4"/>
    <n v="23.43"/>
    <n v="21.84"/>
    <x v="5"/>
  </r>
  <r>
    <s v="WQSEP99"/>
    <d v="1999-09-02T00:00:00"/>
    <s v="H4"/>
    <n v="22.21"/>
    <n v="21.93"/>
    <x v="5"/>
  </r>
  <r>
    <s v="WQOCT99"/>
    <d v="1999-09-29T00:00:00"/>
    <s v="H4"/>
    <n v="21.16"/>
    <n v="20.77"/>
    <x v="5"/>
  </r>
  <r>
    <s v="WQNOV99"/>
    <d v="1999-11-08T00:00:00"/>
    <s v="H4"/>
    <n v="14.41"/>
    <n v="14.32"/>
    <x v="5"/>
  </r>
  <r>
    <s v="WQDEC99"/>
    <d v="1999-12-08T00:00:00"/>
    <s v="H4"/>
    <n v="10.09"/>
    <n v="10.09"/>
    <x v="5"/>
  </r>
  <r>
    <s v="WQJAN00"/>
    <d v="2000-01-07T00:00:00"/>
    <s v="H4"/>
    <n v="6.18"/>
    <n v="6.09"/>
    <x v="6"/>
  </r>
  <r>
    <s v="WQFEB00"/>
    <d v="2000-02-04T00:00:00"/>
    <s v="H4"/>
    <n v="1.05"/>
    <n v="1.03"/>
    <x v="6"/>
  </r>
  <r>
    <s v="WQAPR00"/>
    <d v="2000-04-07T00:00:00"/>
    <s v="H4"/>
    <n v="5.8"/>
    <n v="5.32"/>
    <x v="6"/>
  </r>
  <r>
    <s v="WQMAY00"/>
    <d v="2000-05-02T00:00:00"/>
    <s v="H4"/>
    <n v="8.83"/>
    <n v="7.23"/>
    <x v="6"/>
  </r>
  <r>
    <s v="WQJUN00"/>
    <d v="2000-06-02T00:00:00"/>
    <s v="H4"/>
    <n v="15.98"/>
    <n v="11.74"/>
    <x v="6"/>
  </r>
  <r>
    <s v="HYJUN00"/>
    <d v="2000-06-23T00:00:00"/>
    <s v="H4"/>
    <n v="18.23"/>
    <n v="14.81"/>
    <x v="6"/>
  </r>
  <r>
    <s v="WQJUL00"/>
    <d v="2000-07-06T00:00:00"/>
    <s v="H4"/>
    <n v="20.05"/>
    <n v="16.149999999999999"/>
    <x v="6"/>
  </r>
  <r>
    <s v="HYJUL00"/>
    <d v="2000-07-20T00:00:00"/>
    <s v="H4"/>
    <n v="20.65"/>
    <n v="18.3"/>
    <x v="6"/>
  </r>
  <r>
    <s v="WQAUG00"/>
    <d v="2000-08-03T00:00:00"/>
    <s v="H4"/>
    <n v="21.24"/>
    <n v="19.809999999999999"/>
    <x v="6"/>
  </r>
  <r>
    <s v="HYAUG00"/>
    <d v="2000-08-17T00:00:00"/>
    <s v="H4"/>
    <n v="21.6"/>
    <n v="20"/>
    <x v="6"/>
  </r>
  <r>
    <s v="WQSEP00"/>
    <d v="2000-08-30T00:00:00"/>
    <s v="H4"/>
    <n v="21.81"/>
    <n v="20.93"/>
    <x v="6"/>
  </r>
  <r>
    <s v="WQOCT00"/>
    <d v="2000-10-02T00:00:00"/>
    <s v="H4"/>
    <n v="18.84"/>
    <n v="18.97"/>
    <x v="6"/>
  </r>
  <r>
    <s v="WQNOV00"/>
    <d v="2000-11-13T00:00:00"/>
    <s v="H4"/>
    <n v="13.22"/>
    <n v="13.24"/>
    <x v="6"/>
  </r>
  <r>
    <s v="WQDEC00"/>
    <d v="2000-12-05T00:00:00"/>
    <s v="H4"/>
    <n v="8.52"/>
    <n v="8.67"/>
    <x v="6"/>
  </r>
  <r>
    <s v="WQJAN01"/>
    <d v="2001-01-12T00:00:00"/>
    <s v="H4"/>
    <n v="2.44"/>
    <n v="2.34"/>
    <x v="7"/>
  </r>
  <r>
    <s v="WQFEB01"/>
    <d v="2001-02-02T00:00:00"/>
    <s v="H4"/>
    <m/>
    <m/>
    <x v="7"/>
  </r>
  <r>
    <s v="WQMAR01"/>
    <d v="2001-03-02T00:00:00"/>
    <s v="H4"/>
    <n v="1.68"/>
    <n v="1.85"/>
    <x v="7"/>
  </r>
  <r>
    <s v="WQAPR01"/>
    <d v="2001-04-05T00:00:00"/>
    <s v="H4"/>
    <n v="3.9"/>
    <n v="3.68"/>
    <x v="7"/>
  </r>
  <r>
    <s v="WQMAY01"/>
    <d v="2001-05-02T00:00:00"/>
    <s v="H4"/>
    <m/>
    <m/>
    <x v="7"/>
  </r>
  <r>
    <s v="WQJUN01"/>
    <d v="2001-06-05T00:00:00"/>
    <s v="H4"/>
    <n v="14.19"/>
    <n v="11.34"/>
    <x v="7"/>
  </r>
  <r>
    <s v="WQJUL01"/>
    <d v="2001-07-11T00:00:00"/>
    <s v="H4"/>
    <n v="21.45"/>
    <n v="18.41"/>
    <x v="7"/>
  </r>
  <r>
    <s v="WQAUG01"/>
    <d v="2001-08-06T00:00:00"/>
    <s v="H4"/>
    <n v="24.61"/>
    <n v="20.399999999999999"/>
    <x v="7"/>
  </r>
  <r>
    <s v="HYAUG01"/>
    <d v="2001-08-20T00:00:00"/>
    <s v="H4"/>
    <n v="24.4"/>
    <n v="20.92"/>
    <x v="7"/>
  </r>
  <r>
    <s v="WQSEP01"/>
    <d v="2001-09-05T00:00:00"/>
    <s v="H4"/>
    <n v="22.64"/>
    <n v="21.92"/>
    <x v="7"/>
  </r>
  <r>
    <s v="WQOCT01"/>
    <d v="2001-10-03T00:00:00"/>
    <s v="H4"/>
    <n v="19.63"/>
    <n v="19.2"/>
    <x v="7"/>
  </r>
  <r>
    <s v="WQNOV01"/>
    <d v="2001-11-14T00:00:00"/>
    <s v="H4"/>
    <n v="13.1"/>
    <n v="13.11"/>
    <x v="7"/>
  </r>
  <r>
    <s v="WQDEC01"/>
    <d v="2001-12-04T00:00:00"/>
    <s v="H4"/>
    <n v="11.88"/>
    <n v="11.79"/>
    <x v="7"/>
  </r>
  <r>
    <s v="WQJAN02"/>
    <d v="2002-01-14T00:00:00"/>
    <s v="H4"/>
    <n v="5.68"/>
    <n v="5.56"/>
    <x v="8"/>
  </r>
  <r>
    <s v="WQFEB02"/>
    <d v="2002-02-07T00:00:00"/>
    <s v="H4"/>
    <n v="4.0599999999999996"/>
    <n v="4.3"/>
    <x v="8"/>
  </r>
  <r>
    <s v="WQMAR02"/>
    <d v="2002-03-01T00:00:00"/>
    <s v="H4"/>
    <n v="4.34"/>
    <n v="4.37"/>
    <x v="8"/>
  </r>
  <r>
    <s v="WQAPR02"/>
    <d v="2002-04-05T00:00:00"/>
    <s v="H4"/>
    <n v="6.23"/>
    <n v="5.68"/>
    <x v="8"/>
  </r>
  <r>
    <s v="WQMAY02"/>
    <d v="2002-05-09T00:00:00"/>
    <s v="H4"/>
    <n v="11.79"/>
    <n v="9.2799999999999994"/>
    <x v="8"/>
  </r>
  <r>
    <s v="WQJUN02"/>
    <d v="2002-06-10T00:00:00"/>
    <s v="H4"/>
    <n v="17.2"/>
    <n v="13.07"/>
    <x v="8"/>
  </r>
  <r>
    <s v="WQJUL02"/>
    <d v="2002-07-10T00:00:00"/>
    <s v="H4"/>
    <n v="22.37"/>
    <n v="18.010000000000002"/>
    <x v="8"/>
  </r>
  <r>
    <s v="HYJUL02"/>
    <d v="2002-07-25T00:00:00"/>
    <s v="H4"/>
    <n v="21.9"/>
    <n v="19.600000000000001"/>
    <x v="8"/>
  </r>
  <r>
    <s v="WQAUG02"/>
    <d v="2002-08-08T00:00:00"/>
    <s v="H4"/>
    <n v="21.89"/>
    <n v="20.61"/>
    <x v="8"/>
  </r>
  <r>
    <s v="HYAUG02"/>
    <d v="2002-08-23T00:00:00"/>
    <s v="H4"/>
    <n v="23.3"/>
    <n v="22.51"/>
    <x v="8"/>
  </r>
  <r>
    <s v="WQSEP02"/>
    <d v="2002-09-13T00:00:00"/>
    <s v="H4"/>
    <n v="21.53"/>
    <n v="21.43"/>
    <x v="8"/>
  </r>
  <r>
    <s v="WQOCT02"/>
    <d v="2002-10-10T00:00:00"/>
    <s v="H4"/>
    <n v="20.100000000000001"/>
    <n v="20.100000000000001"/>
    <x v="8"/>
  </r>
  <r>
    <s v="WQNOV02"/>
    <d v="2002-11-14T00:00:00"/>
    <s v="H4"/>
    <n v="12.8"/>
    <n v="12.66"/>
    <x v="8"/>
  </r>
  <r>
    <s v="WQDEC02"/>
    <d v="2002-12-13T00:00:00"/>
    <s v="H4"/>
    <n v="6.97"/>
    <n v="6.93"/>
    <x v="8"/>
  </r>
  <r>
    <s v="WQFEB03"/>
    <d v="2003-02-03T00:00:00"/>
    <s v="H4"/>
    <n v="0.56000000000000005"/>
    <n v="0.49"/>
    <x v="9"/>
  </r>
  <r>
    <s v="WQMAR03"/>
    <d v="2003-03-11T00:00:00"/>
    <s v="H4"/>
    <n v="-0.05"/>
    <n v="0.04"/>
    <x v="9"/>
  </r>
  <r>
    <s v="WQAPR03"/>
    <d v="2003-04-02T00:00:00"/>
    <s v="H4"/>
    <n v="3.7"/>
    <n v="2.38"/>
    <x v="9"/>
  </r>
  <r>
    <s v="WQMAY03"/>
    <d v="2003-05-07T00:00:00"/>
    <s v="H4"/>
    <n v="8.41"/>
    <n v="6.73"/>
    <x v="9"/>
  </r>
  <r>
    <s v="WQJUN03"/>
    <d v="2003-06-04T00:00:00"/>
    <s v="H4"/>
    <n v="13.49"/>
    <n v="9.7799999999999994"/>
    <x v="9"/>
  </r>
  <r>
    <s v="WQJUL03"/>
    <d v="2003-07-09T00:00:00"/>
    <s v="H4"/>
    <n v="21.7"/>
    <n v="15.04"/>
    <x v="9"/>
  </r>
  <r>
    <s v="HYJUL03"/>
    <d v="2003-07-25T00:00:00"/>
    <s v="H4"/>
    <n v="19.3"/>
    <n v="18.45"/>
    <x v="9"/>
  </r>
  <r>
    <s v="WQAUG03"/>
    <d v="2003-08-05T00:00:00"/>
    <s v="H4"/>
    <n v="22.6"/>
    <n v="18.59"/>
    <x v="9"/>
  </r>
  <r>
    <s v="HYAUG03"/>
    <d v="2003-08-21T00:00:00"/>
    <s v="H4"/>
    <n v="24.14"/>
    <n v="19.600000000000001"/>
    <x v="9"/>
  </r>
  <r>
    <s v="WQSEP03"/>
    <d v="2003-09-08T00:00:00"/>
    <s v="H4"/>
    <n v="21.23"/>
    <n v="20.63"/>
    <x v="9"/>
  </r>
  <r>
    <s v="WQOCT03"/>
    <d v="2003-10-07T00:00:00"/>
    <s v="H4"/>
    <n v="18.97"/>
    <n v="18.97"/>
    <x v="9"/>
  </r>
  <r>
    <s v="WQNOV03"/>
    <d v="2003-11-04T00:00:00"/>
    <s v="H4"/>
    <n v="15.2"/>
    <n v="14.98"/>
    <x v="9"/>
  </r>
  <r>
    <s v="WQDEC03"/>
    <d v="2003-12-10T00:00:00"/>
    <s v="H4"/>
    <n v="7.73"/>
    <n v="7.73"/>
    <x v="9"/>
  </r>
  <r>
    <s v="WQJAN04"/>
    <d v="2004-01-13T00:00:00"/>
    <s v="H4"/>
    <n v="2.88"/>
    <n v="3.53"/>
    <x v="10"/>
  </r>
  <r>
    <s v="WQFEB04"/>
    <d v="2004-02-03T00:00:00"/>
    <s v="H4"/>
    <n v="-0.71"/>
    <n v="-0.59"/>
    <x v="10"/>
  </r>
  <r>
    <s v="WQMAR04"/>
    <d v="2004-03-02T00:00:00"/>
    <s v="H4"/>
    <n v="0.99"/>
    <n v="0.72"/>
    <x v="10"/>
  </r>
  <r>
    <s v="WQAPR04"/>
    <d v="2004-04-12T00:00:00"/>
    <s v="H4"/>
    <n v="4.2300000000000004"/>
    <n v="4"/>
    <x v="10"/>
  </r>
  <r>
    <s v="WQMAY04"/>
    <d v="2004-05-05T00:00:00"/>
    <s v="H4"/>
    <n v="9.08"/>
    <n v="6.9"/>
    <x v="10"/>
  </r>
  <r>
    <s v="WQJUN04"/>
    <d v="2004-06-03T00:00:00"/>
    <s v="H4"/>
    <n v="14.94"/>
    <n v="10.86"/>
    <x v="10"/>
  </r>
  <r>
    <s v="WQJUL04"/>
    <d v="2004-07-07T00:00:00"/>
    <s v="H4"/>
    <n v="20.49"/>
    <n v="16.989999999999998"/>
    <x v="10"/>
  </r>
  <r>
    <s v="HYJUL04"/>
    <d v="2004-07-19T00:00:00"/>
    <s v="H4"/>
    <n v="21.84"/>
    <n v="17.16"/>
    <x v="10"/>
  </r>
  <r>
    <s v="WQAUG04"/>
    <d v="2004-08-06T00:00:00"/>
    <s v="H4"/>
    <n v="21.3"/>
    <n v="20.260000000000002"/>
    <x v="10"/>
  </r>
  <r>
    <s v="HYAUG04"/>
    <d v="2004-08-20T00:00:00"/>
    <s v="H4"/>
    <n v="22.25"/>
    <n v="20.78"/>
    <x v="10"/>
  </r>
  <r>
    <s v="WQSEP04"/>
    <d v="2004-09-01T00:00:00"/>
    <s v="H4"/>
    <n v="23.53"/>
    <n v="21.44"/>
    <x v="10"/>
  </r>
  <r>
    <s v="WQOCT04"/>
    <d v="2004-10-06T00:00:00"/>
    <s v="H4"/>
    <n v="20.05"/>
    <n v="20.309999999999999"/>
    <x v="10"/>
  </r>
  <r>
    <s v="WQDEC04"/>
    <d v="2004-11-29T00:00:00"/>
    <s v="H4"/>
    <n v="10.56"/>
    <n v="10.55"/>
    <x v="10"/>
  </r>
  <r>
    <s v="WQJAN05"/>
    <d v="2005-01-11T00:00:00"/>
    <s v="H4"/>
    <n v="4.68"/>
    <n v="4.72"/>
    <x v="11"/>
  </r>
  <r>
    <s v="WQFEB05"/>
    <d v="2005-02-01T00:00:00"/>
    <s v="H4"/>
    <n v="1.1599999999999999"/>
    <n v="1.1499999999999999"/>
    <x v="11"/>
  </r>
  <r>
    <s v="WQMAR05"/>
    <d v="2005-03-11T00:00:00"/>
    <s v="H4"/>
    <n v="0.96"/>
    <n v="1.1200000000000001"/>
    <x v="11"/>
  </r>
  <r>
    <s v="WQAPR05"/>
    <d v="2005-04-08T00:00:00"/>
    <s v="H4"/>
    <n v="5.42"/>
    <n v="3.4"/>
    <x v="11"/>
  </r>
  <r>
    <s v="WQMAY05"/>
    <d v="2005-05-05T00:00:00"/>
    <s v="H4"/>
    <n v="11.1"/>
    <n v="7.15"/>
    <x v="11"/>
  </r>
  <r>
    <s v="WQJUN05"/>
    <d v="2005-06-08T00:00:00"/>
    <s v="H4"/>
    <n v="16.37"/>
    <n v="12.06"/>
    <x v="11"/>
  </r>
  <r>
    <s v="WQJUL05"/>
    <d v="2005-07-07T00:00:00"/>
    <s v="H4"/>
    <n v="20.47"/>
    <n v="16.28"/>
    <x v="11"/>
  </r>
  <r>
    <s v="HYJUL05"/>
    <d v="2005-07-18T00:00:00"/>
    <s v="H4"/>
    <n v="23.06"/>
    <n v="17.05"/>
    <x v="11"/>
  </r>
  <r>
    <s v="WQAUG05"/>
    <d v="2005-08-04T00:00:00"/>
    <s v="H4"/>
    <n v="24.35"/>
    <n v="20.059999999999999"/>
    <x v="11"/>
  </r>
  <r>
    <s v="HYAUG05"/>
    <d v="2005-08-16T00:00:00"/>
    <s v="H4"/>
    <n v="23.96"/>
    <n v="20.56"/>
    <x v="11"/>
  </r>
  <r>
    <s v="WQSEP05"/>
    <d v="2005-09-02T00:00:00"/>
    <s v="H4"/>
    <n v="23.46"/>
    <n v="21.76"/>
    <x v="11"/>
  </r>
  <r>
    <s v="WQOCT05"/>
    <d v="2005-10-11T00:00:00"/>
    <s v="H4"/>
    <n v="20.68"/>
    <n v="20.78"/>
    <x v="11"/>
  </r>
  <r>
    <s v="WQNOV05"/>
    <d v="2005-11-14T00:00:00"/>
    <s v="H4"/>
    <n v="13.53"/>
    <n v="13.61"/>
    <x v="11"/>
  </r>
  <r>
    <s v="WQDEC05"/>
    <d v="2005-12-08T00:00:00"/>
    <s v="H4"/>
    <n v="8.67"/>
    <n v="8.99"/>
    <x v="11"/>
  </r>
  <r>
    <s v="WQMAR06"/>
    <d v="2006-03-07T00:00:00"/>
    <s v="H4"/>
    <n v="2.14"/>
    <n v="2.4500000000000002"/>
    <x v="12"/>
  </r>
  <r>
    <s v="WQAPR06"/>
    <d v="2006-04-12T00:00:00"/>
    <s v="H4"/>
    <n v="6.61"/>
    <n v="5.79"/>
    <x v="12"/>
  </r>
  <r>
    <s v="WQMAY06"/>
    <d v="2006-05-04T00:00:00"/>
    <s v="H4"/>
    <n v="10.69"/>
    <n v="8.43"/>
    <x v="12"/>
  </r>
  <r>
    <s v="WQJUN06"/>
    <d v="2006-06-06T00:00:00"/>
    <s v="H4"/>
    <n v="16.27"/>
    <n v="12.04"/>
    <x v="12"/>
  </r>
  <r>
    <s v="WQJUL06"/>
    <d v="2006-07-06T00:00:00"/>
    <s v="H4"/>
    <n v="20.07"/>
    <n v="16.71"/>
    <x v="12"/>
  </r>
  <r>
    <s v="HYJUL06"/>
    <d v="2006-07-19T00:00:00"/>
    <s v="H4"/>
    <n v="22.98"/>
    <n v="17.95"/>
    <x v="12"/>
  </r>
  <r>
    <s v="WQAUG06"/>
    <d v="2006-08-01T00:00:00"/>
    <s v="H4"/>
    <n v="23.3"/>
    <n v="20.09"/>
    <x v="12"/>
  </r>
  <r>
    <s v="HYAUG06"/>
    <d v="2006-08-21T00:00:00"/>
    <s v="H4"/>
    <n v="22.92"/>
    <n v="21.68"/>
    <x v="12"/>
  </r>
  <r>
    <s v="WQSEP06"/>
    <d v="2006-08-30T00:00:00"/>
    <s v="H4"/>
    <n v="22.06"/>
    <n v="21.65"/>
    <x v="12"/>
  </r>
  <r>
    <s v="WQOCT06"/>
    <d v="2006-10-04T00:00:00"/>
    <s v="H4"/>
    <n v="19.52"/>
    <n v="19.399999999999999"/>
    <x v="12"/>
  </r>
  <r>
    <s v="WQNOV06"/>
    <d v="2006-11-07T00:00:00"/>
    <s v="H4"/>
    <n v="13.76"/>
    <n v="13.65"/>
    <x v="12"/>
  </r>
  <r>
    <s v="WQDEC06"/>
    <d v="2006-12-12T00:00:00"/>
    <s v="H4"/>
    <n v="9.49"/>
    <n v="9.51"/>
    <x v="12"/>
  </r>
  <r>
    <s v="WQJAN07"/>
    <d v="2007-01-11T00:00:00"/>
    <s v="H4"/>
    <n v="7.2"/>
    <n v="7.27"/>
    <x v="13"/>
  </r>
  <r>
    <s v="WQFEB07"/>
    <d v="2007-02-13T00:00:00"/>
    <s v="H4"/>
    <n v="1.63"/>
    <n v="1.79"/>
    <x v="13"/>
  </r>
  <r>
    <s v="WQMAR07"/>
    <d v="2007-03-13T00:00:00"/>
    <s v="H4"/>
    <n v="1.43"/>
    <n v="0.93"/>
    <x v="13"/>
  </r>
  <r>
    <s v="WQAPR07"/>
    <d v="2007-04-02T00:00:00"/>
    <s v="H4"/>
    <n v="3.86"/>
    <n v="2.61"/>
    <x v="13"/>
  </r>
  <r>
    <s v="WQMAY07"/>
    <d v="2007-05-07T00:00:00"/>
    <s v="H4"/>
    <n v="10.82"/>
    <n v="6.19"/>
    <x v="13"/>
  </r>
  <r>
    <s v="WQJUN07"/>
    <d v="2007-06-05T00:00:00"/>
    <s v="H4"/>
    <n v="14.52"/>
    <n v="12.03"/>
    <x v="13"/>
  </r>
  <r>
    <s v="WQJUL07"/>
    <d v="2007-07-09T00:00:00"/>
    <s v="H4"/>
    <n v="21.05"/>
    <n v="17.55"/>
    <x v="13"/>
  </r>
  <r>
    <s v="HYJUL07"/>
    <d v="2007-07-19T00:00:00"/>
    <s v="H4"/>
    <n v="21.15"/>
    <n v="17.98"/>
    <x v="13"/>
  </r>
  <r>
    <s v="WQAUG07"/>
    <d v="2007-07-31T00:00:00"/>
    <s v="H4"/>
    <n v="24.69"/>
    <n v="19.100000000000001"/>
    <x v="13"/>
  </r>
  <r>
    <s v="HYAUG07"/>
    <d v="2007-08-15T00:00:00"/>
    <s v="H4"/>
    <n v="23.37"/>
    <n v="20.56"/>
    <x v="13"/>
  </r>
  <r>
    <s v="WQSEP07"/>
    <d v="2007-08-30T00:00:00"/>
    <s v="H4"/>
    <n v="23.01"/>
    <n v="21.45"/>
    <x v="13"/>
  </r>
  <r>
    <s v="WQOCT07"/>
    <d v="2007-10-02T00:00:00"/>
    <s v="H4"/>
    <n v="21.09"/>
    <n v="20.77"/>
    <x v="13"/>
  </r>
  <r>
    <s v="WQNOV07"/>
    <d v="2007-11-08T00:00:00"/>
    <s v="H4"/>
    <n v="15.51"/>
    <n v="15.45"/>
    <x v="13"/>
  </r>
  <r>
    <s v="WQDEC07"/>
    <d v="2007-12-10T00:00:00"/>
    <s v="H4"/>
    <n v="8.42"/>
    <n v="8.43"/>
    <x v="13"/>
  </r>
  <r>
    <s v="WQJAN08"/>
    <d v="2008-01-07T00:00:00"/>
    <s v="H4"/>
    <n v="4.54"/>
    <n v="5.01"/>
    <x v="14"/>
  </r>
  <r>
    <s v="WQFEB08"/>
    <d v="2008-02-04T00:00:00"/>
    <s v="H4"/>
    <n v="3.02"/>
    <n v="3.22"/>
    <x v="14"/>
  </r>
  <r>
    <s v="WQMAR08"/>
    <d v="2008-03-07T00:00:00"/>
    <s v="H4"/>
    <n v="3.46"/>
    <n v="2.94"/>
    <x v="14"/>
  </r>
  <r>
    <s v="WQAPR08"/>
    <d v="2008-04-03T00:00:00"/>
    <s v="H4"/>
    <n v="4.97"/>
    <n v="4.62"/>
    <x v="14"/>
  </r>
  <r>
    <s v="WQMAY08"/>
    <d v="2008-05-05T00:00:00"/>
    <s v="H4"/>
    <n v="9.42"/>
    <n v="8.7899999999999991"/>
    <x v="14"/>
  </r>
  <r>
    <s v="WQJUN08"/>
    <d v="2008-06-02T00:00:00"/>
    <s v="H4"/>
    <n v="15.41"/>
    <n v="11.7"/>
    <x v="14"/>
  </r>
  <r>
    <s v="WQJUL08"/>
    <d v="2008-07-07T00:00:00"/>
    <s v="H4"/>
    <n v="20.38"/>
    <n v="17.440000000000001"/>
    <x v="14"/>
  </r>
  <r>
    <s v="HYJUL08"/>
    <d v="2008-07-21T00:00:00"/>
    <s v="H4"/>
    <n v="22.24"/>
    <n v="18.920000000000002"/>
    <x v="14"/>
  </r>
  <r>
    <s v="WQAUG08"/>
    <d v="2008-08-07T00:00:00"/>
    <s v="H4"/>
    <n v="23.07"/>
    <n v="20.43"/>
    <x v="14"/>
  </r>
  <r>
    <s v="HYAUG08"/>
    <d v="2008-08-22T00:00:00"/>
    <s v="H4"/>
    <n v="22.98"/>
    <n v="21.03"/>
    <x v="14"/>
  </r>
  <r>
    <s v="WQSEP08"/>
    <d v="2008-09-05T00:00:00"/>
    <s v="H4"/>
    <m/>
    <m/>
    <x v="14"/>
  </r>
  <r>
    <s v="WQOCT08"/>
    <d v="2008-10-06T00:00:00"/>
    <s v="H4"/>
    <n v="19.68"/>
    <n v="19.53"/>
    <x v="14"/>
  </r>
  <r>
    <s v="WQNOV08"/>
    <d v="2008-11-12T00:00:00"/>
    <s v="H4"/>
    <n v="13.86"/>
    <n v="13.76"/>
    <x v="14"/>
  </r>
  <r>
    <s v="WQDEC08"/>
    <d v="2008-12-16T00:00:00"/>
    <s v="H4"/>
    <n v="7.41"/>
    <n v="7.66"/>
    <x v="14"/>
  </r>
  <r>
    <s v="WQJAN09"/>
    <d v="2009-01-13T00:00:00"/>
    <s v="H4"/>
    <n v="3.36"/>
    <n v="3.35"/>
    <x v="15"/>
  </r>
  <r>
    <s v="WQFEB09"/>
    <d v="2009-02-02T00:00:00"/>
    <s v="H4"/>
    <n v="1.19"/>
    <n v="1.67"/>
    <x v="15"/>
  </r>
  <r>
    <s v="WQMAR09"/>
    <d v="2009-03-06T00:00:00"/>
    <s v="H4"/>
    <n v="1.61"/>
    <n v="1.55"/>
    <x v="15"/>
  </r>
  <r>
    <s v="WQAPR09"/>
    <d v="2009-03-31T00:00:00"/>
    <s v="H4"/>
    <n v="4.05"/>
    <n v="3.5"/>
    <x v="15"/>
  </r>
  <r>
    <s v="WQMAY09"/>
    <d v="2009-04-29T00:00:00"/>
    <s v="H4"/>
    <n v="8.18"/>
    <n v="7.24"/>
    <x v="15"/>
  </r>
  <r>
    <s v="WQJUN09"/>
    <d v="2009-06-04T00:00:00"/>
    <s v="H4"/>
    <n v="16.25"/>
    <n v="11.67"/>
    <x v="15"/>
  </r>
  <r>
    <s v="WQJUL09"/>
    <d v="2009-07-07T00:00:00"/>
    <s v="H4"/>
    <n v="21.71"/>
    <n v="15.22"/>
    <x v="15"/>
  </r>
  <r>
    <s v="HYJUL09"/>
    <d v="2009-07-20T00:00:00"/>
    <s v="H4"/>
    <n v="21.72"/>
    <n v="17.73"/>
    <x v="15"/>
  </r>
  <r>
    <s v="WQAUG09"/>
    <d v="2009-08-03T00:00:00"/>
    <s v="H4"/>
    <n v="22.99"/>
    <n v="19.170000000000002"/>
    <x v="15"/>
  </r>
  <r>
    <s v="HYAUG09"/>
    <d v="2009-08-19T00:00:00"/>
    <s v="H4"/>
    <n v="24.54"/>
    <n v="19.940000000000001"/>
    <x v="15"/>
  </r>
  <r>
    <s v="WQSEP09"/>
    <d v="2009-09-02T00:00:00"/>
    <s v="H4"/>
    <n v="22.38"/>
    <n v="21.22"/>
    <x v="15"/>
  </r>
  <r>
    <s v="WQOCT09"/>
    <d v="2009-10-08T00:00:00"/>
    <s v="H4"/>
    <n v="18.84"/>
    <n v="18.739999999999998"/>
    <x v="15"/>
  </r>
  <r>
    <s v="WQNOV09"/>
    <d v="2009-11-05T00:00:00"/>
    <s v="H4"/>
    <n v="13.85"/>
    <n v="13.9"/>
    <x v="15"/>
  </r>
  <r>
    <s v="WQDEC09"/>
    <d v="2009-12-07T00:00:00"/>
    <s v="H4"/>
    <n v="10.27"/>
    <n v="10.7"/>
    <x v="15"/>
  </r>
  <r>
    <s v="WQJAN10"/>
    <d v="2010-01-08T00:00:00"/>
    <s v="H4"/>
    <n v="3.32"/>
    <n v="3.39"/>
    <x v="16"/>
  </r>
  <r>
    <s v="WQFEB10"/>
    <d v="2010-02-09T00:00:00"/>
    <s v="H4"/>
    <n v="1.52"/>
    <n v="1.57"/>
    <x v="16"/>
  </r>
  <r>
    <s v="WQMAR10"/>
    <d v="2010-03-05T00:00:00"/>
    <s v="H4"/>
    <n v="2.4900000000000002"/>
    <n v="2.19"/>
    <x v="16"/>
  </r>
  <r>
    <s v="WQAPR10"/>
    <d v="2010-04-01T00:00:00"/>
    <s v="H4"/>
    <n v="4.9800000000000004"/>
    <n v="4.8"/>
    <x v="16"/>
  </r>
  <r>
    <s v="WQMAY10"/>
    <d v="2010-05-05T00:00:00"/>
    <s v="H4"/>
    <n v="10.75"/>
    <n v="8.4700000000000006"/>
    <x v="16"/>
  </r>
  <r>
    <s v="WQJUN10"/>
    <d v="2010-06-03T00:00:00"/>
    <s v="H4"/>
    <n v="17.920000000000002"/>
    <n v="12.24"/>
    <x v="16"/>
  </r>
  <r>
    <s v="WQJUL10"/>
    <d v="2010-07-09T00:00:00"/>
    <s v="H4"/>
    <n v="23.95"/>
    <n v="17.829999999999998"/>
    <x v="16"/>
  </r>
  <r>
    <s v="HYJUL10"/>
    <d v="2010-07-21T00:00:00"/>
    <s v="H4"/>
    <n v="25.26"/>
    <n v="19.05"/>
    <x v="16"/>
  </r>
  <r>
    <s v="WQAUG10"/>
    <d v="2010-08-04T00:00:00"/>
    <s v="H4"/>
    <n v="23.39"/>
    <n v="21.6"/>
    <x v="16"/>
  </r>
  <r>
    <s v="HYAUG10"/>
    <d v="2010-08-19T00:00:00"/>
    <s v="H4"/>
    <n v="23.97"/>
    <n v="21.76"/>
    <x v="16"/>
  </r>
  <r>
    <s v="WQSEP10"/>
    <d v="2010-09-01T00:00:00"/>
    <s v="H4"/>
    <n v="23.2"/>
    <n v="21.73"/>
    <x v="16"/>
  </r>
  <r>
    <s v="WQOCT10"/>
    <d v="2010-10-13T00:00:00"/>
    <s v="H4"/>
    <n v="18.87"/>
    <n v="19.07"/>
    <x v="16"/>
  </r>
  <r>
    <s v="WQNOV10"/>
    <d v="2010-11-03T00:00:00"/>
    <s v="H4"/>
    <n v="14.89"/>
    <n v="14.78"/>
    <x v="16"/>
  </r>
  <r>
    <s v="WQDEC10"/>
    <d v="2010-11-29T00:00:00"/>
    <s v="H4"/>
    <n v="10.93"/>
    <n v="10.7"/>
    <x v="16"/>
  </r>
  <r>
    <s v="WQJAN11"/>
    <d v="2011-01-06T00:00:00"/>
    <s v="H4"/>
    <n v="3.58"/>
    <n v="3.57"/>
    <x v="17"/>
  </r>
  <r>
    <s v="WQFEB11"/>
    <d v="2011-01-31T00:00:00"/>
    <s v="H4"/>
    <n v="1.1399999999999999"/>
    <n v="1.27"/>
    <x v="17"/>
  </r>
  <r>
    <s v="WQMAR11"/>
    <d v="2011-03-14T00:00:00"/>
    <s v="H4"/>
    <n v="3.09"/>
    <n v="2.11"/>
    <x v="17"/>
  </r>
  <r>
    <s v="WQAPR11"/>
    <d v="2011-04-12T00:00:00"/>
    <s v="H4"/>
    <n v="6.54"/>
    <n v="4.62"/>
    <x v="17"/>
  </r>
  <r>
    <s v="WQMAY11"/>
    <d v="2011-05-04T00:00:00"/>
    <s v="H4"/>
    <n v="10.71"/>
    <n v="7.08"/>
    <x v="17"/>
  </r>
  <r>
    <s v="WQJUN11"/>
    <d v="2011-06-06T00:00:00"/>
    <s v="H4"/>
    <n v="16.11"/>
    <n v="12.21"/>
    <x v="17"/>
  </r>
  <r>
    <s v="WQJUL11"/>
    <d v="2011-07-05T00:00:00"/>
    <s v="H4"/>
    <n v="21.62"/>
    <n v="17.47"/>
    <x v="17"/>
  </r>
  <r>
    <s v="HYJUL11"/>
    <d v="2011-07-20T00:00:00"/>
    <s v="H4"/>
    <n v="21.92"/>
    <n v="19.95"/>
    <x v="17"/>
  </r>
  <r>
    <s v="WQAUG11"/>
    <d v="2011-08-01T00:00:00"/>
    <s v="H4"/>
    <n v="23.77"/>
    <n v="20.079999999999998"/>
    <x v="17"/>
  </r>
  <r>
    <s v="HYAUG11"/>
    <d v="2011-08-17T00:00:00"/>
    <s v="H4"/>
    <n v="22.68"/>
    <n v="21.01"/>
    <x v="17"/>
  </r>
  <r>
    <s v="WQSEP11"/>
    <d v="2011-08-30T00:00:00"/>
    <s v="H4"/>
    <n v="22.77"/>
    <n v="22.25"/>
    <x v="17"/>
  </r>
  <r>
    <s v="WQOCT11"/>
    <d v="2011-10-07T00:00:00"/>
    <s v="H4"/>
    <n v="20.16"/>
    <n v="20.170000000000002"/>
    <x v="17"/>
  </r>
  <r>
    <s v="WQNOV11"/>
    <d v="2011-11-08T00:00:00"/>
    <s v="H4"/>
    <n v="14.47"/>
    <n v="14.47"/>
    <x v="17"/>
  </r>
  <r>
    <s v="WQDEC11"/>
    <d v="2011-11-28T00:00:00"/>
    <s v="H4"/>
    <n v="12.29"/>
    <n v="11.9"/>
    <x v="17"/>
  </r>
  <r>
    <s v="WQJAN12"/>
    <d v="2012-01-11T00:00:00"/>
    <s v="H4"/>
    <n v="6.56"/>
    <n v="7.46"/>
    <x v="18"/>
  </r>
  <r>
    <s v="WQFEB12"/>
    <d v="2012-02-03T00:00:00"/>
    <s v="H4"/>
    <n v="4.5999999999999996"/>
    <n v="4.6399999999999997"/>
    <x v="18"/>
  </r>
  <r>
    <s v="WQMAR12"/>
    <d v="2012-03-06T00:00:00"/>
    <s v="H4"/>
    <n v="4.71"/>
    <n v="5.12"/>
    <x v="18"/>
  </r>
  <r>
    <s v="WQAPR12"/>
    <d v="2012-04-04T00:00:00"/>
    <s v="H4"/>
    <n v="7.23"/>
    <n v="7.09"/>
    <x v="18"/>
  </r>
  <r>
    <s v="WQMAY12"/>
    <d v="2012-05-03T00:00:00"/>
    <s v="H4"/>
    <n v="10.87"/>
    <n v="10.29"/>
    <x v="18"/>
  </r>
  <r>
    <s v="WQJUN12"/>
    <d v="2012-05-31T00:00:00"/>
    <s v="H4"/>
    <n v="16.13"/>
    <n v="12.57"/>
    <x v="18"/>
  </r>
  <r>
    <s v="WQJUL12"/>
    <d v="2012-06-28T00:00:00"/>
    <s v="H4"/>
    <n v="21.06"/>
    <n v="17.36"/>
    <x v="18"/>
  </r>
  <r>
    <s v="HYJUL12"/>
    <d v="2012-07-18T00:00:00"/>
    <s v="H4"/>
    <n v="22.16"/>
    <n v="20.67"/>
    <x v="18"/>
  </r>
  <r>
    <s v="WQAUG12"/>
    <d v="2012-07-31T00:00:00"/>
    <s v="H4"/>
    <n v="23.32"/>
    <n v="21.01"/>
    <x v="18"/>
  </r>
  <r>
    <s v="HYAUG12"/>
    <d v="2012-08-14T00:00:00"/>
    <s v="H4"/>
    <n v="24.76"/>
    <n v="22.64"/>
    <x v="18"/>
  </r>
  <r>
    <s v="WQSEP12"/>
    <d v="2012-08-30T00:00:00"/>
    <s v="H4"/>
    <n v="24.25"/>
    <n v="22.98"/>
    <x v="18"/>
  </r>
  <r>
    <s v="WQOCT12"/>
    <d v="2012-10-04T00:00:00"/>
    <s v="H4"/>
    <n v="20.83"/>
    <n v="20.7"/>
    <x v="18"/>
  </r>
  <r>
    <s v="WQNOV12"/>
    <d v="2012-11-15T00:00:00"/>
    <s v="H4"/>
    <n v="12.87"/>
    <n v="12.87"/>
    <x v="18"/>
  </r>
  <r>
    <s v="WQDEC12"/>
    <d v="2012-12-03T00:00:00"/>
    <s v="H4"/>
    <n v="10.050000000000001"/>
    <n v="10.039999999999999"/>
    <x v="18"/>
  </r>
  <r>
    <s v="WQJAN13"/>
    <d v="2013-01-11T00:00:00"/>
    <s v="H4"/>
    <n v="5.36"/>
    <n v="5.36"/>
    <x v="19"/>
  </r>
  <r>
    <s v="WQFEB13"/>
    <d v="2013-01-28T00:00:00"/>
    <s v="H4"/>
    <n v="3.17"/>
    <n v="3.2"/>
    <x v="19"/>
  </r>
  <r>
    <s v="WQMAR13"/>
    <d v="2013-03-05T00:00:00"/>
    <s v="H4"/>
    <n v="2.52"/>
    <n v="2.57"/>
    <x v="19"/>
  </r>
  <r>
    <s v="WQAPR13"/>
    <d v="2013-04-01T00:00:00"/>
    <s v="H4"/>
    <n v="4.66"/>
    <n v="3.82"/>
    <x v="19"/>
  </r>
  <r>
    <s v="WQMAY13"/>
    <d v="2013-04-30T00:00:00"/>
    <s v="H4"/>
    <n v="9.35"/>
    <n v="7.96"/>
    <x v="19"/>
  </r>
  <r>
    <s v="WQJUN13"/>
    <d v="2013-06-03T00:00:00"/>
    <s v="H4"/>
    <n v="17.22"/>
    <n v="12.65"/>
    <x v="19"/>
  </r>
  <r>
    <s v="WQJUL13"/>
    <d v="2013-07-01T00:00:00"/>
    <s v="H4"/>
    <n v="21.75"/>
    <n v="17.07"/>
    <x v="19"/>
  </r>
  <r>
    <s v="HYJUL13"/>
    <d v="2013-07-16T00:00:00"/>
    <s v="H4"/>
    <n v="25.93"/>
    <n v="17.829999999999998"/>
    <x v="19"/>
  </r>
  <r>
    <s v="WQAUG13"/>
    <d v="2013-07-30T00:00:00"/>
    <s v="H4"/>
    <n v="23.3"/>
    <n v="20.68"/>
    <x v="19"/>
  </r>
  <r>
    <s v="HYAUG13"/>
    <d v="2013-08-13T00:00:00"/>
    <s v="H4"/>
    <n v="22.79"/>
    <n v="21.43"/>
    <x v="19"/>
  </r>
  <r>
    <s v="WQSEP13"/>
    <d v="2013-08-29T00:00:00"/>
    <s v="H4"/>
    <n v="23.07"/>
    <n v="21.74"/>
    <x v="19"/>
  </r>
  <r>
    <s v="WQOCT13"/>
    <d v="2013-10-03T00:00:00"/>
    <s v="H4"/>
    <n v="20.11"/>
    <n v="19.7"/>
    <x v="19"/>
  </r>
  <r>
    <s v="WQNOV13"/>
    <d v="2013-11-06T00:00:00"/>
    <s v="H4"/>
    <n v="15.28"/>
    <n v="15.11"/>
    <x v="19"/>
  </r>
  <r>
    <s v="WQDEC13"/>
    <d v="2013-12-09T00:00:00"/>
    <s v="H4"/>
    <n v="8.42"/>
    <n v="8.43"/>
    <x v="19"/>
  </r>
  <r>
    <s v="WQJAN14"/>
    <d v="2014-01-10T00:00:00"/>
    <s v="H4"/>
    <n v="2.42"/>
    <n v="3.07"/>
    <x v="20"/>
  </r>
  <r>
    <s v="WQFEB14"/>
    <d v="2014-02-03T00:00:00"/>
    <s v="H4"/>
    <n v="0.89"/>
    <n v="0.94"/>
    <x v="20"/>
  </r>
  <r>
    <s v="WQMAR14"/>
    <d v="2014-03-04T00:00:00"/>
    <s v="H4"/>
    <n v="0.37"/>
    <n v="0.25"/>
    <x v="20"/>
  </r>
  <r>
    <s v="WQAPR14"/>
    <d v="2014-04-03T00:00:00"/>
    <s v="H4"/>
    <n v="3.24"/>
    <n v="2.31"/>
    <x v="20"/>
  </r>
  <r>
    <s v="WQMAY14"/>
    <d v="2014-05-08T00:00:00"/>
    <s v="H4"/>
    <n v="9.0399999999999991"/>
    <n v="7.21"/>
    <x v="20"/>
  </r>
  <r>
    <s v="WQJUN14"/>
    <d v="2014-06-02T00:00:00"/>
    <s v="H4"/>
    <n v="15.58"/>
    <n v="10.92"/>
    <x v="20"/>
  </r>
  <r>
    <s v="WQJUL14"/>
    <d v="2014-06-30T00:00:00"/>
    <s v="H4"/>
    <n v="20.7"/>
    <n v="15.75"/>
    <x v="20"/>
  </r>
  <r>
    <s v="HYJUL14"/>
    <d v="2014-07-15T00:00:00"/>
    <s v="H4"/>
    <n v="22.29"/>
    <n v="19.12"/>
    <x v="20"/>
  </r>
  <r>
    <s v="WQAUG14"/>
    <d v="2014-08-05T00:00:00"/>
    <s v="H4"/>
    <n v="22.48"/>
    <n v="20.51"/>
    <x v="20"/>
  </r>
  <r>
    <s v="HYAUG14"/>
    <d v="2014-08-18T00:00:00"/>
    <s v="H4"/>
    <n v="22.3"/>
    <n v="21.29"/>
    <x v="20"/>
  </r>
  <r>
    <s v="WQSEP14"/>
    <d v="2014-09-03T00:00:00"/>
    <s v="H4"/>
    <n v="23.15"/>
    <n v="21.73"/>
    <x v="20"/>
  </r>
  <r>
    <s v="HYSEP14"/>
    <d v="2014-09-15T00:00:00"/>
    <s v="H4"/>
    <n v="21.61"/>
    <n v="21.62"/>
    <x v="20"/>
  </r>
  <r>
    <s v="WQOCT14"/>
    <d v="2014-10-03T00:00:00"/>
    <s v="H4"/>
    <n v="20.43"/>
    <n v="20.309999999999999"/>
    <x v="20"/>
  </r>
  <r>
    <s v="WQNOV14"/>
    <d v="2014-11-12T00:00:00"/>
    <s v="H4"/>
    <n v="14.2"/>
    <n v="14.09"/>
    <x v="20"/>
  </r>
  <r>
    <s v="WQDEC14"/>
    <d v="2014-12-15T00:00:00"/>
    <s v="H4"/>
    <n v="7.65"/>
    <n v="7.84"/>
    <x v="20"/>
  </r>
  <r>
    <s v="WQJAN15"/>
    <d v="2015-01-15T00:00:00"/>
    <s v="H4"/>
    <n v="3.27"/>
    <n v="3.25"/>
    <x v="21"/>
  </r>
  <r>
    <s v="WQFEB15"/>
    <d v="2015-02-10T00:00:00"/>
    <s v="H4"/>
    <n v="0.28000000000000003"/>
    <n v="0.28000000000000003"/>
    <x v="21"/>
  </r>
  <r>
    <s v="WQMAR15"/>
    <d v="2015-03-09T00:00:00"/>
    <s v="H4"/>
    <n v="-0.76"/>
    <n v="-1.1599999999999999"/>
    <x v="21"/>
  </r>
  <r>
    <s v="WQAPR15"/>
    <d v="2015-03-31T00:00:00"/>
    <s v="H4"/>
    <n v="1.75"/>
    <n v="0.94"/>
    <x v="21"/>
  </r>
  <r>
    <s v="WQMAY15"/>
    <d v="2015-05-04T00:00:00"/>
    <s v="H4"/>
    <n v="10.63"/>
    <n v="5.89"/>
    <x v="21"/>
  </r>
  <r>
    <s v="WQJUN15"/>
    <d v="2015-06-05T00:00:00"/>
    <s v="H4"/>
    <n v="13.98"/>
    <n v="11.1"/>
    <x v="21"/>
  </r>
  <r>
    <s v="HYJUN15"/>
    <d v="2015-06-17T00:00:00"/>
    <s v="H4"/>
    <n v="16.399999999999999"/>
    <n v="13.4"/>
    <x v="21"/>
  </r>
  <r>
    <s v="WQJUL15"/>
    <d v="2015-07-08T00:00:00"/>
    <s v="H4"/>
    <n v="22.27"/>
    <n v="16.420000000000002"/>
    <x v="21"/>
  </r>
  <r>
    <s v="HYJUL15"/>
    <d v="2015-07-23T00:00:00"/>
    <s v="H4"/>
    <n v="22.8"/>
    <n v="19.27"/>
    <x v="21"/>
  </r>
  <r>
    <s v="WQAUG15"/>
    <d v="2015-08-06T00:00:00"/>
    <s v="H4"/>
    <n v="22.56"/>
    <n v="20.82"/>
    <x v="21"/>
  </r>
  <r>
    <s v="HYAUG15"/>
    <d v="2015-08-18T00:00:00"/>
    <s v="H4"/>
    <n v="26.06"/>
    <n v="22.01"/>
    <x v="21"/>
  </r>
  <r>
    <s v="WQSEP15"/>
    <d v="2015-09-02T00:00:00"/>
    <s v="H4"/>
    <n v="24.87"/>
    <n v="23.17"/>
    <x v="21"/>
  </r>
  <r>
    <s v="WQOCT15"/>
    <d v="2015-10-13T00:00:00"/>
    <s v="H4"/>
    <n v="18.63"/>
    <n v="19.36"/>
    <x v="21"/>
  </r>
  <r>
    <s v="WQNOV15"/>
    <d v="2015-11-10T00:00:00"/>
    <s v="H4"/>
    <n v="15.06"/>
    <n v="15.31"/>
    <x v="21"/>
  </r>
  <r>
    <s v="WQDEC15"/>
    <d v="2015-12-14T00:00:00"/>
    <s v="H4"/>
    <n v="11.23"/>
    <n v="11.13"/>
    <x v="21"/>
  </r>
  <r>
    <s v="WQJAN16"/>
    <d v="2016-01-08T00:00:00"/>
    <s v="H4"/>
    <n v="7.52"/>
    <n v="7.53"/>
    <x v="22"/>
  </r>
  <r>
    <s v="WQFEB16"/>
    <d v="2016-02-02T00:00:00"/>
    <s v="H4"/>
    <n v="4.5"/>
    <n v="4.29"/>
    <x v="22"/>
  </r>
  <r>
    <s v="WQMAR16"/>
    <d v="2016-03-09T00:00:00"/>
    <s v="H4"/>
    <n v="4.2"/>
    <n v="3.82"/>
    <x v="22"/>
  </r>
  <r>
    <s v="WQAPR16"/>
    <d v="2016-04-06T00:00:00"/>
    <s v="H4"/>
    <n v="6.58"/>
    <n v="5.81"/>
    <x v="22"/>
  </r>
  <r>
    <s v="WQMAY16"/>
    <d v="2016-05-18T00:00:00"/>
    <s v="H4"/>
    <n v="10.79"/>
    <n v="10.08"/>
    <x v="22"/>
  </r>
  <r>
    <s v="WQJUN16"/>
    <d v="2016-06-14T00:00:00"/>
    <s v="H4"/>
    <n v="15.45"/>
    <n v="14.61"/>
    <x v="22"/>
  </r>
  <r>
    <s v="WQJUL16"/>
    <d v="2016-07-07T00:00:00"/>
    <s v="H4"/>
    <n v="22.2"/>
    <n v="18.57"/>
    <x v="22"/>
  </r>
  <r>
    <s v="HYJUL16"/>
    <d v="2016-07-18T00:00:00"/>
    <s v="H4"/>
    <m/>
    <m/>
    <x v="22"/>
  </r>
  <r>
    <s v="WQAUG16"/>
    <d v="2016-08-04T00:00:00"/>
    <s v="H4"/>
    <n v="23.03"/>
    <n v="20.83"/>
    <x v="22"/>
  </r>
  <r>
    <s v="HYAUG16"/>
    <d v="2016-08-16T00:00:00"/>
    <s v="H4"/>
    <n v="24.98"/>
    <n v="22.55"/>
    <x v="22"/>
  </r>
  <r>
    <s v="WQSEP16"/>
    <d v="2016-08-31T00:00:00"/>
    <s v="H4"/>
    <n v="24.78"/>
    <n v="23.45"/>
    <x v="22"/>
  </r>
  <r>
    <s v="HYSEP16"/>
    <d v="2016-09-12T00:00:00"/>
    <s v="H4"/>
    <n v="23.84"/>
    <n v="23.13"/>
    <x v="22"/>
  </r>
  <r>
    <s v="WQOCT16"/>
    <d v="2016-10-06T00:00:00"/>
    <s v="H4"/>
    <n v="20.77"/>
    <n v="20.51"/>
    <x v="22"/>
  </r>
  <r>
    <s v="WQNOV16"/>
    <d v="2016-11-08T00:00:00"/>
    <s v="H4"/>
    <n v="14.91"/>
    <n v="14.9"/>
    <x v="22"/>
  </r>
  <r>
    <s v="WQDEC16"/>
    <d v="2016-12-06T00:00:00"/>
    <s v="H4"/>
    <n v="10.039999999999999"/>
    <n v="10.220000000000001"/>
    <x v="22"/>
  </r>
  <r>
    <s v="WQJAN17"/>
    <d v="2017-01-06T00:00:00"/>
    <s v="H4"/>
    <n v="5.16"/>
    <n v="5.53"/>
    <x v="23"/>
  </r>
  <r>
    <s v="WQFEB17"/>
    <d v="2017-02-14T00:00:00"/>
    <s v="H4"/>
    <n v="2.98"/>
    <n v="2.88"/>
    <x v="23"/>
  </r>
  <r>
    <s v="WQMAR17"/>
    <d v="2017-03-06T00:00:00"/>
    <s v="H4"/>
    <n v="3.73"/>
    <n v="3.35"/>
    <x v="23"/>
  </r>
  <r>
    <s v="WQAPR17"/>
    <d v="2017-04-05T00:00:00"/>
    <s v="H4"/>
    <n v="4.1399999999999997"/>
    <n v="3.89"/>
    <x v="23"/>
  </r>
  <r>
    <s v="WQMAY17"/>
    <d v="2017-05-01T00:00:00"/>
    <s v="H4"/>
    <n v="8.57"/>
    <n v="7.21"/>
    <x v="23"/>
  </r>
  <r>
    <s v="WQJUN17"/>
    <d v="2017-06-08T00:00:00"/>
    <s v="H4"/>
    <n v="15.31"/>
    <n v="12.44"/>
    <x v="23"/>
  </r>
  <r>
    <s v="WQJUL17"/>
    <d v="2017-07-05T00:00:00"/>
    <s v="H4"/>
    <n v="22.7"/>
    <n v="18.190000000000001"/>
    <x v="23"/>
  </r>
  <r>
    <s v="HYJUL17"/>
    <d v="2017-07-20T00:00:00"/>
    <s v="H4"/>
    <n v="25.11"/>
    <n v="18.66"/>
    <x v="23"/>
  </r>
  <r>
    <s v="WQAUG17"/>
    <d v="2017-08-02T00:00:00"/>
    <s v="H4"/>
    <n v="24.34"/>
    <n v="20.350000000000001"/>
    <x v="23"/>
  </r>
  <r>
    <s v="HYAUG17"/>
    <d v="2017-08-14T00:00:00"/>
    <s v="H4"/>
    <n v="23.23"/>
    <n v="21.38"/>
    <x v="23"/>
  </r>
  <r>
    <s v="WQSEP17"/>
    <d v="2017-08-31T00:00:00"/>
    <s v="H4"/>
    <n v="22.34"/>
    <n v="21.86"/>
    <x v="23"/>
  </r>
  <r>
    <s v="WQOCT17"/>
    <d v="2017-10-11T00:00:00"/>
    <s v="H4"/>
    <n v="21.04"/>
    <n v="20.49"/>
    <x v="23"/>
  </r>
  <r>
    <s v="WQNOV17"/>
    <d v="2017-11-09T00:00:00"/>
    <s v="H4"/>
    <n v="16.649999999999999"/>
    <n v="16.63"/>
    <x v="23"/>
  </r>
  <r>
    <s v="WQDEC17"/>
    <d v="2017-12-04T00:00:00"/>
    <s v="H4"/>
    <n v="11.18"/>
    <n v="11.2"/>
    <x v="23"/>
  </r>
  <r>
    <s v="WQJAN18"/>
    <d v="2018-01-10T00:00:00"/>
    <s v="H4"/>
    <n v="2.06"/>
    <n v="2.16"/>
    <x v="24"/>
  </r>
  <r>
    <s v="WQFEB18"/>
    <d v="2018-02-06T00:00:00"/>
    <s v="H4"/>
    <n v="1.44"/>
    <n v="1.49"/>
    <x v="24"/>
  </r>
  <r>
    <s v="WQMAR18"/>
    <d v="2018-03-06T00:00:00"/>
    <s v="H4"/>
    <n v="3.24"/>
    <n v="2.87"/>
    <x v="24"/>
  </r>
  <r>
    <s v="WQAPR18"/>
    <d v="2018-04-09T00:00:00"/>
    <s v="H4"/>
    <n v="4.3099999999999996"/>
    <n v="4.03"/>
    <x v="24"/>
  </r>
  <r>
    <s v="WQMAY18"/>
    <d v="2018-05-01T00:00:00"/>
    <s v="H4"/>
    <n v="8.26"/>
    <n v="6.81"/>
    <x v="24"/>
  </r>
  <r>
    <s v="WQJUN18"/>
    <d v="2018-05-30T00:00:00"/>
    <s v="H4"/>
    <n v="15.23"/>
    <n v="10.41"/>
    <x v="24"/>
  </r>
  <r>
    <s v="WQJUL18"/>
    <d v="2018-07-02T00:00:00"/>
    <s v="H4"/>
    <n v="21.85"/>
    <n v="15.65"/>
    <x v="24"/>
  </r>
  <r>
    <s v="HYJUL18"/>
    <d v="2018-07-17T00:00:00"/>
    <s v="H4"/>
    <n v="22.48"/>
    <n v="18.62"/>
    <x v="24"/>
  </r>
  <r>
    <s v="WQAUG18"/>
    <d v="2018-07-31T00:00:00"/>
    <s v="H4"/>
    <n v="26.18"/>
    <n v="21.16"/>
    <x v="24"/>
  </r>
  <r>
    <s v="HYAUG18"/>
    <d v="2018-08-14T00:00:00"/>
    <s v="H4"/>
    <n v="24.7"/>
    <n v="22.55"/>
    <x v="24"/>
  </r>
  <r>
    <s v="WQSEP18"/>
    <d v="2018-08-28T00:00:00"/>
    <s v="H4"/>
    <n v="26.01"/>
    <n v="22.64"/>
    <x v="24"/>
  </r>
  <r>
    <s v="WQOCT18"/>
    <d v="2018-10-02T00:00:00"/>
    <s v="H4"/>
    <n v="21.4"/>
    <n v="21.33"/>
    <x v="24"/>
  </r>
  <r>
    <s v="WQNOV18"/>
    <d v="2018-11-08T00:00:00"/>
    <s v="H4"/>
    <n v="14.34"/>
    <n v="14.68"/>
    <x v="24"/>
  </r>
  <r>
    <s v="WQDEC18"/>
    <d v="2018-11-30T00:00:00"/>
    <s v="H4"/>
    <n v="9.1300000000000008"/>
    <n v="9.52"/>
    <x v="24"/>
  </r>
  <r>
    <s v="WQJAN19"/>
    <d v="2019-01-02T00:00:00"/>
    <s v="H4"/>
    <n v="5.91"/>
    <n v="6.04"/>
    <x v="25"/>
  </r>
  <r>
    <s v="WQFEB19"/>
    <d v="2019-02-04T00:00:00"/>
    <s v="H4"/>
    <n v="2.12"/>
    <n v="1.95"/>
    <x v="25"/>
  </r>
  <r>
    <s v="WQMAR19"/>
    <d v="2019-03-08T00:00:00"/>
    <s v="H4"/>
    <n v="1.51"/>
    <n v="1.74"/>
    <x v="25"/>
  </r>
  <r>
    <s v="WQAPR19"/>
    <d v="2019-04-04T00:00:00"/>
    <s v="H4"/>
    <n v="4.67"/>
    <n v="4.3899999999999997"/>
    <x v="25"/>
  </r>
  <r>
    <s v="WQMAY19"/>
    <d v="2019-05-08T00:00:00"/>
    <s v="H4"/>
    <n v="11.32"/>
    <n v="8.7899999999999991"/>
    <x v="25"/>
  </r>
  <r>
    <s v="WQJUN19"/>
    <d v="2019-05-29T00:00:00"/>
    <s v="H4"/>
    <n v="14.9"/>
    <n v="11.4"/>
    <x v="25"/>
  </r>
  <r>
    <s v="WQJUL19"/>
    <d v="2019-07-01T00:00:00"/>
    <s v="H4"/>
    <n v="19.22"/>
    <n v="15.73"/>
    <x v="25"/>
  </r>
  <r>
    <s v="HYJUL19"/>
    <d v="2019-07-17T00:00:00"/>
    <s v="H4"/>
    <n v="24.15"/>
    <n v="18.98"/>
    <x v="25"/>
  </r>
  <r>
    <s v="WQAUG19"/>
    <d v="2019-07-29T00:00:00"/>
    <s v="H4"/>
    <n v="24.16"/>
    <n v="19.61"/>
    <x v="25"/>
  </r>
  <r>
    <s v="HYAUG19"/>
    <d v="2019-08-13T00:00:00"/>
    <s v="H4"/>
    <n v="23.14"/>
    <n v="21.61"/>
    <x v="25"/>
  </r>
  <r>
    <s v="WQSEP19"/>
    <d v="2019-08-29T00:00:00"/>
    <s v="H4"/>
    <n v="23.08"/>
    <n v="21.89"/>
    <x v="25"/>
  </r>
  <r>
    <s v="WQOCT19"/>
    <d v="2019-09-30T00:00:00"/>
    <s v="H4"/>
    <n v="21.16"/>
    <n v="20.85"/>
    <x v="25"/>
  </r>
  <r>
    <s v="WQNOV19"/>
    <d v="2019-11-04T00:00:00"/>
    <s v="H4"/>
    <n v="15.89"/>
    <n v="15.89"/>
    <x v="25"/>
  </r>
  <r>
    <s v="WQDEC19"/>
    <d v="2019-12-16T00:00:00"/>
    <s v="H4"/>
    <n v="7.27"/>
    <n v="7.5"/>
    <x v="25"/>
  </r>
  <r>
    <s v="WQJAN20"/>
    <d v="2020-01-10T00:00:00"/>
    <s v="H4"/>
    <n v="4.88"/>
    <n v="4.95"/>
    <x v="26"/>
  </r>
  <r>
    <s v="WQFEB20"/>
    <d v="2020-02-11T00:00:00"/>
    <s v="H4"/>
    <n v="4.16"/>
    <n v="4.12"/>
    <x v="26"/>
  </r>
  <r>
    <s v="WQMAR20"/>
    <d v="2020-03-11T00:00:00"/>
    <s v="H4"/>
    <n v="4.7300000000000004"/>
    <n v="4.32"/>
    <x v="26"/>
  </r>
  <r>
    <s v="WQJUN20"/>
    <d v="2020-06-16T00:00:00"/>
    <s v="H4"/>
    <n v="16.649999999999999"/>
    <n v="13.95"/>
    <x v="26"/>
  </r>
  <r>
    <s v="WQJUL20"/>
    <d v="2020-07-08T00:00:00"/>
    <s v="H4"/>
    <n v="21.42"/>
    <n v="18.23"/>
    <x v="26"/>
  </r>
  <r>
    <s v="HYJUL20"/>
    <d v="2020-07-21T00:00:00"/>
    <s v="H4"/>
    <n v="26.05"/>
    <n v="18.14"/>
    <x v="26"/>
  </r>
  <r>
    <s v="WQAUG20"/>
    <d v="2020-08-11T00:00:00"/>
    <s v="H4"/>
    <n v="25.79"/>
    <n v="22.38"/>
    <x v="26"/>
  </r>
  <r>
    <s v="HYAUG20"/>
    <d v="2020-08-26T00:00:00"/>
    <s v="H4"/>
    <n v="23.71"/>
    <n v="22.91"/>
    <x v="26"/>
  </r>
  <r>
    <s v="WQSEP20"/>
    <d v="2020-09-08T00:00:00"/>
    <s v="H4"/>
    <n v="23.61"/>
    <n v="22.86"/>
    <x v="26"/>
  </r>
  <r>
    <s v="WQOCT20"/>
    <d v="2020-10-15T00:00:00"/>
    <s v="H4"/>
    <n v="18.87"/>
    <n v="18.66"/>
    <x v="26"/>
  </r>
  <r>
    <s v="WQNOV20"/>
    <d v="2020-11-05T00:00:00"/>
    <s v="H4"/>
    <n v="15.25"/>
    <n v="15.12"/>
    <x v="26"/>
  </r>
  <r>
    <s v="WQMAR21"/>
    <d v="2021-03-09T00:00:00"/>
    <s v="H4"/>
    <n v="2.88"/>
    <n v="2.4"/>
    <x v="27"/>
  </r>
  <r>
    <s v="WQAPR21"/>
    <d v="2021-04-06T00:00:00"/>
    <s v="H4"/>
    <n v="6"/>
    <n v="5.04"/>
    <x v="27"/>
  </r>
  <r>
    <s v="WQMAY21"/>
    <d v="2021-05-04T00:00:00"/>
    <s v="H4"/>
    <n v="9.3800000000000008"/>
    <n v="8.32"/>
    <x v="27"/>
  </r>
  <r>
    <s v="WQJUN21"/>
    <d v="2021-06-09T00:00:00"/>
    <s v="H4"/>
    <n v="18.760000000000002"/>
    <n v="12.62"/>
    <x v="27"/>
  </r>
  <r>
    <s v="WQJUL21"/>
    <d v="2021-07-12T00:00:00"/>
    <s v="H4"/>
    <n v="21.92"/>
    <n v="17.86"/>
    <x v="27"/>
  </r>
  <r>
    <s v="HYJUL21"/>
    <d v="2021-07-20T00:00:00"/>
    <s v="H4"/>
    <n v="22.73"/>
    <n v="18.48"/>
    <x v="27"/>
  </r>
  <r>
    <s v="WQAUG21"/>
    <d v="2021-08-04T00:00:00"/>
    <s v="H4"/>
    <n v="22.89"/>
    <n v="20.52"/>
    <x v="27"/>
  </r>
  <r>
    <s v="HYAUG21"/>
    <d v="2021-08-17T00:00:00"/>
    <s v="H4"/>
    <n v="24.83"/>
    <n v="20.87"/>
    <x v="27"/>
  </r>
  <r>
    <s v="WQSEP21"/>
    <d v="2021-09-01T00:00:00"/>
    <s v="H4"/>
    <n v="23.93"/>
    <n v="22.09"/>
    <x v="27"/>
  </r>
  <r>
    <s v="WQOCT21"/>
    <d v="2021-10-06T00:00:00"/>
    <s v="H4"/>
    <n v="21"/>
    <n v="21.06"/>
    <x v="27"/>
  </r>
  <r>
    <s v="WQNOV21"/>
    <d v="2021-11-09T00:00:00"/>
    <s v="H4"/>
    <n v="16.100000000000001"/>
    <n v="16.13"/>
    <x v="27"/>
  </r>
  <r>
    <s v="WQDEC21"/>
    <d v="2021-12-08T00:00:00"/>
    <s v="H4"/>
    <n v="10.18"/>
    <n v="10.29"/>
    <x v="27"/>
  </r>
  <r>
    <s v="WQFEB22"/>
    <d v="2022-02-03T00:00:00"/>
    <s v="H4"/>
    <n v="2.84"/>
    <n v="2.67"/>
    <x v="28"/>
  </r>
  <r>
    <s v="WQMAR22"/>
    <d v="2022-03-07T00:00:00"/>
    <s v="H4"/>
    <n v="3.43"/>
    <n v="3.06"/>
    <x v="28"/>
  </r>
  <r>
    <s v="WQAPR22"/>
    <d v="2022-04-08T00:00:00"/>
    <s v="H4"/>
    <n v="5.99"/>
    <n v="5.47"/>
    <x v="28"/>
  </r>
  <r>
    <s v="WQMAY22"/>
    <d v="2022-05-06T00:00:00"/>
    <s v="H4"/>
    <n v="10.49"/>
    <n v="8.5"/>
    <x v="28"/>
  </r>
  <r>
    <s v="WQJUN22"/>
    <d v="2022-06-06T00:00:00"/>
    <s v="H4"/>
    <n v="17.98"/>
    <n v="13.12"/>
    <x v="28"/>
  </r>
  <r>
    <s v="WQJUL22"/>
    <d v="2022-07-08T00:00:00"/>
    <s v="H4"/>
    <n v="21.11"/>
    <n v="18.420000000000002"/>
    <x v="28"/>
  </r>
  <r>
    <s v="HYJUL22"/>
    <d v="2022-07-20T00:00:00"/>
    <s v="H4"/>
    <n v="23.44"/>
    <n v="18.809999999999999"/>
    <x v="28"/>
  </r>
  <r>
    <s v="WQAUG22"/>
    <d v="2022-08-03T00:00:00"/>
    <s v="H4"/>
    <n v="23.49"/>
    <n v="21.25"/>
    <x v="28"/>
  </r>
  <r>
    <s v="HYAUG22"/>
    <d v="2022-08-18T00:00:00"/>
    <s v="H4"/>
    <n v="23.75"/>
    <n v="22.09"/>
    <x v="28"/>
  </r>
  <r>
    <s v="WQSEP22"/>
    <d v="2022-09-02T00:00:00"/>
    <s v="H4"/>
    <n v="24.53"/>
    <n v="23.21"/>
    <x v="28"/>
  </r>
  <r>
    <s v="WQOCT22"/>
    <d v="2022-10-06T00:00:00"/>
    <s v="H4"/>
    <n v="19.510000000000002"/>
    <n v="18.77"/>
    <x v="28"/>
  </r>
  <r>
    <s v="WQNOV22"/>
    <d v="2022-11-10T00:00:00"/>
    <s v="H4"/>
    <n v="16.100000000000001"/>
    <n v="16.100000000000001"/>
    <x v="28"/>
  </r>
  <r>
    <s v="WQDEC22"/>
    <d v="2022-12-06T00:00:00"/>
    <s v="H4"/>
    <n v="10.64"/>
    <n v="10.65"/>
    <x v="28"/>
  </r>
  <r>
    <s v="WQJAN23"/>
    <d v="2023-01-06T00:00:00"/>
    <s v="H4"/>
    <n v="5.57"/>
    <n v="5.87"/>
    <x v="29"/>
  </r>
  <r>
    <s v="WQFEB23"/>
    <d v="2023-02-08T00:00:00"/>
    <s v="H4"/>
    <n v="4.0199999999999996"/>
    <n v="4.2699999999999996"/>
    <x v="29"/>
  </r>
  <r>
    <s v="WQMAY23"/>
    <d v="2023-05-05T00:00:00"/>
    <s v="H4"/>
    <n v="11.44"/>
    <n v="9.5299999999999994"/>
    <x v="29"/>
  </r>
  <r>
    <s v="WQJUN23"/>
    <d v="2023-06-02T00:00:00"/>
    <s v="H4"/>
    <n v="17.79"/>
    <n v="12.38"/>
    <x v="29"/>
  </r>
  <r>
    <s v="WQJUL23"/>
    <d v="2023-07-05T00:00:00"/>
    <s v="H4"/>
    <n v="23.15"/>
    <n v="18.309999999999999"/>
    <x v="29"/>
  </r>
  <r>
    <s v="HYJUL23"/>
    <d v="2023-07-19T00:00:00"/>
    <s v="H4"/>
    <n v="24.6"/>
    <n v="18.059999999999999"/>
    <x v="29"/>
  </r>
  <r>
    <s v="WQAUG23"/>
    <d v="2023-08-03T00:00:00"/>
    <s v="H4"/>
    <n v="23.89"/>
    <n v="20.71"/>
    <x v="29"/>
  </r>
  <r>
    <s v="HYAUG23"/>
    <d v="2023-08-16T00:00:00"/>
    <s v="H4"/>
    <n v="23.52"/>
    <n v="21.74"/>
    <x v="29"/>
  </r>
  <r>
    <s v="WQSEP23"/>
    <d v="2023-09-06T00:00:00"/>
    <s v="H4"/>
    <n v="24.13"/>
    <n v="21.7"/>
    <x v="29"/>
  </r>
  <r>
    <s v="WQOCT23"/>
    <d v="2023-10-05T00:00:00"/>
    <s v="H4"/>
    <n v="20.82"/>
    <n v="19.670000000000002"/>
    <x v="29"/>
  </r>
  <r>
    <s v="WQNOV23"/>
    <d v="2023-11-09T00:00:00"/>
    <s v="H4"/>
    <n v="14.89"/>
    <n v="15.19"/>
    <x v="29"/>
  </r>
  <r>
    <s v="WQDEC23"/>
    <d v="2023-12-05T00:00:00"/>
    <s v="H4"/>
    <n v="10.45"/>
    <n v="10.74"/>
    <x v="29"/>
  </r>
  <r>
    <s v="WQJAN24"/>
    <d v="2024-01-04T00:00:00"/>
    <s v="H4"/>
    <n v="6.81"/>
    <n v="8.1"/>
    <x v="30"/>
  </r>
  <r>
    <s v="WQFEB24"/>
    <d v="2024-02-07T00:00:00"/>
    <s v="H4"/>
    <n v="4"/>
    <n v="4.1900000000000004"/>
    <x v="30"/>
  </r>
  <r>
    <s v="WQMAR24"/>
    <d v="2024-03-07T00:00:00"/>
    <s v="H4"/>
    <n v="5.03"/>
    <n v="4.5"/>
    <x v="30"/>
  </r>
  <r>
    <s v="WQAPR24"/>
    <d v="2024-04-01T00:00:00"/>
    <s v="H4"/>
    <n v="6.55"/>
    <n v="5.7"/>
    <x v="30"/>
  </r>
  <r>
    <s v="WQMAY24"/>
    <d v="2024-05-02T00:00:00"/>
    <s v="H4"/>
    <n v="11.07"/>
    <n v="8.19"/>
    <x v="30"/>
  </r>
  <r>
    <s v="WQJUN24"/>
    <d v="2024-05-31T00:00:00"/>
    <s v="H4"/>
    <n v="15.17"/>
    <n v="11.29"/>
    <x v="30"/>
  </r>
  <r>
    <s v="WQJUL24"/>
    <d v="2024-07-03T00:00:00"/>
    <s v="H4"/>
    <n v="21.56"/>
    <n v="17.79"/>
    <x v="30"/>
  </r>
  <r>
    <s v="HYJUL24"/>
    <d v="2024-07-15T00:00:00"/>
    <s v="H4"/>
    <n v="22.25"/>
    <n v="18.18"/>
    <x v="30"/>
  </r>
  <r>
    <s v="WQAUG24"/>
    <d v="2024-08-01T00:00:00"/>
    <s v="H4"/>
    <n v="25"/>
    <n v="19.989999999999998"/>
    <x v="30"/>
  </r>
  <r>
    <s v="HYAUG24"/>
    <d v="2024-08-13T00:00:00"/>
    <s v="H4"/>
    <n v="23.76"/>
    <n v="20.9"/>
    <x v="30"/>
  </r>
  <r>
    <s v="WQSEP24"/>
    <d v="2024-08-28T00:00:00"/>
    <s v="H4"/>
    <n v="23.82"/>
    <n v="21.88"/>
    <x v="30"/>
  </r>
  <r>
    <s v="WQOCT24"/>
    <d v="2024-10-04T00:00:00"/>
    <s v="H4"/>
    <n v="20.62"/>
    <n v="20.38"/>
    <x v="30"/>
  </r>
  <r>
    <m/>
    <m/>
    <m/>
    <m/>
    <m/>
    <x v="3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4">
  <r>
    <s v="HYJUN94"/>
    <d v="1994-06-23T00:00:00"/>
    <s v="H2"/>
    <n v="19.670000000000002"/>
    <m/>
    <x v="0"/>
  </r>
  <r>
    <s v="WQDEC94"/>
    <d v="1994-12-06T00:00:00"/>
    <s v="H2"/>
    <n v="10.25"/>
    <n v="10.36"/>
    <x v="0"/>
  </r>
  <r>
    <s v="WQJAN95"/>
    <d v="1995-01-09T00:00:00"/>
    <s v="H2"/>
    <n v="4.33"/>
    <n v="5.15"/>
    <x v="1"/>
  </r>
  <r>
    <s v="WQFEB95"/>
    <d v="1995-02-09T00:00:00"/>
    <s v="H2"/>
    <n v="1.47"/>
    <n v="2.44"/>
    <x v="1"/>
  </r>
  <r>
    <s v="WQMAR95"/>
    <d v="1995-03-10T00:00:00"/>
    <s v="H2"/>
    <n v="2.0699999999999998"/>
    <n v="2.08"/>
    <x v="1"/>
  </r>
  <r>
    <s v="WQAPR95"/>
    <d v="1995-04-07T00:00:00"/>
    <s v="H2"/>
    <n v="4.58"/>
    <n v="4.2705000000000002"/>
    <x v="1"/>
  </r>
  <r>
    <s v="WQMAY95"/>
    <d v="1995-05-10T00:00:00"/>
    <s v="H2"/>
    <n v="10.61"/>
    <n v="8.42"/>
    <x v="1"/>
  </r>
  <r>
    <s v="WQJUN95"/>
    <d v="1995-06-06T00:00:00"/>
    <s v="H2"/>
    <n v="16.02"/>
    <n v="11.93"/>
    <x v="1"/>
  </r>
  <r>
    <s v="HYJUN95"/>
    <d v="1995-06-22T00:00:00"/>
    <s v="H2"/>
    <n v="18.39"/>
    <n v="17.994599999999998"/>
    <x v="1"/>
  </r>
  <r>
    <s v="WQJUL95"/>
    <d v="1995-07-10T00:00:00"/>
    <s v="H2"/>
    <n v="19.04"/>
    <n v="16.54"/>
    <x v="1"/>
  </r>
  <r>
    <s v="HYJUL95"/>
    <d v="1995-07-20T00:00:00"/>
    <s v="H2"/>
    <n v="22.67"/>
    <n v="19.37"/>
    <x v="1"/>
  </r>
  <r>
    <s v="WQAUG95"/>
    <d v="1995-08-01T00:00:00"/>
    <s v="H2"/>
    <n v="24.1"/>
    <n v="19.32"/>
    <x v="1"/>
  </r>
  <r>
    <s v="HYAUG95"/>
    <d v="1995-08-15T00:00:00"/>
    <s v="H2"/>
    <n v="24.06"/>
    <m/>
    <x v="1"/>
  </r>
  <r>
    <s v="WQSEP95"/>
    <d v="1995-09-12T00:00:00"/>
    <s v="H2"/>
    <n v="21.43"/>
    <n v="21.43"/>
    <x v="1"/>
  </r>
  <r>
    <s v="WQOCT95"/>
    <d v="1995-10-03T00:00:00"/>
    <s v="H2"/>
    <n v="19.16"/>
    <n v="18.745699999999999"/>
    <x v="1"/>
  </r>
  <r>
    <s v="WQDEC95"/>
    <d v="1995-12-05T00:00:00"/>
    <s v="H2"/>
    <n v="8.86"/>
    <n v="8.91"/>
    <x v="1"/>
  </r>
  <r>
    <s v="WQJAN96"/>
    <d v="1996-01-10T00:00:00"/>
    <s v="H2"/>
    <n v="0.5"/>
    <n v="0.5"/>
    <x v="2"/>
  </r>
  <r>
    <s v="WQFEB96"/>
    <d v="1996-02-07T00:00:00"/>
    <s v="H2"/>
    <n v="0.41"/>
    <n v="0.38"/>
    <x v="2"/>
  </r>
  <r>
    <s v="WQMAR96"/>
    <d v="1996-03-06T00:00:00"/>
    <s v="H2"/>
    <n v="0.68"/>
    <n v="0.67"/>
    <x v="2"/>
  </r>
  <r>
    <s v="WQAPR96"/>
    <d v="1996-04-03T00:00:00"/>
    <s v="H2"/>
    <n v="3.42"/>
    <n v="3.14"/>
    <x v="2"/>
  </r>
  <r>
    <s v="WQMAY96"/>
    <d v="1996-05-10T00:00:00"/>
    <s v="H2"/>
    <n v="9.18"/>
    <n v="9.0500000000000007"/>
    <x v="2"/>
  </r>
  <r>
    <s v="WQJUN96"/>
    <d v="1996-06-05T00:00:00"/>
    <s v="H2"/>
    <n v="12.3"/>
    <n v="10.99"/>
    <x v="2"/>
  </r>
  <r>
    <s v="HYJUN96"/>
    <d v="1996-06-25T00:00:00"/>
    <s v="H2"/>
    <n v="19.190000000000001"/>
    <n v="14.65"/>
    <x v="2"/>
  </r>
  <r>
    <s v="WQJUL96"/>
    <d v="1996-07-10T00:00:00"/>
    <s v="H2"/>
    <n v="20.3"/>
    <n v="16.309999999999999"/>
    <x v="2"/>
  </r>
  <r>
    <s v="HYJUL96"/>
    <d v="1996-07-23T00:00:00"/>
    <s v="H2"/>
    <n v="19.489999999999998"/>
    <n v="18.239999999999998"/>
    <x v="2"/>
  </r>
  <r>
    <s v="WQAUG96"/>
    <d v="1996-08-06T00:00:00"/>
    <s v="H2"/>
    <n v="24.45"/>
    <n v="19.5"/>
    <x v="2"/>
  </r>
  <r>
    <s v="HYAUG96"/>
    <d v="1996-08-20T00:00:00"/>
    <s v="H2"/>
    <n v="23.5"/>
    <m/>
    <x v="2"/>
  </r>
  <r>
    <s v="WQSEP96"/>
    <d v="1996-09-04T00:00:00"/>
    <s v="H2"/>
    <n v="22.75"/>
    <n v="21.37"/>
    <x v="2"/>
  </r>
  <r>
    <s v="WQOCT96"/>
    <d v="1996-10-02T00:00:00"/>
    <s v="H2"/>
    <n v="19.600000000000001"/>
    <n v="19.57"/>
    <x v="2"/>
  </r>
  <r>
    <s v="WQNOV96"/>
    <d v="1996-11-07T00:00:00"/>
    <s v="H2"/>
    <n v="13.82"/>
    <n v="13.8"/>
    <x v="2"/>
  </r>
  <r>
    <s v="WQDEC96"/>
    <d v="1996-12-03T00:00:00"/>
    <s v="H2"/>
    <n v="8.9"/>
    <n v="9.57"/>
    <x v="2"/>
  </r>
  <r>
    <s v="WQJAN97"/>
    <d v="1997-01-14T00:00:00"/>
    <s v="H2"/>
    <n v="3.83"/>
    <n v="3.85"/>
    <x v="3"/>
  </r>
  <r>
    <s v="WQFEB97"/>
    <d v="1997-02-06T00:00:00"/>
    <s v="H2"/>
    <n v="2.2000000000000002"/>
    <n v="2.2400000000000002"/>
    <x v="3"/>
  </r>
  <r>
    <s v="WQMAR97"/>
    <d v="1997-03-05T00:00:00"/>
    <s v="H2"/>
    <n v="3.08"/>
    <n v="3.07"/>
    <x v="3"/>
  </r>
  <r>
    <s v="WQAPR97"/>
    <d v="1997-04-04T00:00:00"/>
    <s v="H2"/>
    <n v="5.12"/>
    <n v="4.41"/>
    <x v="3"/>
  </r>
  <r>
    <s v="WQMAY97"/>
    <d v="1997-05-09T00:00:00"/>
    <s v="H2"/>
    <n v="9.26"/>
    <n v="8.69"/>
    <x v="3"/>
  </r>
  <r>
    <s v="WQJUN97"/>
    <d v="1997-06-03T00:00:00"/>
    <s v="H2"/>
    <n v="13.85"/>
    <n v="13.78"/>
    <x v="3"/>
  </r>
  <r>
    <s v="HYJUL97"/>
    <d v="1997-07-24T00:00:00"/>
    <s v="H2"/>
    <n v="20.23"/>
    <m/>
    <x v="3"/>
  </r>
  <r>
    <s v="WQAUG97"/>
    <d v="1997-08-06T00:00:00"/>
    <s v="H2"/>
    <n v="20.71"/>
    <n v="19.52"/>
    <x v="3"/>
  </r>
  <r>
    <s v="HYAUG97"/>
    <d v="1997-08-19T00:00:00"/>
    <s v="H2"/>
    <n v="21.9"/>
    <n v="20.79"/>
    <x v="3"/>
  </r>
  <r>
    <s v="WQSEP97"/>
    <d v="1997-09-03T00:00:00"/>
    <s v="H2"/>
    <n v="21.64"/>
    <n v="20.97"/>
    <x v="3"/>
  </r>
  <r>
    <s v="WQOCT97"/>
    <d v="1997-10-06T00:00:00"/>
    <s v="H2"/>
    <n v="18.61"/>
    <n v="18.29"/>
    <x v="3"/>
  </r>
  <r>
    <s v="WQNOV97"/>
    <d v="1997-11-05T00:00:00"/>
    <s v="H2"/>
    <n v="13.86"/>
    <n v="14"/>
    <x v="3"/>
  </r>
  <r>
    <s v="WQDEC97"/>
    <d v="1997-12-05T00:00:00"/>
    <s v="H2"/>
    <n v="8.41"/>
    <n v="8.42"/>
    <x v="3"/>
  </r>
  <r>
    <s v="WQJAN98"/>
    <d v="1998-01-07T00:00:00"/>
    <s v="H2"/>
    <n v="5"/>
    <n v="5"/>
    <x v="4"/>
  </r>
  <r>
    <s v="WQFEB98"/>
    <d v="1998-02-03T00:00:00"/>
    <s v="H2"/>
    <n v="3.62"/>
    <n v="3.64"/>
    <x v="4"/>
  </r>
  <r>
    <s v="WQMAR98"/>
    <d v="1998-02-27T00:00:00"/>
    <s v="H2"/>
    <n v="4.43"/>
    <n v="4.13"/>
    <x v="4"/>
  </r>
  <r>
    <s v="WQAPR98"/>
    <d v="1998-04-15T00:00:00"/>
    <s v="H2"/>
    <n v="7.54"/>
    <n v="7.51"/>
    <x v="4"/>
  </r>
  <r>
    <s v="WQMAY98"/>
    <d v="1998-05-08T00:00:00"/>
    <s v="H2"/>
    <n v="11.58"/>
    <n v="10.8"/>
    <x v="4"/>
  </r>
  <r>
    <s v="WQJUN98"/>
    <d v="1998-06-03T00:00:00"/>
    <s v="H2"/>
    <n v="15.9"/>
    <n v="12.7"/>
    <x v="4"/>
  </r>
  <r>
    <s v="HYJUN98"/>
    <d v="1998-06-24T00:00:00"/>
    <s v="H2"/>
    <n v="19.09"/>
    <n v="17.2"/>
    <x v="4"/>
  </r>
  <r>
    <s v="WQJUL98"/>
    <d v="1998-07-07T00:00:00"/>
    <s v="H2"/>
    <n v="21.47"/>
    <m/>
    <x v="4"/>
  </r>
  <r>
    <s v="HYJUL98"/>
    <d v="1998-07-21T00:00:00"/>
    <s v="H2"/>
    <n v="21.7"/>
    <m/>
    <x v="4"/>
  </r>
  <r>
    <s v="WQAUG98"/>
    <d v="1998-08-05T00:00:00"/>
    <s v="H2"/>
    <n v="22.78"/>
    <n v="19.149999999999999"/>
    <x v="4"/>
  </r>
  <r>
    <s v="HYAUG98"/>
    <d v="1998-08-18T00:00:00"/>
    <s v="H2"/>
    <n v="24.71"/>
    <n v="21.84"/>
    <x v="4"/>
  </r>
  <r>
    <s v="WQSEP98"/>
    <d v="1998-09-01T00:00:00"/>
    <s v="H2"/>
    <n v="24.05"/>
    <n v="21.69"/>
    <x v="4"/>
  </r>
  <r>
    <s v="WQOCT98"/>
    <d v="1998-10-05T00:00:00"/>
    <s v="H2"/>
    <n v="19.32"/>
    <n v="19.260000000000002"/>
    <x v="4"/>
  </r>
  <r>
    <s v="WQNOV98"/>
    <d v="1998-11-04T00:00:00"/>
    <s v="H2"/>
    <n v="13.88"/>
    <n v="13.9"/>
    <x v="4"/>
  </r>
  <r>
    <s v="WQDEC98"/>
    <d v="1998-11-30T00:00:00"/>
    <s v="H2"/>
    <n v="10.3"/>
    <n v="10.56"/>
    <x v="4"/>
  </r>
  <r>
    <s v="WQJAN99"/>
    <d v="1999-01-06T00:00:00"/>
    <s v="H2"/>
    <n v="3.84"/>
    <n v="4.4000000000000004"/>
    <x v="5"/>
  </r>
  <r>
    <s v="WQFEB99"/>
    <d v="1999-02-02T00:00:00"/>
    <s v="H2"/>
    <n v="2.86"/>
    <n v="2.86"/>
    <x v="5"/>
  </r>
  <r>
    <s v="WQMAR99"/>
    <d v="1999-03-05T00:00:00"/>
    <s v="H2"/>
    <n v="3.68"/>
    <n v="3.2"/>
    <x v="5"/>
  </r>
  <r>
    <s v="WQAPR99"/>
    <d v="1999-04-06T00:00:00"/>
    <s v="H2"/>
    <n v="6.26"/>
    <n v="5.48"/>
    <x v="5"/>
  </r>
  <r>
    <s v="WQMAY99"/>
    <d v="1999-05-05T00:00:00"/>
    <s v="H2"/>
    <n v="9.83"/>
    <n v="9.14"/>
    <x v="5"/>
  </r>
  <r>
    <s v="WQJUN99"/>
    <d v="1999-06-02T00:00:00"/>
    <s v="H2"/>
    <n v="14.22"/>
    <n v="12.74"/>
    <x v="5"/>
  </r>
  <r>
    <s v="HYJUN99"/>
    <d v="1999-06-22T00:00:00"/>
    <s v="H2"/>
    <n v="18.670000000000002"/>
    <n v="15.84"/>
    <x v="5"/>
  </r>
  <r>
    <s v="WQJUL99"/>
    <d v="1999-07-08T00:00:00"/>
    <s v="H2"/>
    <n v="22.15"/>
    <n v="18.95"/>
    <x v="5"/>
  </r>
  <r>
    <s v="HYJUL99"/>
    <d v="1999-07-20T00:00:00"/>
    <s v="H2"/>
    <n v="23.57"/>
    <n v="19.940000000000001"/>
    <x v="5"/>
  </r>
  <r>
    <s v="WQAUG99"/>
    <d v="1999-08-03T00:00:00"/>
    <s v="H2"/>
    <n v="24.06"/>
    <n v="21.86"/>
    <x v="5"/>
  </r>
  <r>
    <s v="HYAUG99"/>
    <d v="1999-08-17T00:00:00"/>
    <s v="H2"/>
    <n v="24.39"/>
    <n v="21.95"/>
    <x v="5"/>
  </r>
  <r>
    <s v="WQSEP99"/>
    <d v="1999-08-31T00:00:00"/>
    <s v="H2"/>
    <n v="22.3"/>
    <n v="22.21"/>
    <x v="5"/>
  </r>
  <r>
    <s v="WQOCT99"/>
    <d v="1999-10-04T00:00:00"/>
    <s v="H2"/>
    <n v="20.190000000000001"/>
    <n v="20.2"/>
    <x v="5"/>
  </r>
  <r>
    <s v="WQNOV99"/>
    <d v="1999-11-08T00:00:00"/>
    <s v="H2"/>
    <n v="13.9"/>
    <n v="13.9"/>
    <x v="5"/>
  </r>
  <r>
    <s v="WQDEC99"/>
    <d v="1999-12-08T00:00:00"/>
    <s v="H2"/>
    <n v="10.07"/>
    <n v="9.9499999999999993"/>
    <x v="5"/>
  </r>
  <r>
    <s v="WQJAN00"/>
    <d v="2000-01-10T00:00:00"/>
    <s v="H2"/>
    <n v="5.89"/>
    <n v="5.88"/>
    <x v="6"/>
  </r>
  <r>
    <s v="WQFEB00"/>
    <d v="2000-02-03T00:00:00"/>
    <s v="H2"/>
    <n v="0.52"/>
    <n v="0.93"/>
    <x v="6"/>
  </r>
  <r>
    <s v="WQMAR00"/>
    <d v="2000-03-01T00:00:00"/>
    <s v="H2"/>
    <n v="2.5"/>
    <n v="1.74"/>
    <x v="6"/>
  </r>
  <r>
    <s v="WQAPR00"/>
    <d v="2000-04-07T00:00:00"/>
    <s v="H2"/>
    <n v="6.03"/>
    <n v="5.76"/>
    <x v="6"/>
  </r>
  <r>
    <s v="WQMAY00"/>
    <d v="2000-05-01T00:00:00"/>
    <s v="H2"/>
    <n v="8.92"/>
    <n v="8.27"/>
    <x v="6"/>
  </r>
  <r>
    <s v="WQJUN00"/>
    <d v="2000-06-01T00:00:00"/>
    <s v="H2"/>
    <n v="15.47"/>
    <n v="13.54"/>
    <x v="6"/>
  </r>
  <r>
    <s v="HYJUN00"/>
    <d v="2000-06-23T00:00:00"/>
    <s v="H2"/>
    <n v="17.760000000000002"/>
    <n v="15"/>
    <x v="6"/>
  </r>
  <r>
    <s v="WQJUL00"/>
    <d v="2000-07-07T00:00:00"/>
    <s v="H2"/>
    <n v="19.95"/>
    <n v="18.170000000000002"/>
    <x v="6"/>
  </r>
  <r>
    <s v="HYJUL00"/>
    <d v="2000-07-20T00:00:00"/>
    <s v="H2"/>
    <n v="20.75"/>
    <n v="19.239999999999998"/>
    <x v="6"/>
  </r>
  <r>
    <s v="WQAUG00"/>
    <d v="2000-08-02T00:00:00"/>
    <s v="H2"/>
    <n v="21.61"/>
    <n v="20.8"/>
    <x v="6"/>
  </r>
  <r>
    <s v="HYAUG00"/>
    <d v="2000-08-17T00:00:00"/>
    <s v="H2"/>
    <n v="21.25"/>
    <n v="20.84"/>
    <x v="6"/>
  </r>
  <r>
    <s v="WQSEP00"/>
    <d v="2000-09-01T00:00:00"/>
    <s v="H2"/>
    <n v="22.1"/>
    <n v="21.68"/>
    <x v="6"/>
  </r>
  <r>
    <s v="WQOCT00"/>
    <d v="2000-10-04T00:00:00"/>
    <s v="H2"/>
    <n v="19.22"/>
    <n v="19.18"/>
    <x v="6"/>
  </r>
  <r>
    <s v="WQNOV00"/>
    <d v="2000-11-08T00:00:00"/>
    <s v="H2"/>
    <n v="13.28"/>
    <n v="13.16"/>
    <x v="6"/>
  </r>
  <r>
    <s v="WQDEC00"/>
    <d v="2000-12-06T00:00:00"/>
    <s v="H2"/>
    <n v="7.96"/>
    <n v="7.97"/>
    <x v="6"/>
  </r>
  <r>
    <s v="WQJAN01"/>
    <d v="2001-01-08T00:00:00"/>
    <s v="H2"/>
    <n v="2.15"/>
    <n v="2.58"/>
    <x v="7"/>
  </r>
  <r>
    <s v="WQFEB01"/>
    <d v="2001-02-02T00:00:00"/>
    <s v="H2"/>
    <n v="2.16"/>
    <n v="2.06"/>
    <x v="7"/>
  </r>
  <r>
    <s v="WQMAR01"/>
    <d v="2001-03-01T00:00:00"/>
    <s v="H2"/>
    <n v="1.9"/>
    <n v="1.76"/>
    <x v="7"/>
  </r>
  <r>
    <s v="WQAPR01"/>
    <d v="2001-04-03T00:00:00"/>
    <s v="H2"/>
    <n v="4.1100000000000003"/>
    <n v="3.35"/>
    <x v="7"/>
  </r>
  <r>
    <s v="WQMAY01"/>
    <d v="2001-04-30T00:00:00"/>
    <s v="H2"/>
    <m/>
    <m/>
    <x v="7"/>
  </r>
  <r>
    <s v="WQJUN01"/>
    <d v="2001-06-05T00:00:00"/>
    <s v="H2"/>
    <n v="13.58"/>
    <n v="11.44"/>
    <x v="7"/>
  </r>
  <r>
    <s v="WQJUL01"/>
    <d v="2001-07-11T00:00:00"/>
    <s v="H2"/>
    <n v="19.809999999999999"/>
    <n v="17.079999999999998"/>
    <x v="7"/>
  </r>
  <r>
    <s v="HYJUL01"/>
    <d v="2001-07-26T00:00:00"/>
    <s v="H2"/>
    <n v="21.29"/>
    <n v="19.66"/>
    <x v="7"/>
  </r>
  <r>
    <s v="WQAUG01"/>
    <d v="2001-08-06T00:00:00"/>
    <s v="H2"/>
    <n v="24.41"/>
    <n v="20.25"/>
    <x v="7"/>
  </r>
  <r>
    <s v="HYAUG01"/>
    <d v="2001-08-20T00:00:00"/>
    <s v="H2"/>
    <n v="24.04"/>
    <n v="22.43"/>
    <x v="7"/>
  </r>
  <r>
    <s v="WQSEP01"/>
    <d v="2001-09-05T00:00:00"/>
    <s v="H2"/>
    <n v="22.53"/>
    <n v="22.02"/>
    <x v="7"/>
  </r>
  <r>
    <s v="WQOCT01"/>
    <d v="2001-10-02T00:00:00"/>
    <s v="H2"/>
    <n v="19.03"/>
    <n v="18.52"/>
    <x v="7"/>
  </r>
  <r>
    <s v="WQNOV01"/>
    <d v="2001-11-08T00:00:00"/>
    <s v="H2"/>
    <n v="14.28"/>
    <n v="14.11"/>
    <x v="7"/>
  </r>
  <r>
    <s v="WQDEC01"/>
    <d v="2001-12-04T00:00:00"/>
    <s v="H2"/>
    <n v="11.79"/>
    <n v="11.63"/>
    <x v="7"/>
  </r>
  <r>
    <s v="WQJAN02"/>
    <d v="2002-01-14T00:00:00"/>
    <s v="H2"/>
    <n v="5.29"/>
    <n v="5.28"/>
    <x v="8"/>
  </r>
  <r>
    <s v="WQFEB02"/>
    <d v="2002-02-04T00:00:00"/>
    <s v="H2"/>
    <n v="4.51"/>
    <n v="4.3899999999999997"/>
    <x v="8"/>
  </r>
  <r>
    <s v="WQMAR02"/>
    <d v="2002-03-05T00:00:00"/>
    <s v="H2"/>
    <n v="4.3600000000000003"/>
    <n v="4.37"/>
    <x v="8"/>
  </r>
  <r>
    <s v="WQAPR02"/>
    <d v="2002-04-02T00:00:00"/>
    <s v="H2"/>
    <n v="6.36"/>
    <n v="5.73"/>
    <x v="8"/>
  </r>
  <r>
    <s v="WQMAY02"/>
    <d v="2002-05-06T00:00:00"/>
    <s v="H2"/>
    <n v="11.5"/>
    <n v="9.16"/>
    <x v="8"/>
  </r>
  <r>
    <s v="WQJUN02"/>
    <d v="2002-06-04T00:00:00"/>
    <s v="H2"/>
    <n v="15.34"/>
    <n v="14.99"/>
    <x v="8"/>
  </r>
  <r>
    <s v="WQJUL02"/>
    <d v="2002-07-08T00:00:00"/>
    <s v="H2"/>
    <n v="20.8"/>
    <n v="17.54"/>
    <x v="8"/>
  </r>
  <r>
    <s v="WQAUG02"/>
    <d v="2002-08-05T00:00:00"/>
    <s v="H2"/>
    <n v="25.79"/>
    <n v="20.6"/>
    <x v="8"/>
  </r>
  <r>
    <s v="HYAUG02"/>
    <d v="2002-08-23T00:00:00"/>
    <s v="H2"/>
    <n v="23.08"/>
    <n v="23.9"/>
    <x v="8"/>
  </r>
  <r>
    <s v="WQSEP02"/>
    <d v="2002-09-09T00:00:00"/>
    <s v="H2"/>
    <n v="22.44"/>
    <n v="21.55"/>
    <x v="8"/>
  </r>
  <r>
    <s v="WQOCT02"/>
    <d v="2002-10-08T00:00:00"/>
    <s v="H2"/>
    <n v="20.18"/>
    <n v="20.100000000000001"/>
    <x v="8"/>
  </r>
  <r>
    <s v="WQNOV02"/>
    <d v="2002-11-05T00:00:00"/>
    <s v="H2"/>
    <n v="13.04"/>
    <n v="13.04"/>
    <x v="8"/>
  </r>
  <r>
    <s v="WQDEC02"/>
    <d v="2002-12-09T00:00:00"/>
    <s v="H2"/>
    <n v="6.46"/>
    <n v="6.56"/>
    <x v="8"/>
  </r>
  <r>
    <s v="WQFEB03"/>
    <d v="2003-02-03T00:00:00"/>
    <s v="H2"/>
    <n v="0.87"/>
    <n v="0.35"/>
    <x v="9"/>
  </r>
  <r>
    <s v="WQMAR03"/>
    <d v="2003-03-04T00:00:00"/>
    <s v="H2"/>
    <n v="-0.34"/>
    <n v="-0.24"/>
    <x v="9"/>
  </r>
  <r>
    <s v="WQAPR03"/>
    <d v="2003-04-03T00:00:00"/>
    <s v="H2"/>
    <m/>
    <m/>
    <x v="9"/>
  </r>
  <r>
    <s v="WQMAY03"/>
    <d v="2003-05-05T00:00:00"/>
    <s v="H2"/>
    <n v="9.32"/>
    <n v="7.9"/>
    <x v="9"/>
  </r>
  <r>
    <s v="WQJUN03"/>
    <d v="2003-06-03T00:00:00"/>
    <s v="H2"/>
    <n v="13.96"/>
    <n v="10.4"/>
    <x v="9"/>
  </r>
  <r>
    <s v="WQJUL03"/>
    <d v="2003-07-07T00:00:00"/>
    <s v="H2"/>
    <n v="19.399999999999999"/>
    <n v="13.63"/>
    <x v="9"/>
  </r>
  <r>
    <s v="HYJUL03"/>
    <d v="2003-07-24T00:00:00"/>
    <s v="H2"/>
    <n v="20.65"/>
    <n v="17.18"/>
    <x v="9"/>
  </r>
  <r>
    <s v="WQAUG03"/>
    <d v="2003-08-04T00:00:00"/>
    <s v="H2"/>
    <n v="23.82"/>
    <n v="19.84"/>
    <x v="9"/>
  </r>
  <r>
    <s v="HYAUG03"/>
    <d v="2003-08-19T00:00:00"/>
    <s v="H2"/>
    <n v="24.02"/>
    <n v="20.59"/>
    <x v="9"/>
  </r>
  <r>
    <s v="WQSEP03"/>
    <d v="2003-09-09T00:00:00"/>
    <s v="H2"/>
    <n v="20.92"/>
    <n v="20.93"/>
    <x v="9"/>
  </r>
  <r>
    <s v="WQNOV03"/>
    <d v="2003-11-03T00:00:00"/>
    <s v="H2"/>
    <n v="15.38"/>
    <n v="15.44"/>
    <x v="9"/>
  </r>
  <r>
    <s v="WQDEC03"/>
    <d v="2003-12-08T00:00:00"/>
    <s v="H2"/>
    <n v="7.38"/>
    <n v="7.36"/>
    <x v="9"/>
  </r>
  <r>
    <s v="WQJAN04"/>
    <d v="2004-01-05T00:00:00"/>
    <s v="H2"/>
    <n v="5.34"/>
    <n v="5.35"/>
    <x v="10"/>
  </r>
  <r>
    <s v="WQFEB04"/>
    <d v="2004-02-05T00:00:00"/>
    <s v="H2"/>
    <n v="-0.71"/>
    <n v="-0.6"/>
    <x v="10"/>
  </r>
  <r>
    <s v="WQMAR04"/>
    <d v="2004-03-04T00:00:00"/>
    <s v="H2"/>
    <n v="1.97"/>
    <n v="0.71"/>
    <x v="10"/>
  </r>
  <r>
    <s v="WQAPR04"/>
    <d v="2004-04-07T00:00:00"/>
    <s v="H2"/>
    <n v="4.34"/>
    <n v="3.76"/>
    <x v="10"/>
  </r>
  <r>
    <s v="WQMAY04"/>
    <d v="2004-05-05T00:00:00"/>
    <s v="H2"/>
    <n v="9.5500000000000007"/>
    <n v="7.06"/>
    <x v="10"/>
  </r>
  <r>
    <s v="WQJUN04"/>
    <d v="2004-06-01T00:00:00"/>
    <s v="H2"/>
    <n v="14.2"/>
    <n v="13.61"/>
    <x v="10"/>
  </r>
  <r>
    <s v="WQJUL04"/>
    <d v="2004-07-08T00:00:00"/>
    <s v="H2"/>
    <n v="20.87"/>
    <n v="18.55"/>
    <x v="10"/>
  </r>
  <r>
    <s v="HYJUL04"/>
    <d v="2004-07-19T00:00:00"/>
    <s v="H2"/>
    <n v="22.12"/>
    <n v="20.27"/>
    <x v="10"/>
  </r>
  <r>
    <s v="WQAUG04"/>
    <d v="2004-08-02T00:00:00"/>
    <s v="H2"/>
    <n v="22.31"/>
    <n v="19.54"/>
    <x v="10"/>
  </r>
  <r>
    <s v="HYAUG04"/>
    <d v="2004-08-19T00:00:00"/>
    <s v="H2"/>
    <n v="22.79"/>
    <n v="20.71"/>
    <x v="10"/>
  </r>
  <r>
    <s v="WQSEP04"/>
    <d v="2004-08-31T00:00:00"/>
    <s v="H2"/>
    <n v="23.44"/>
    <n v="21.8"/>
    <x v="10"/>
  </r>
  <r>
    <s v="WQOCT04"/>
    <d v="2004-10-06T00:00:00"/>
    <s v="H2"/>
    <n v="20.28"/>
    <n v="20.14"/>
    <x v="10"/>
  </r>
  <r>
    <s v="WQDEC04"/>
    <d v="2004-11-29T00:00:00"/>
    <s v="H2"/>
    <n v="10.36"/>
    <n v="10.51"/>
    <x v="10"/>
  </r>
  <r>
    <s v="WQJAN05"/>
    <d v="2005-01-10T00:00:00"/>
    <s v="H2"/>
    <n v="4.7300000000000004"/>
    <n v="4.76"/>
    <x v="11"/>
  </r>
  <r>
    <s v="WQFEB05"/>
    <d v="2005-02-01T00:00:00"/>
    <s v="H2"/>
    <n v="0.9"/>
    <n v="0.94"/>
    <x v="11"/>
  </r>
  <r>
    <s v="WQMAR05"/>
    <d v="2005-03-07T00:00:00"/>
    <s v="H2"/>
    <n v="1.91"/>
    <n v="1.35"/>
    <x v="11"/>
  </r>
  <r>
    <s v="WQAPR05"/>
    <d v="2005-04-05T00:00:00"/>
    <s v="H2"/>
    <n v="4.38"/>
    <n v="3.8"/>
    <x v="11"/>
  </r>
  <r>
    <s v="WQMAY05"/>
    <d v="2005-05-05T00:00:00"/>
    <s v="H2"/>
    <n v="10.42"/>
    <n v="7.92"/>
    <x v="11"/>
  </r>
  <r>
    <s v="WQJUN05"/>
    <d v="2005-06-08T00:00:00"/>
    <s v="H2"/>
    <n v="15.7"/>
    <n v="12.08"/>
    <x v="11"/>
  </r>
  <r>
    <s v="WQJUL05"/>
    <d v="2005-07-07T00:00:00"/>
    <s v="H2"/>
    <n v="21.4"/>
    <n v="19.68"/>
    <x v="11"/>
  </r>
  <r>
    <s v="HYJUL05"/>
    <d v="2005-07-18T00:00:00"/>
    <s v="H2"/>
    <n v="22.5"/>
    <n v="18.5"/>
    <x v="11"/>
  </r>
  <r>
    <s v="WQAUG05"/>
    <d v="2005-08-02T00:00:00"/>
    <s v="H2"/>
    <n v="24.67"/>
    <n v="20.73"/>
    <x v="11"/>
  </r>
  <r>
    <s v="HYAUG05"/>
    <d v="2005-08-16T00:00:00"/>
    <s v="H2"/>
    <n v="24.01"/>
    <n v="20.16"/>
    <x v="11"/>
  </r>
  <r>
    <s v="WQSEP05"/>
    <d v="2005-08-29T00:00:00"/>
    <s v="H2"/>
    <n v="23.97"/>
    <n v="22.22"/>
    <x v="11"/>
  </r>
  <r>
    <s v="WQOCT05"/>
    <d v="2005-10-06T00:00:00"/>
    <s v="H2"/>
    <n v="21.23"/>
    <n v="21.13"/>
    <x v="11"/>
  </r>
  <r>
    <s v="WQNOV05"/>
    <d v="2005-11-15T00:00:00"/>
    <s v="H2"/>
    <n v="13.3"/>
    <n v="13.3"/>
    <x v="11"/>
  </r>
  <r>
    <s v="WQDEC05"/>
    <d v="2005-12-08T00:00:00"/>
    <s v="H2"/>
    <n v="7.66"/>
    <n v="7.69"/>
    <x v="11"/>
  </r>
  <r>
    <s v="WQMAR06"/>
    <d v="2006-03-07T00:00:00"/>
    <s v="H2"/>
    <n v="2.29"/>
    <n v="2.31"/>
    <x v="12"/>
  </r>
  <r>
    <s v="WQAPR06"/>
    <d v="2006-04-12T00:00:00"/>
    <s v="H2"/>
    <n v="6.71"/>
    <n v="5.63"/>
    <x v="12"/>
  </r>
  <r>
    <s v="WQMAY06"/>
    <d v="2006-05-02T00:00:00"/>
    <s v="H2"/>
    <n v="9.76"/>
    <n v="9.49"/>
    <x v="12"/>
  </r>
  <r>
    <s v="WQJUN06"/>
    <d v="2006-06-06T00:00:00"/>
    <s v="H2"/>
    <n v="17.34"/>
    <n v="13.21"/>
    <x v="12"/>
  </r>
  <r>
    <s v="WQJUL06"/>
    <d v="2006-07-06T00:00:00"/>
    <s v="H2"/>
    <n v="19.88"/>
    <n v="16.86"/>
    <x v="12"/>
  </r>
  <r>
    <s v="HYJUL06"/>
    <d v="2006-07-19T00:00:00"/>
    <s v="H2"/>
    <n v="21.57"/>
    <n v="18.39"/>
    <x v="12"/>
  </r>
  <r>
    <s v="WQAUG06"/>
    <d v="2006-08-04T00:00:00"/>
    <s v="H2"/>
    <n v="21.72"/>
    <n v="19.98"/>
    <x v="12"/>
  </r>
  <r>
    <s v="HYAUG06"/>
    <d v="2006-08-21T00:00:00"/>
    <s v="H2"/>
    <n v="23.04"/>
    <n v="21.96"/>
    <x v="12"/>
  </r>
  <r>
    <s v="WQSEP06"/>
    <d v="2006-08-29T00:00:00"/>
    <s v="H2"/>
    <n v="22.01"/>
    <n v="22.04"/>
    <x v="12"/>
  </r>
  <r>
    <s v="WQOCT06"/>
    <d v="2006-10-13T00:00:00"/>
    <s v="H2"/>
    <n v="17.86"/>
    <n v="17.809999999999999"/>
    <x v="12"/>
  </r>
  <r>
    <s v="WQNOV06"/>
    <d v="2006-11-07T00:00:00"/>
    <s v="H2"/>
    <n v="13.18"/>
    <n v="13.08"/>
    <x v="12"/>
  </r>
  <r>
    <s v="WQDEC06"/>
    <d v="2006-12-12T00:00:00"/>
    <s v="H2"/>
    <n v="8.84"/>
    <n v="8.9700000000000006"/>
    <x v="12"/>
  </r>
  <r>
    <s v="WQJAN07"/>
    <d v="2007-01-11T00:00:00"/>
    <s v="H2"/>
    <n v="6.81"/>
    <n v="7.13"/>
    <x v="13"/>
  </r>
  <r>
    <s v="WQFEB07"/>
    <d v="2007-02-01T00:00:00"/>
    <s v="H2"/>
    <n v="4.04"/>
    <n v="4.04"/>
    <x v="13"/>
  </r>
  <r>
    <s v="WQMAR07"/>
    <d v="2007-03-13T00:00:00"/>
    <s v="H2"/>
    <n v="1.54"/>
    <n v="1.2"/>
    <x v="13"/>
  </r>
  <r>
    <s v="WQAPR07"/>
    <d v="2007-04-02T00:00:00"/>
    <s v="H2"/>
    <n v="4.2300000000000004"/>
    <n v="3.89"/>
    <x v="13"/>
  </r>
  <r>
    <s v="WQMAY07"/>
    <d v="2007-05-07T00:00:00"/>
    <s v="H2"/>
    <n v="10.32"/>
    <n v="8.07"/>
    <x v="13"/>
  </r>
  <r>
    <s v="WQJUN07"/>
    <d v="2007-06-05T00:00:00"/>
    <s v="H2"/>
    <n v="15.45"/>
    <n v="14.16"/>
    <x v="13"/>
  </r>
  <r>
    <s v="WQJUL07"/>
    <d v="2007-07-09T00:00:00"/>
    <s v="H2"/>
    <n v="20.85"/>
    <n v="17.7"/>
    <x v="13"/>
  </r>
  <r>
    <s v="HYJUL07"/>
    <d v="2007-07-19T00:00:00"/>
    <s v="H2"/>
    <n v="22.36"/>
    <n v="19.73"/>
    <x v="13"/>
  </r>
  <r>
    <s v="WQAUG07"/>
    <d v="2007-07-30T00:00:00"/>
    <s v="H2"/>
    <n v="24.38"/>
    <n v="20.64"/>
    <x v="13"/>
  </r>
  <r>
    <s v="HYAUG07"/>
    <d v="2007-08-13T00:00:00"/>
    <s v="H2"/>
    <n v="23.57"/>
    <n v="22.52"/>
    <x v="13"/>
  </r>
  <r>
    <s v="WQSEP07"/>
    <d v="2007-08-30T00:00:00"/>
    <s v="H2"/>
    <n v="23.91"/>
    <n v="21.23"/>
    <x v="13"/>
  </r>
  <r>
    <s v="WQOCT07"/>
    <d v="2007-10-02T00:00:00"/>
    <s v="H2"/>
    <n v="20.81"/>
    <n v="20.67"/>
    <x v="13"/>
  </r>
  <r>
    <s v="WQNOV07"/>
    <d v="2007-11-08T00:00:00"/>
    <s v="H2"/>
    <n v="14.45"/>
    <n v="14.36"/>
    <x v="13"/>
  </r>
  <r>
    <s v="WQDEC07"/>
    <d v="2007-12-05T00:00:00"/>
    <s v="H2"/>
    <n v="8.57"/>
    <n v="8.59"/>
    <x v="13"/>
  </r>
  <r>
    <s v="WQJAN08"/>
    <d v="2008-01-07T00:00:00"/>
    <s v="H2"/>
    <n v="4.92"/>
    <n v="5.21"/>
    <x v="14"/>
  </r>
  <r>
    <s v="WQFEB08"/>
    <d v="2008-02-04T00:00:00"/>
    <s v="H2"/>
    <n v="3.15"/>
    <n v="3.14"/>
    <x v="14"/>
  </r>
  <r>
    <s v="WQMAR08"/>
    <d v="2008-03-06T00:00:00"/>
    <s v="H2"/>
    <n v="3.23"/>
    <n v="3.06"/>
    <x v="14"/>
  </r>
  <r>
    <s v="WQAPR08"/>
    <d v="2008-04-03T00:00:00"/>
    <s v="H2"/>
    <n v="5.45"/>
    <n v="4.59"/>
    <x v="14"/>
  </r>
  <r>
    <s v="WQMAY08"/>
    <d v="2008-05-06T00:00:00"/>
    <s v="H2"/>
    <n v="10.19"/>
    <n v="9.48"/>
    <x v="14"/>
  </r>
  <r>
    <s v="WQJUN08"/>
    <d v="2008-06-02T00:00:00"/>
    <s v="H2"/>
    <n v="15.05"/>
    <n v="11.93"/>
    <x v="14"/>
  </r>
  <r>
    <s v="WQJUL08"/>
    <d v="2008-07-07T00:00:00"/>
    <s v="H2"/>
    <n v="22.24"/>
    <n v="18.78"/>
    <x v="14"/>
  </r>
  <r>
    <s v="HYJUL08"/>
    <d v="2008-07-21T00:00:00"/>
    <s v="H2"/>
    <n v="23.4"/>
    <n v="18.510000000000002"/>
    <x v="14"/>
  </r>
  <r>
    <s v="WQAUG08"/>
    <d v="2008-08-07T00:00:00"/>
    <s v="H2"/>
    <n v="23.03"/>
    <n v="22.99"/>
    <x v="14"/>
  </r>
  <r>
    <s v="HYAUG08"/>
    <d v="2008-08-22T00:00:00"/>
    <s v="H2"/>
    <m/>
    <m/>
    <x v="14"/>
  </r>
  <r>
    <s v="WQSEP08"/>
    <d v="2008-09-05T00:00:00"/>
    <s v="H2"/>
    <n v="23.78"/>
    <n v="21.49"/>
    <x v="14"/>
  </r>
  <r>
    <s v="WQOCT08"/>
    <d v="2008-10-06T00:00:00"/>
    <s v="H2"/>
    <n v="19"/>
    <n v="18.98"/>
    <x v="14"/>
  </r>
  <r>
    <s v="WQNOV08"/>
    <d v="2008-11-05T00:00:00"/>
    <s v="H2"/>
    <n v="14.1"/>
    <n v="14.15"/>
    <x v="14"/>
  </r>
  <r>
    <s v="WQDEC08"/>
    <d v="2008-12-16T00:00:00"/>
    <s v="H2"/>
    <n v="6.84"/>
    <n v="7.54"/>
    <x v="14"/>
  </r>
  <r>
    <s v="WQJAN09"/>
    <d v="2009-01-13T00:00:00"/>
    <s v="H2"/>
    <n v="3.1"/>
    <n v="3.09"/>
    <x v="15"/>
  </r>
  <r>
    <s v="WQFEB09"/>
    <d v="2009-02-02T00:00:00"/>
    <s v="H2"/>
    <n v="1.44"/>
    <n v="1.44"/>
    <x v="15"/>
  </r>
  <r>
    <s v="WQMAR09"/>
    <d v="2009-03-04T00:00:00"/>
    <s v="H2"/>
    <n v="1.35"/>
    <n v="1.38"/>
    <x v="15"/>
  </r>
  <r>
    <s v="WQAPR09"/>
    <d v="2009-03-31T00:00:00"/>
    <s v="H2"/>
    <n v="4.91"/>
    <n v="4.43"/>
    <x v="15"/>
  </r>
  <r>
    <s v="WQMAY09"/>
    <d v="2009-04-29T00:00:00"/>
    <s v="H2"/>
    <n v="8.93"/>
    <n v="8.5500000000000007"/>
    <x v="15"/>
  </r>
  <r>
    <s v="WQJUN09"/>
    <d v="2009-06-04T00:00:00"/>
    <s v="H2"/>
    <n v="15.61"/>
    <n v="12.28"/>
    <x v="15"/>
  </r>
  <r>
    <s v="WQJUL09"/>
    <d v="2009-07-07T00:00:00"/>
    <s v="H2"/>
    <n v="21.26"/>
    <n v="15.87"/>
    <x v="15"/>
  </r>
  <r>
    <s v="HYJUL09"/>
    <d v="2009-07-20T00:00:00"/>
    <s v="H2"/>
    <n v="20.39"/>
    <n v="17.100000000000001"/>
    <x v="15"/>
  </r>
  <r>
    <s v="WQAUG09"/>
    <d v="2009-08-03T00:00:00"/>
    <s v="H2"/>
    <n v="23.48"/>
    <n v="19.510000000000002"/>
    <x v="15"/>
  </r>
  <r>
    <s v="HYAUG09"/>
    <d v="2009-08-19T00:00:00"/>
    <s v="H2"/>
    <n v="21.91"/>
    <n v="20.02"/>
    <x v="15"/>
  </r>
  <r>
    <s v="WQSEP09"/>
    <d v="2009-09-02T00:00:00"/>
    <s v="H2"/>
    <n v="22.67"/>
    <n v="21.57"/>
    <x v="15"/>
  </r>
  <r>
    <s v="WQOCT09"/>
    <d v="2009-10-05T00:00:00"/>
    <s v="H2"/>
    <n v="19.02"/>
    <n v="19.2"/>
    <x v="15"/>
  </r>
  <r>
    <s v="WQNOV09"/>
    <d v="2009-11-03T00:00:00"/>
    <s v="H2"/>
    <n v="13.9"/>
    <n v="13.92"/>
    <x v="15"/>
  </r>
  <r>
    <s v="WQDEC09"/>
    <d v="2009-12-01T00:00:00"/>
    <s v="H2"/>
    <n v="11.37"/>
    <n v="11.37"/>
    <x v="15"/>
  </r>
  <r>
    <s v="WQJAN10"/>
    <d v="2010-01-05T00:00:00"/>
    <s v="H2"/>
    <n v="3.53"/>
    <n v="3.64"/>
    <x v="16"/>
  </r>
  <r>
    <s v="WQFEB10"/>
    <d v="2010-02-05T00:00:00"/>
    <s v="H2"/>
    <n v="1.9"/>
    <n v="1.91"/>
    <x v="16"/>
  </r>
  <r>
    <s v="WQMAR10"/>
    <d v="2010-03-08T00:00:00"/>
    <s v="H2"/>
    <n v="2.76"/>
    <n v="2.48"/>
    <x v="16"/>
  </r>
  <r>
    <s v="WQAPR10"/>
    <d v="2010-04-01T00:00:00"/>
    <s v="H2"/>
    <n v="5.46"/>
    <n v="5.1100000000000003"/>
    <x v="16"/>
  </r>
  <r>
    <s v="WQMAY10"/>
    <d v="2010-05-03T00:00:00"/>
    <s v="H2"/>
    <n v="11.95"/>
    <n v="8.33"/>
    <x v="16"/>
  </r>
  <r>
    <s v="WQJUN10"/>
    <d v="2010-06-03T00:00:00"/>
    <s v="H2"/>
    <n v="18.11"/>
    <n v="11.53"/>
    <x v="16"/>
  </r>
  <r>
    <s v="WQJUL10"/>
    <d v="2010-07-09T00:00:00"/>
    <s v="H2"/>
    <n v="25.16"/>
    <n v="17.600000000000001"/>
    <x v="16"/>
  </r>
  <r>
    <s v="HYJUL10"/>
    <d v="2010-07-21T00:00:00"/>
    <s v="H2"/>
    <n v="24.5"/>
    <n v="20.059999999999999"/>
    <x v="16"/>
  </r>
  <r>
    <s v="WQAUG10"/>
    <d v="2010-08-04T00:00:00"/>
    <s v="H2"/>
    <n v="23.95"/>
    <n v="21.44"/>
    <x v="16"/>
  </r>
  <r>
    <s v="HYAUG10"/>
    <d v="2010-08-19T00:00:00"/>
    <s v="H2"/>
    <n v="24.04"/>
    <n v="23.55"/>
    <x v="16"/>
  </r>
  <r>
    <s v="WQSEP10"/>
    <d v="2010-09-01T00:00:00"/>
    <s v="H2"/>
    <n v="23.58"/>
    <n v="22.08"/>
    <x v="16"/>
  </r>
  <r>
    <s v="WQOCT10"/>
    <d v="2010-10-06T00:00:00"/>
    <s v="H2"/>
    <n v="19.45"/>
    <n v="19.46"/>
    <x v="16"/>
  </r>
  <r>
    <s v="WQNOV10"/>
    <d v="2010-11-03T00:00:00"/>
    <s v="H2"/>
    <n v="14.34"/>
    <n v="14.36"/>
    <x v="16"/>
  </r>
  <r>
    <s v="WQDEC10"/>
    <d v="2010-11-29T00:00:00"/>
    <s v="H2"/>
    <n v="10.33"/>
    <n v="10.33"/>
    <x v="16"/>
  </r>
  <r>
    <s v="WQJAN11"/>
    <d v="2011-01-06T00:00:00"/>
    <s v="H2"/>
    <n v="3.06"/>
    <n v="3.35"/>
    <x v="17"/>
  </r>
  <r>
    <s v="WQFEB11"/>
    <d v="2011-01-31T00:00:00"/>
    <s v="H2"/>
    <n v="0.73"/>
    <n v="0.98"/>
    <x v="17"/>
  </r>
  <r>
    <s v="WQMAR11"/>
    <d v="2011-03-14T00:00:00"/>
    <s v="H2"/>
    <n v="3.19"/>
    <n v="2.38"/>
    <x v="17"/>
  </r>
  <r>
    <s v="WQAPR11"/>
    <d v="2011-04-12T00:00:00"/>
    <s v="H2"/>
    <n v="6.25"/>
    <n v="5.04"/>
    <x v="17"/>
  </r>
  <r>
    <s v="WQMAY11"/>
    <d v="2011-05-04T00:00:00"/>
    <s v="H2"/>
    <n v="9.59"/>
    <n v="9.32"/>
    <x v="17"/>
  </r>
  <r>
    <s v="WQJUN11"/>
    <d v="2011-06-06T00:00:00"/>
    <s v="H2"/>
    <m/>
    <m/>
    <x v="17"/>
  </r>
  <r>
    <s v="WQJUL11"/>
    <d v="2011-07-07T00:00:00"/>
    <s v="H2"/>
    <n v="23.82"/>
    <n v="17.96"/>
    <x v="17"/>
  </r>
  <r>
    <s v="HYJUL11"/>
    <d v="2011-07-20T00:00:00"/>
    <s v="H2"/>
    <n v="21.59"/>
    <m/>
    <x v="17"/>
  </r>
  <r>
    <s v="WQAUG11"/>
    <d v="2011-08-02T00:00:00"/>
    <s v="H2"/>
    <n v="22.46"/>
    <n v="20.5"/>
    <x v="17"/>
  </r>
  <r>
    <s v="HYAUG11"/>
    <d v="2011-08-17T00:00:00"/>
    <s v="H2"/>
    <n v="22.64"/>
    <n v="22.29"/>
    <x v="17"/>
  </r>
  <r>
    <s v="WQSEP11"/>
    <d v="2011-09-01T00:00:00"/>
    <s v="H2"/>
    <n v="22.76"/>
    <n v="22.18"/>
    <x v="17"/>
  </r>
  <r>
    <s v="WQOCT11"/>
    <d v="2011-10-04T00:00:00"/>
    <s v="H2"/>
    <n v="20.309999999999999"/>
    <n v="20.47"/>
    <x v="17"/>
  </r>
  <r>
    <s v="WQNOV11"/>
    <d v="2011-11-08T00:00:00"/>
    <s v="H2"/>
    <n v="14.49"/>
    <n v="14.7"/>
    <x v="17"/>
  </r>
  <r>
    <s v="WQDEC11"/>
    <d v="2011-11-28T00:00:00"/>
    <s v="H2"/>
    <n v="12"/>
    <n v="12.25"/>
    <x v="17"/>
  </r>
  <r>
    <s v="WQJAN12"/>
    <d v="2012-01-11T00:00:00"/>
    <s v="H2"/>
    <n v="6.75"/>
    <n v="6.74"/>
    <x v="18"/>
  </r>
  <r>
    <s v="WQFEB12"/>
    <d v="2012-02-01T00:00:00"/>
    <s v="H2"/>
    <n v="4.9800000000000004"/>
    <n v="4.9000000000000004"/>
    <x v="18"/>
  </r>
  <r>
    <s v="WQMAR12"/>
    <d v="2012-03-02T00:00:00"/>
    <s v="H2"/>
    <n v="4.67"/>
    <n v="4.63"/>
    <x v="18"/>
  </r>
  <r>
    <s v="WQAPR12"/>
    <d v="2012-04-03T00:00:00"/>
    <s v="H2"/>
    <n v="7.81"/>
    <n v="7.74"/>
    <x v="18"/>
  </r>
  <r>
    <s v="WQMAY12"/>
    <d v="2012-05-01T00:00:00"/>
    <s v="H2"/>
    <n v="10.49"/>
    <n v="10.3"/>
    <x v="18"/>
  </r>
  <r>
    <s v="WQJUN12"/>
    <d v="2012-05-29T00:00:00"/>
    <s v="H2"/>
    <n v="17.940000000000001"/>
    <n v="16.239999999999998"/>
    <x v="18"/>
  </r>
  <r>
    <s v="WQJUL12"/>
    <d v="2012-06-26T00:00:00"/>
    <s v="H2"/>
    <n v="18.29"/>
    <n v="16.3"/>
    <x v="18"/>
  </r>
  <r>
    <s v="HYJUL12"/>
    <d v="2012-07-18T00:00:00"/>
    <s v="H2"/>
    <n v="21.26"/>
    <n v="19.809999999999999"/>
    <x v="18"/>
  </r>
  <r>
    <s v="WQAUG12"/>
    <d v="2012-07-31T00:00:00"/>
    <s v="H2"/>
    <n v="23.22"/>
    <n v="21.73"/>
    <x v="18"/>
  </r>
  <r>
    <s v="HYAUG12"/>
    <d v="2012-08-14T00:00:00"/>
    <s v="H2"/>
    <n v="23.96"/>
    <n v="21.96"/>
    <x v="18"/>
  </r>
  <r>
    <s v="WQSEP12"/>
    <d v="2012-08-30T00:00:00"/>
    <s v="H2"/>
    <n v="24.33"/>
    <n v="23.64"/>
    <x v="18"/>
  </r>
  <r>
    <s v="WQOCT12"/>
    <d v="2012-10-04T00:00:00"/>
    <s v="H2"/>
    <n v="20.21"/>
    <n v="20.38"/>
    <x v="18"/>
  </r>
  <r>
    <s v="WQNOV12"/>
    <d v="2012-11-13T00:00:00"/>
    <s v="H2"/>
    <n v="13.1"/>
    <n v="13.18"/>
    <x v="18"/>
  </r>
  <r>
    <s v="WQDEC12"/>
    <d v="2012-12-03T00:00:00"/>
    <s v="H2"/>
    <n v="9"/>
    <n v="8.94"/>
    <x v="18"/>
  </r>
  <r>
    <s v="WQJAN13"/>
    <d v="2013-01-11T00:00:00"/>
    <s v="H2"/>
    <n v="5.05"/>
    <n v="5.05"/>
    <x v="19"/>
  </r>
  <r>
    <s v="WQFEB13"/>
    <d v="2013-01-28T00:00:00"/>
    <s v="H2"/>
    <n v="2.75"/>
    <n v="2.77"/>
    <x v="19"/>
  </r>
  <r>
    <s v="WQMAR13"/>
    <d v="2013-03-05T00:00:00"/>
    <s v="H2"/>
    <n v="2.94"/>
    <n v="2.2799999999999998"/>
    <x v="19"/>
  </r>
  <r>
    <s v="WQAPR13"/>
    <d v="2013-04-01T00:00:00"/>
    <s v="H2"/>
    <n v="5.62"/>
    <n v="4.03"/>
    <x v="19"/>
  </r>
  <r>
    <s v="WQMAY13"/>
    <d v="2013-04-29T00:00:00"/>
    <s v="H2"/>
    <n v="8.83"/>
    <n v="8.82"/>
    <x v="19"/>
  </r>
  <r>
    <s v="WQJUN13"/>
    <d v="2013-06-03T00:00:00"/>
    <s v="H2"/>
    <n v="18.71"/>
    <n v="14.32"/>
    <x v="19"/>
  </r>
  <r>
    <s v="WQJUL13"/>
    <d v="2013-07-01T00:00:00"/>
    <s v="H2"/>
    <n v="22.42"/>
    <n v="17.649999999999999"/>
    <x v="19"/>
  </r>
  <r>
    <s v="HYJUL13"/>
    <d v="2013-07-17T00:00:00"/>
    <s v="H2"/>
    <n v="24.84"/>
    <n v="19.32"/>
    <x v="19"/>
  </r>
  <r>
    <s v="WQAUG13"/>
    <d v="2013-07-29T00:00:00"/>
    <s v="H2"/>
    <n v="23.93"/>
    <n v="21.18"/>
    <x v="19"/>
  </r>
  <r>
    <s v="HYAUG13"/>
    <d v="2013-08-14T00:00:00"/>
    <s v="H2"/>
    <n v="22.44"/>
    <n v="21.76"/>
    <x v="19"/>
  </r>
  <r>
    <s v="WQSEP13"/>
    <d v="2013-08-29T00:00:00"/>
    <s v="H2"/>
    <n v="23.26"/>
    <n v="22.14"/>
    <x v="19"/>
  </r>
  <r>
    <s v="HYSEP13"/>
    <d v="2013-09-09T00:00:00"/>
    <s v="H2"/>
    <n v="21.36"/>
    <n v="21.27"/>
    <x v="19"/>
  </r>
  <r>
    <s v="WQOCT13"/>
    <d v="2013-10-01T00:00:00"/>
    <s v="H2"/>
    <n v="20.100000000000001"/>
    <n v="19.489999999999998"/>
    <x v="19"/>
  </r>
  <r>
    <s v="WQNOV13"/>
    <d v="2013-11-04T00:00:00"/>
    <s v="H2"/>
    <n v="14.49"/>
    <n v="14.49"/>
    <x v="19"/>
  </r>
  <r>
    <s v="WQDEC13"/>
    <d v="2013-12-02T00:00:00"/>
    <s v="H2"/>
    <n v="8.6"/>
    <n v="8.86"/>
    <x v="19"/>
  </r>
  <r>
    <s v="WQJAN14"/>
    <d v="2014-01-10T00:00:00"/>
    <s v="H2"/>
    <n v="1.99"/>
    <n v="2.91"/>
    <x v="20"/>
  </r>
  <r>
    <s v="WQFEB14"/>
    <d v="2014-02-03T00:00:00"/>
    <s v="H2"/>
    <n v="0.63"/>
    <n v="0.64"/>
    <x v="20"/>
  </r>
  <r>
    <s v="WQMAR14"/>
    <d v="2014-03-07T00:00:00"/>
    <s v="H2"/>
    <n v="-0.23"/>
    <n v="-0.2"/>
    <x v="20"/>
  </r>
  <r>
    <s v="WQAPR14"/>
    <d v="2014-04-07T00:00:00"/>
    <s v="H2"/>
    <n v="3.61"/>
    <n v="3.21"/>
    <x v="20"/>
  </r>
  <r>
    <s v="WQMAY14"/>
    <d v="2014-05-06T00:00:00"/>
    <s v="H2"/>
    <n v="9.6999999999999993"/>
    <n v="7.45"/>
    <x v="20"/>
  </r>
  <r>
    <s v="WQJUN14"/>
    <d v="2014-06-02T00:00:00"/>
    <s v="H2"/>
    <n v="16.86"/>
    <n v="11.94"/>
    <x v="20"/>
  </r>
  <r>
    <s v="WQJUL14"/>
    <d v="2014-06-30T00:00:00"/>
    <s v="H2"/>
    <n v="22.1"/>
    <n v="15.57"/>
    <x v="20"/>
  </r>
  <r>
    <s v="HYJUL14"/>
    <d v="2014-07-15T00:00:00"/>
    <s v="H2"/>
    <n v="22.61"/>
    <n v="20.13"/>
    <x v="20"/>
  </r>
  <r>
    <s v="WQAUG14"/>
    <d v="2014-08-05T00:00:00"/>
    <s v="H2"/>
    <n v="22.72"/>
    <n v="20.47"/>
    <x v="20"/>
  </r>
  <r>
    <s v="HYAUG14"/>
    <d v="2014-08-18T00:00:00"/>
    <s v="H2"/>
    <n v="22.44"/>
    <n v="21.28"/>
    <x v="20"/>
  </r>
  <r>
    <s v="WQSEP14"/>
    <d v="2014-09-04T00:00:00"/>
    <s v="H2"/>
    <n v="22.9"/>
    <n v="21.73"/>
    <x v="20"/>
  </r>
  <r>
    <s v="HYSEP14"/>
    <d v="2014-09-15T00:00:00"/>
    <s v="H2"/>
    <n v="20.87"/>
    <n v="20.85"/>
    <x v="20"/>
  </r>
  <r>
    <s v="WQOCT14"/>
    <d v="2014-09-30T00:00:00"/>
    <s v="H2"/>
    <n v="20.079999999999998"/>
    <n v="20.079999999999998"/>
    <x v="20"/>
  </r>
  <r>
    <s v="WQNOV14"/>
    <d v="2014-11-06T00:00:00"/>
    <s v="H2"/>
    <n v="14.41"/>
    <n v="14.48"/>
    <x v="20"/>
  </r>
  <r>
    <s v="WQDEC14"/>
    <d v="2014-12-15T00:00:00"/>
    <s v="H2"/>
    <n v="7.03"/>
    <n v="7.49"/>
    <x v="20"/>
  </r>
  <r>
    <s v="WQJAN15"/>
    <d v="2015-01-12T00:00:00"/>
    <s v="H2"/>
    <n v="3"/>
    <n v="3.18"/>
    <x v="21"/>
  </r>
  <r>
    <s v="WQFEB15"/>
    <d v="2015-02-04T00:00:00"/>
    <s v="H2"/>
    <n v="0.56000000000000005"/>
    <n v="0.56999999999999995"/>
    <x v="21"/>
  </r>
  <r>
    <s v="WQMAR15"/>
    <d v="2015-03-09T00:00:00"/>
    <s v="H2"/>
    <n v="-0.5"/>
    <n v="-1.07"/>
    <x v="21"/>
  </r>
  <r>
    <s v="WQAPR15"/>
    <d v="2015-04-02T00:00:00"/>
    <s v="H2"/>
    <n v="1.514"/>
    <n v="0.94"/>
    <x v="21"/>
  </r>
  <r>
    <s v="WQMAY15"/>
    <d v="2015-04-30T00:00:00"/>
    <s v="H2"/>
    <n v="7.24"/>
    <n v="6.87"/>
    <x v="21"/>
  </r>
  <r>
    <s v="WQJUN15"/>
    <d v="2015-05-28T00:00:00"/>
    <s v="H2"/>
    <n v="14.94"/>
    <n v="10"/>
    <x v="21"/>
  </r>
  <r>
    <s v="WQJUL15"/>
    <d v="2015-07-06T00:00:00"/>
    <s v="H2"/>
    <n v="21.01"/>
    <n v="17.850000000000001"/>
    <x v="21"/>
  </r>
  <r>
    <s v="HYJUL15"/>
    <d v="2015-07-23T00:00:00"/>
    <s v="H2"/>
    <n v="21.63"/>
    <n v="18.510000000000002"/>
    <x v="21"/>
  </r>
  <r>
    <s v="WQAUG15"/>
    <d v="2015-08-06T00:00:00"/>
    <s v="H2"/>
    <n v="22.36"/>
    <n v="21.21"/>
    <x v="21"/>
  </r>
  <r>
    <s v="HYAUG15"/>
    <d v="2015-08-19T00:00:00"/>
    <s v="H2"/>
    <n v="24.87"/>
    <n v="22.04"/>
    <x v="21"/>
  </r>
  <r>
    <s v="WQSEP15"/>
    <d v="2015-09-02T00:00:00"/>
    <s v="H2"/>
    <n v="24.37"/>
    <n v="23.11"/>
    <x v="21"/>
  </r>
  <r>
    <s v="WQOCT15"/>
    <d v="2015-10-07T00:00:00"/>
    <s v="H2"/>
    <n v="19.329999999999998"/>
    <n v="18.98"/>
    <x v="21"/>
  </r>
  <r>
    <s v="WQNOV15"/>
    <d v="2015-11-06T00:00:00"/>
    <s v="H2"/>
    <n v="15.78"/>
    <n v="15.69"/>
    <x v="21"/>
  </r>
  <r>
    <s v="WQDEC15"/>
    <d v="2015-12-14T00:00:00"/>
    <s v="H2"/>
    <n v="10.86"/>
    <n v="10.8"/>
    <x v="21"/>
  </r>
  <r>
    <s v="WQJAN16"/>
    <d v="2016-01-07T00:00:00"/>
    <s v="H2"/>
    <n v="6.99"/>
    <n v="7.22"/>
    <x v="22"/>
  </r>
  <r>
    <s v="WQFEB16"/>
    <d v="2016-02-02T00:00:00"/>
    <s v="H2"/>
    <n v="4.41"/>
    <n v="4.2"/>
    <x v="22"/>
  </r>
  <r>
    <s v="WQMAR16"/>
    <d v="2016-03-10T00:00:00"/>
    <s v="H2"/>
    <n v="4.3099999999999996"/>
    <n v="3.59"/>
    <x v="22"/>
  </r>
  <r>
    <s v="WQAPR16"/>
    <d v="2016-04-13T00:00:00"/>
    <s v="H2"/>
    <n v="6.65"/>
    <n v="6.52"/>
    <x v="22"/>
  </r>
  <r>
    <s v="WQMAY16"/>
    <d v="2016-05-11T00:00:00"/>
    <s v="H2"/>
    <n v="12.28"/>
    <n v="10.1"/>
    <x v="22"/>
  </r>
  <r>
    <s v="WQJUN16"/>
    <d v="2016-06-08T00:00:00"/>
    <s v="H2"/>
    <n v="16.8"/>
    <n v="13.54"/>
    <x v="22"/>
  </r>
  <r>
    <s v="WQJUL16"/>
    <d v="2016-07-07T00:00:00"/>
    <s v="H2"/>
    <n v="22.47"/>
    <n v="18.09"/>
    <x v="22"/>
  </r>
  <r>
    <s v="HYJUL16"/>
    <d v="2016-07-18T00:00:00"/>
    <s v="H2"/>
    <n v="25.23"/>
    <n v="18.670000000000002"/>
    <x v="22"/>
  </r>
  <r>
    <s v="WQAUG16"/>
    <d v="2016-08-01T00:00:00"/>
    <s v="H2"/>
    <n v="23.92"/>
    <n v="23.62"/>
    <x v="22"/>
  </r>
  <r>
    <s v="HYAUG16"/>
    <d v="2016-08-16T00:00:00"/>
    <s v="H2"/>
    <n v="24.69"/>
    <n v="22.15"/>
    <x v="22"/>
  </r>
  <r>
    <s v="WQSEP16"/>
    <d v="2016-08-31T00:00:00"/>
    <s v="H2"/>
    <n v="25.03"/>
    <n v="24.17"/>
    <x v="22"/>
  </r>
  <r>
    <s v="HYSEP16"/>
    <d v="2016-09-12T00:00:00"/>
    <s v="H2"/>
    <n v="23.7"/>
    <n v="23.16"/>
    <x v="22"/>
  </r>
  <r>
    <s v="WQOCT16"/>
    <d v="2016-10-03T00:00:00"/>
    <s v="H2"/>
    <n v="20.89"/>
    <n v="20.61"/>
    <x v="22"/>
  </r>
  <r>
    <s v="WQNOV16"/>
    <d v="2016-11-07T00:00:00"/>
    <s v="H2"/>
    <n v="14.41"/>
    <n v="14.43"/>
    <x v="22"/>
  </r>
  <r>
    <s v="WQDEC16"/>
    <d v="2016-11-30T00:00:00"/>
    <s v="H2"/>
    <n v="10.67"/>
    <n v="10.61"/>
    <x v="22"/>
  </r>
  <r>
    <s v="WQJAN17"/>
    <d v="2017-01-06T00:00:00"/>
    <s v="H2"/>
    <n v="5.14"/>
    <n v="5.29"/>
    <x v="23"/>
  </r>
  <r>
    <s v="WQFEB17"/>
    <d v="2017-02-07T00:00:00"/>
    <s v="H2"/>
    <n v="3.47"/>
    <n v="3.47"/>
    <x v="23"/>
  </r>
  <r>
    <s v="WQMAR17"/>
    <d v="2017-03-06T00:00:00"/>
    <s v="H2"/>
    <n v="3.31"/>
    <n v="2.76"/>
    <x v="23"/>
  </r>
  <r>
    <s v="WQAPR17"/>
    <d v="2017-04-03T00:00:00"/>
    <s v="H2"/>
    <m/>
    <m/>
    <x v="23"/>
  </r>
  <r>
    <s v="WQMAY17"/>
    <d v="2017-05-01T00:00:00"/>
    <s v="H2"/>
    <n v="9.56"/>
    <n v="9"/>
    <x v="23"/>
  </r>
  <r>
    <s v="WQJUN17"/>
    <d v="2017-06-05T00:00:00"/>
    <s v="H2"/>
    <n v="15.21"/>
    <n v="14.05"/>
    <x v="23"/>
  </r>
  <r>
    <s v="WQJUL17"/>
    <d v="2017-07-05T00:00:00"/>
    <s v="H2"/>
    <n v="21.88"/>
    <n v="17.7"/>
    <x v="23"/>
  </r>
  <r>
    <s v="HYJUL17"/>
    <d v="2017-07-20T00:00:00"/>
    <s v="H2"/>
    <n v="23.6"/>
    <n v="19.05"/>
    <x v="23"/>
  </r>
  <r>
    <s v="WQAUG17"/>
    <d v="2017-07-31T00:00:00"/>
    <s v="H2"/>
    <n v="23.7"/>
    <n v="21.15"/>
    <x v="23"/>
  </r>
  <r>
    <s v="HYAUG17"/>
    <d v="2017-08-14T00:00:00"/>
    <s v="H2"/>
    <n v="23.91"/>
    <n v="21.25"/>
    <x v="23"/>
  </r>
  <r>
    <s v="WQSEP17"/>
    <d v="2017-09-01T00:00:00"/>
    <s v="H2"/>
    <n v="21.8"/>
    <n v="21.82"/>
    <x v="23"/>
  </r>
  <r>
    <s v="WQOCT17"/>
    <d v="2017-10-11T00:00:00"/>
    <s v="H2"/>
    <n v="21.19"/>
    <n v="20.86"/>
    <x v="23"/>
  </r>
  <r>
    <s v="WQNOV17"/>
    <d v="2017-11-09T00:00:00"/>
    <s v="H2"/>
    <n v="15.67"/>
    <n v="15.65"/>
    <x v="23"/>
  </r>
  <r>
    <s v="WQDEC17"/>
    <d v="2017-12-01T00:00:00"/>
    <s v="H2"/>
    <n v="10.99"/>
    <n v="10.99"/>
    <x v="23"/>
  </r>
  <r>
    <s v="WQJAN18"/>
    <d v="2018-01-10T00:00:00"/>
    <s v="H2"/>
    <n v="1.34"/>
    <n v="1.52"/>
    <x v="24"/>
  </r>
  <r>
    <s v="WQFEB18"/>
    <d v="2018-02-09T00:00:00"/>
    <s v="H2"/>
    <m/>
    <m/>
    <x v="24"/>
  </r>
  <r>
    <s v="WQMAR18"/>
    <d v="2018-03-06T00:00:00"/>
    <s v="H2"/>
    <n v="3.68"/>
    <n v="3.47"/>
    <x v="24"/>
  </r>
  <r>
    <s v="WQAPR18"/>
    <d v="2018-04-09T00:00:00"/>
    <s v="H2"/>
    <n v="4.38"/>
    <n v="4.2"/>
    <x v="24"/>
  </r>
  <r>
    <s v="WQMAY18"/>
    <d v="2018-05-01T00:00:00"/>
    <s v="H2"/>
    <n v="9.07"/>
    <n v="7.51"/>
    <x v="24"/>
  </r>
  <r>
    <s v="WQJUN18"/>
    <d v="2018-05-30T00:00:00"/>
    <s v="H2"/>
    <n v="15.71"/>
    <n v="12.04"/>
    <x v="24"/>
  </r>
  <r>
    <s v="WQJUL18"/>
    <d v="2018-07-02T00:00:00"/>
    <s v="H2"/>
    <n v="22.62"/>
    <n v="15.61"/>
    <x v="24"/>
  </r>
  <r>
    <s v="HYJUL18"/>
    <d v="2018-07-18T00:00:00"/>
    <s v="H2"/>
    <n v="22.75"/>
    <n v="19.38"/>
    <x v="24"/>
  </r>
  <r>
    <s v="WQAUG18"/>
    <d v="2018-07-30T00:00:00"/>
    <s v="H2"/>
    <n v="24.58"/>
    <n v="20.75"/>
    <x v="24"/>
  </r>
  <r>
    <s v="HYAUG18"/>
    <d v="2018-08-13T00:00:00"/>
    <s v="H2"/>
    <n v="24.9"/>
    <n v="23.36"/>
    <x v="24"/>
  </r>
  <r>
    <s v="WQSEP18"/>
    <d v="2018-08-29T00:00:00"/>
    <s v="H2"/>
    <n v="24.59"/>
    <n v="23.01"/>
    <x v="24"/>
  </r>
  <r>
    <s v="WQOCT18"/>
    <d v="2018-10-02T00:00:00"/>
    <s v="H2"/>
    <n v="21.59"/>
    <n v="21.09"/>
    <x v="24"/>
  </r>
  <r>
    <s v="WQNOV18"/>
    <d v="2018-11-08T00:00:00"/>
    <s v="H2"/>
    <n v="14.13"/>
    <n v="14.69"/>
    <x v="24"/>
  </r>
  <r>
    <s v="WQDEC18"/>
    <d v="2018-11-30T00:00:00"/>
    <s v="H2"/>
    <n v="8.14"/>
    <n v="9.5399999999999991"/>
    <x v="24"/>
  </r>
  <r>
    <s v="WQJAN19"/>
    <d v="2019-01-02T00:00:00"/>
    <s v="H2"/>
    <n v="5.71"/>
    <n v="6.1"/>
    <x v="25"/>
  </r>
  <r>
    <s v="WQFEB19"/>
    <d v="2019-02-04T00:00:00"/>
    <s v="H2"/>
    <n v="2.48"/>
    <n v="2.04"/>
    <x v="25"/>
  </r>
  <r>
    <s v="WQMAR19"/>
    <d v="2019-03-07T00:00:00"/>
    <s v="H2"/>
    <n v="1.82"/>
    <n v="1.87"/>
    <x v="25"/>
  </r>
  <r>
    <s v="WQAPR19"/>
    <d v="2019-04-02T00:00:00"/>
    <s v="H2"/>
    <n v="4.76"/>
    <n v="4.08"/>
    <x v="25"/>
  </r>
  <r>
    <s v="WQMAY19"/>
    <d v="2019-05-06T00:00:00"/>
    <s v="H2"/>
    <n v="10.44"/>
    <n v="10.11"/>
    <x v="25"/>
  </r>
  <r>
    <s v="WQJUN19"/>
    <d v="2019-05-29T00:00:00"/>
    <s v="H2"/>
    <n v="14.14"/>
    <n v="12.91"/>
    <x v="25"/>
  </r>
  <r>
    <s v="WQJUL19"/>
    <d v="2019-07-01T00:00:00"/>
    <s v="H2"/>
    <n v="19.2"/>
    <n v="15.06"/>
    <x v="25"/>
  </r>
  <r>
    <s v="HYJUL19"/>
    <d v="2019-07-17T00:00:00"/>
    <s v="H2"/>
    <n v="22.66"/>
    <n v="18.88"/>
    <x v="25"/>
  </r>
  <r>
    <s v="WQAUG19"/>
    <d v="2019-07-29T00:00:00"/>
    <s v="H2"/>
    <n v="24.35"/>
    <n v="19.16"/>
    <x v="25"/>
  </r>
  <r>
    <s v="HYAUG19"/>
    <d v="2019-08-14T00:00:00"/>
    <s v="H2"/>
    <n v="22.52"/>
    <n v="21.21"/>
    <x v="25"/>
  </r>
  <r>
    <s v="WQSEP19"/>
    <d v="2019-08-27T00:00:00"/>
    <s v="H2"/>
    <n v="23.34"/>
    <n v="22.51"/>
    <x v="25"/>
  </r>
  <r>
    <s v="WQOCT19"/>
    <d v="2019-09-30T00:00:00"/>
    <s v="H2"/>
    <n v="21.03"/>
    <n v="20.99"/>
    <x v="25"/>
  </r>
  <r>
    <s v="WQNOV19"/>
    <d v="2019-11-04T00:00:00"/>
    <s v="H2"/>
    <n v="15.16"/>
    <n v="16.07"/>
    <x v="25"/>
  </r>
  <r>
    <s v="WQDEC19"/>
    <d v="2019-12-04T00:00:00"/>
    <s v="H2"/>
    <n v="7.37"/>
    <n v="7.43"/>
    <x v="25"/>
  </r>
  <r>
    <s v="WQJAN20"/>
    <d v="2020-01-07T00:00:00"/>
    <s v="H2"/>
    <n v="5.29"/>
    <n v="5.4"/>
    <x v="26"/>
  </r>
  <r>
    <s v="WQFEB20"/>
    <d v="2020-02-13T00:00:00"/>
    <s v="H2"/>
    <n v="3.96"/>
    <n v="4.03"/>
    <x v="26"/>
  </r>
  <r>
    <s v="WQMAR20"/>
    <d v="2020-03-09T00:00:00"/>
    <s v="H2"/>
    <m/>
    <m/>
    <x v="26"/>
  </r>
  <r>
    <s v="WQJUN20"/>
    <d v="2020-06-16T00:00:00"/>
    <s v="H2"/>
    <n v="16.760000000000002"/>
    <n v="14.3"/>
    <x v="26"/>
  </r>
  <r>
    <s v="WQJUL20"/>
    <d v="2020-07-06T00:00:00"/>
    <s v="H2"/>
    <n v="24.58"/>
    <n v="17.739999999999998"/>
    <x v="26"/>
  </r>
  <r>
    <s v="HYJUL20"/>
    <d v="2020-07-22T00:00:00"/>
    <s v="H2"/>
    <n v="24.29"/>
    <n v="19.02"/>
    <x v="26"/>
  </r>
  <r>
    <s v="WQAUG20"/>
    <d v="2020-08-10T00:00:00"/>
    <s v="H2"/>
    <n v="25.62"/>
    <n v="22.85"/>
    <x v="26"/>
  </r>
  <r>
    <s v="HYAUG20"/>
    <d v="2020-08-25T00:00:00"/>
    <s v="H2"/>
    <n v="24.43"/>
    <n v="22.58"/>
    <x v="26"/>
  </r>
  <r>
    <s v="WQSEP20"/>
    <d v="2020-09-10T00:00:00"/>
    <s v="H2"/>
    <n v="23.72"/>
    <n v="22.97"/>
    <x v="26"/>
  </r>
  <r>
    <s v="WQOCT20"/>
    <d v="2020-10-06T00:00:00"/>
    <s v="H2"/>
    <n v="19.96"/>
    <n v="19.86"/>
    <x v="26"/>
  </r>
  <r>
    <s v="WQNOV20"/>
    <d v="2020-11-05T00:00:00"/>
    <s v="H2"/>
    <n v="14.54"/>
    <n v="14.58"/>
    <x v="26"/>
  </r>
  <r>
    <s v="WQMAR21"/>
    <d v="2021-03-08T00:00:00"/>
    <s v="H2"/>
    <n v="2.5099999999999998"/>
    <n v="2.35"/>
    <x v="27"/>
  </r>
  <r>
    <s v="WQAPR21"/>
    <d v="2021-04-06T00:00:00"/>
    <s v="H2"/>
    <n v="6.67"/>
    <n v="5.6"/>
    <x v="27"/>
  </r>
  <r>
    <s v="WQMAY21"/>
    <d v="2021-05-06T00:00:00"/>
    <s v="H2"/>
    <n v="10.3"/>
    <n v="9.57"/>
    <x v="27"/>
  </r>
  <r>
    <s v="WQJUN21"/>
    <d v="2021-06-03T00:00:00"/>
    <s v="H2"/>
    <m/>
    <m/>
    <x v="27"/>
  </r>
  <r>
    <s v="WQJUL21"/>
    <d v="2021-07-06T00:00:00"/>
    <s v="H2"/>
    <n v="21.67"/>
    <n v="20.41"/>
    <x v="27"/>
  </r>
  <r>
    <s v="HYJUL21"/>
    <d v="2021-07-21T00:00:00"/>
    <s v="H2"/>
    <n v="23"/>
    <n v="20.350000000000001"/>
    <x v="27"/>
  </r>
  <r>
    <s v="WQAUG21"/>
    <d v="2021-08-02T00:00:00"/>
    <s v="H2"/>
    <n v="22.88"/>
    <n v="22.28"/>
    <x v="27"/>
  </r>
  <r>
    <s v="HYAUG21"/>
    <d v="2021-08-18T00:00:00"/>
    <s v="H2"/>
    <n v="23.66"/>
    <n v="21.13"/>
    <x v="27"/>
  </r>
  <r>
    <s v="WQSEP21"/>
    <d v="2021-08-30T00:00:00"/>
    <s v="H2"/>
    <n v="23.7"/>
    <n v="23.44"/>
    <x v="27"/>
  </r>
  <r>
    <s v="WQOCT21"/>
    <d v="2021-10-06T00:00:00"/>
    <s v="H2"/>
    <n v="21.08"/>
    <n v="20.87"/>
    <x v="27"/>
  </r>
  <r>
    <s v="WQNOV21"/>
    <d v="2021-11-04T00:00:00"/>
    <s v="H2"/>
    <n v="16.95"/>
    <n v="16.829999999999998"/>
    <x v="27"/>
  </r>
  <r>
    <s v="WQDEC21"/>
    <d v="2021-12-02T00:00:00"/>
    <s v="H2"/>
    <n v="10.68"/>
    <n v="10.69"/>
    <x v="27"/>
  </r>
  <r>
    <s v="WQFEB22"/>
    <d v="2022-02-01T00:00:00"/>
    <s v="H2"/>
    <n v="2.2599999999999998"/>
    <n v="2.2999999999999998"/>
    <x v="28"/>
  </r>
  <r>
    <s v="WQMAR22"/>
    <d v="2022-03-02T00:00:00"/>
    <s v="H2"/>
    <n v="3.12"/>
    <n v="2.81"/>
    <x v="28"/>
  </r>
  <r>
    <s v="WQAPR22"/>
    <d v="2022-04-04T00:00:00"/>
    <s v="H2"/>
    <n v="5.82"/>
    <n v="4.7699999999999996"/>
    <x v="28"/>
  </r>
  <r>
    <s v="WQMAY22"/>
    <d v="2022-05-04T00:00:00"/>
    <s v="H2"/>
    <n v="9.67"/>
    <n v="9.48"/>
    <x v="28"/>
  </r>
  <r>
    <s v="WQJUN22"/>
    <d v="2022-06-02T00:00:00"/>
    <s v="H2"/>
    <n v="17.079999999999998"/>
    <n v="14.4"/>
    <x v="28"/>
  </r>
  <r>
    <s v="WQJUL22"/>
    <d v="2022-07-08T00:00:00"/>
    <s v="H2"/>
    <n v="21.37"/>
    <n v="17.23"/>
    <x v="28"/>
  </r>
  <r>
    <s v="HYJUL22"/>
    <d v="2022-07-20T00:00:00"/>
    <s v="H2"/>
    <n v="24.15"/>
    <n v="20.239999999999998"/>
    <x v="28"/>
  </r>
  <r>
    <s v="WQAUG22"/>
    <d v="2022-08-01T00:00:00"/>
    <s v="H2"/>
    <n v="23.3"/>
    <n v="20.04"/>
    <x v="28"/>
  </r>
  <r>
    <s v="HYAUG22"/>
    <d v="2022-08-19T00:00:00"/>
    <s v="H2"/>
    <n v="23.77"/>
    <n v="23.51"/>
    <x v="28"/>
  </r>
  <r>
    <s v="WQSEP22"/>
    <d v="2022-08-31T00:00:00"/>
    <s v="H2"/>
    <n v="25.47"/>
    <n v="23.29"/>
    <x v="28"/>
  </r>
  <r>
    <s v="WQOCT22"/>
    <d v="2022-10-06T00:00:00"/>
    <s v="H2"/>
    <n v="18.86"/>
    <n v="18.36"/>
    <x v="28"/>
  </r>
  <r>
    <s v="WQNOV22"/>
    <d v="2022-11-07T00:00:00"/>
    <s v="H2"/>
    <m/>
    <m/>
    <x v="28"/>
  </r>
  <r>
    <s v="WQDEC22"/>
    <d v="2022-12-09T00:00:00"/>
    <s v="H2"/>
    <n v="10.26"/>
    <n v="10.28"/>
    <x v="28"/>
  </r>
  <r>
    <s v="WQJAN23"/>
    <d v="2023-01-03T00:00:00"/>
    <s v="H2"/>
    <n v="5.44"/>
    <n v="5.48"/>
    <x v="29"/>
  </r>
  <r>
    <s v="WQFEB23"/>
    <d v="2023-02-06T00:00:00"/>
    <s v="H2"/>
    <n v="4.17"/>
    <n v="4.0599999999999996"/>
    <x v="29"/>
  </r>
  <r>
    <s v="WQAPR23"/>
    <d v="2023-04-17T00:00:00"/>
    <s v="H2"/>
    <n v="9.77"/>
    <n v="9.66"/>
    <x v="29"/>
  </r>
  <r>
    <s v="WQMAY23"/>
    <d v="2023-05-08T00:00:00"/>
    <s v="H2"/>
    <n v="11.87"/>
    <n v="10.220000000000001"/>
    <x v="29"/>
  </r>
  <r>
    <s v="WQJUN23"/>
    <d v="2023-05-31T00:00:00"/>
    <s v="H2"/>
    <n v="16.46"/>
    <n v="15.2"/>
    <x v="29"/>
  </r>
  <r>
    <s v="WQJUL23"/>
    <d v="2023-07-05T00:00:00"/>
    <s v="H2"/>
    <n v="23.37"/>
    <n v="17.809999999999999"/>
    <x v="29"/>
  </r>
  <r>
    <s v="HYJUL23"/>
    <d v="2023-07-19T00:00:00"/>
    <s v="H2"/>
    <n v="24.45"/>
    <n v="22.82"/>
    <x v="29"/>
  </r>
  <r>
    <s v="WQAUG23"/>
    <d v="2023-07-31T00:00:00"/>
    <s v="H2"/>
    <n v="24.03"/>
    <n v="21.6"/>
    <x v="29"/>
  </r>
  <r>
    <s v="HYAUG23"/>
    <d v="2023-08-16T00:00:00"/>
    <s v="H2"/>
    <n v="23.43"/>
    <n v="22.86"/>
    <x v="29"/>
  </r>
  <r>
    <s v="WQSEP23"/>
    <d v="2023-08-29T00:00:00"/>
    <s v="H2"/>
    <n v="23.37"/>
    <n v="22.82"/>
    <x v="29"/>
  </r>
  <r>
    <s v="WQOCT23"/>
    <d v="2023-10-05T00:00:00"/>
    <s v="H2"/>
    <n v="20.49"/>
    <n v="19.34"/>
    <x v="29"/>
  </r>
  <r>
    <s v="WQNOV23"/>
    <d v="2023-11-09T00:00:00"/>
    <s v="H2"/>
    <n v="14.8"/>
    <n v="14.81"/>
    <x v="29"/>
  </r>
  <r>
    <s v="WQDEC23"/>
    <d v="2023-12-05T00:00:00"/>
    <s v="H2"/>
    <n v="9.3699999999999992"/>
    <n v="10.17"/>
    <x v="29"/>
  </r>
  <r>
    <s v="WQJAN24"/>
    <d v="2024-01-03T00:00:00"/>
    <s v="H2"/>
    <n v="6.7"/>
    <n v="8.0500000000000007"/>
    <x v="30"/>
  </r>
  <r>
    <s v="WQFEB24"/>
    <d v="2024-02-05T00:00:00"/>
    <s v="H2"/>
    <n v="4.28"/>
    <n v="4.17"/>
    <x v="30"/>
  </r>
  <r>
    <s v="WQMAR24"/>
    <d v="2024-03-04T00:00:00"/>
    <s v="H2"/>
    <n v="5.07"/>
    <n v="4.13"/>
    <x v="30"/>
  </r>
  <r>
    <s v="WQAPR24"/>
    <d v="2024-04-01T00:00:00"/>
    <s v="H2"/>
    <n v="6.53"/>
    <n v="5.66"/>
    <x v="30"/>
  </r>
  <r>
    <s v="WQMAY24"/>
    <d v="2024-05-02T00:00:00"/>
    <s v="H2"/>
    <n v="11.65"/>
    <n v="9.65"/>
    <x v="30"/>
  </r>
  <r>
    <s v="WQJUN24"/>
    <d v="2024-05-31T00:00:00"/>
    <s v="H2"/>
    <n v="13.97"/>
    <n v="12.93"/>
    <x v="30"/>
  </r>
  <r>
    <s v="WQJUL24"/>
    <d v="2024-07-01T00:00:00"/>
    <s v="H2"/>
    <n v="18.89"/>
    <n v="17.57"/>
    <x v="30"/>
  </r>
  <r>
    <s v="HYJUL24"/>
    <d v="2024-07-15T00:00:00"/>
    <s v="H2"/>
    <n v="22.58"/>
    <n v="18.579999999999998"/>
    <x v="30"/>
  </r>
  <r>
    <s v="WQAUG24"/>
    <d v="2024-07-29T00:00:00"/>
    <s v="H2"/>
    <n v="23.39"/>
    <n v="20.100000000000001"/>
    <x v="30"/>
  </r>
  <r>
    <s v="HYAUG24"/>
    <d v="2024-08-14T00:00:00"/>
    <s v="H2"/>
    <n v="22.6"/>
    <n v="21.02"/>
    <x v="30"/>
  </r>
  <r>
    <s v="WQSEP24"/>
    <d v="2024-08-26T00:00:00"/>
    <s v="H2"/>
    <n v="22.74"/>
    <n v="21.55"/>
    <x v="30"/>
  </r>
  <r>
    <s v="WQOCT24"/>
    <d v="2024-10-02T00:00:00"/>
    <s v="H2"/>
    <n v="20.399999999999999"/>
    <n v="20.27"/>
    <x v="30"/>
  </r>
  <r>
    <m/>
    <m/>
    <m/>
    <m/>
    <m/>
    <x v="3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9">
  <r>
    <s v="WQJAN91"/>
    <d v="1991-01-30T00:00:00"/>
    <s v="F3"/>
    <n v="3.3001999999999998"/>
    <n v="3.3653"/>
    <x v="0"/>
  </r>
  <r>
    <s v="WQFEB91"/>
    <d v="1991-02-20T00:00:00"/>
    <s v="F3"/>
    <n v="2.8835000000000002"/>
    <n v="2.8714"/>
    <x v="0"/>
  </r>
  <r>
    <s v="WQMAR91"/>
    <d v="1991-03-25T00:00:00"/>
    <s v="F3"/>
    <n v="4.3220000000000001"/>
    <m/>
    <x v="0"/>
  </r>
  <r>
    <s v="WQAPR91"/>
    <d v="1991-04-02T00:00:00"/>
    <s v="F3"/>
    <m/>
    <n v="4.4436999999999998"/>
    <x v="0"/>
  </r>
  <r>
    <s v="WQMAY91"/>
    <d v="1991-05-01T00:00:00"/>
    <s v="F3"/>
    <m/>
    <m/>
    <x v="0"/>
  </r>
  <r>
    <s v="WQJUN91"/>
    <d v="1991-06-04T00:00:00"/>
    <s v="F3"/>
    <n v="17.448599999999999"/>
    <m/>
    <x v="0"/>
  </r>
  <r>
    <s v="WQJUL91"/>
    <d v="1991-07-08T00:00:00"/>
    <s v="F3"/>
    <n v="21.180099999999999"/>
    <n v="16.7302"/>
    <x v="0"/>
  </r>
  <r>
    <s v="WQAUG91"/>
    <d v="1991-08-13T00:00:00"/>
    <s v="F3"/>
    <n v="22.715499999999999"/>
    <m/>
    <x v="0"/>
  </r>
  <r>
    <s v="WQSEP91"/>
    <d v="1991-09-05T00:00:00"/>
    <s v="F3"/>
    <n v="22.2285"/>
    <n v="22.208200000000001"/>
    <x v="0"/>
  </r>
  <r>
    <s v="WQOCT91"/>
    <d v="1991-10-01T00:00:00"/>
    <s v="F3"/>
    <n v="19.942399999999999"/>
    <n v="19.8765"/>
    <x v="0"/>
  </r>
  <r>
    <s v="WQNOV91"/>
    <d v="1991-11-14T00:00:00"/>
    <s v="F3"/>
    <n v="12.4954"/>
    <n v="12.7066"/>
    <x v="0"/>
  </r>
  <r>
    <s v="WQJAN92"/>
    <d v="1992-01-09T00:00:00"/>
    <s v="F3"/>
    <n v="5.1069000000000004"/>
    <n v="5.4112"/>
    <x v="1"/>
  </r>
  <r>
    <s v="WQFEB92"/>
    <d v="1992-02-04T00:00:00"/>
    <s v="F3"/>
    <n v="2.3388"/>
    <n v="2.2604000000000002"/>
    <x v="1"/>
  </r>
  <r>
    <s v="WQMAY92"/>
    <d v="1992-05-05T00:00:00"/>
    <s v="F3"/>
    <m/>
    <n v="5.7537000000000003"/>
    <x v="1"/>
  </r>
  <r>
    <s v="WQJUN92"/>
    <d v="1992-06-02T00:00:00"/>
    <s v="F3"/>
    <m/>
    <n v="9.5611999999999995"/>
    <x v="1"/>
  </r>
  <r>
    <s v="WQJUL92"/>
    <d v="1992-07-08T00:00:00"/>
    <s v="F3"/>
    <m/>
    <n v="15.5999"/>
    <x v="1"/>
  </r>
  <r>
    <s v="WQAUG92"/>
    <d v="1992-08-05T00:00:00"/>
    <s v="F3"/>
    <n v="20.853400000000001"/>
    <m/>
    <x v="1"/>
  </r>
  <r>
    <s v="WQSEP92"/>
    <d v="1992-09-01T00:00:00"/>
    <s v="F3"/>
    <n v="21.2118"/>
    <n v="20.484999999999999"/>
    <x v="1"/>
  </r>
  <r>
    <s v="WQOCT92"/>
    <d v="1992-10-06T00:00:00"/>
    <s v="F3"/>
    <n v="18.276399999999999"/>
    <n v="18.206900000000001"/>
    <x v="1"/>
  </r>
  <r>
    <s v="WQNOV92"/>
    <d v="1992-11-04T00:00:00"/>
    <s v="F3"/>
    <n v="13.6778"/>
    <n v="13.9255"/>
    <x v="1"/>
  </r>
  <r>
    <s v="WQDEC92"/>
    <d v="1992-12-08T00:00:00"/>
    <s v="F3"/>
    <m/>
    <n v="8.7170000000000005"/>
    <x v="1"/>
  </r>
  <r>
    <s v="WQJAN93"/>
    <d v="1993-01-14T00:00:00"/>
    <s v="F3"/>
    <n v="4.0494000000000003"/>
    <n v="4.2202000000000002"/>
    <x v="2"/>
  </r>
  <r>
    <s v="WQFEB93"/>
    <d v="1993-02-08T00:00:00"/>
    <s v="F3"/>
    <m/>
    <n v="1.9651000000000001"/>
    <x v="2"/>
  </r>
  <r>
    <s v="WQMAR93"/>
    <d v="1993-03-08T00:00:00"/>
    <s v="F3"/>
    <m/>
    <n v="0.92259999999999998"/>
    <x v="2"/>
  </r>
  <r>
    <s v="WQMAY93"/>
    <d v="1993-05-05T00:00:00"/>
    <s v="F3"/>
    <n v="9.8834"/>
    <n v="5.6178999999999997"/>
    <x v="2"/>
  </r>
  <r>
    <s v="WQJUN93"/>
    <d v="1993-06-01T00:00:00"/>
    <s v="F3"/>
    <m/>
    <n v="10.1281"/>
    <x v="2"/>
  </r>
  <r>
    <s v="WQJUL93"/>
    <d v="1993-07-07T00:00:00"/>
    <s v="F3"/>
    <n v="21.3416"/>
    <n v="15.276400000000001"/>
    <x v="2"/>
  </r>
  <r>
    <s v="WQAUG93"/>
    <d v="1993-08-02T00:00:00"/>
    <s v="F3"/>
    <n v="22.995999999999999"/>
    <n v="18.832799999999999"/>
    <x v="2"/>
  </r>
  <r>
    <s v="WQSEP93"/>
    <d v="1993-09-07T00:00:00"/>
    <s v="F3"/>
    <n v="23.427600000000002"/>
    <n v="21.964300000000001"/>
    <x v="2"/>
  </r>
  <r>
    <s v="WQOCT93"/>
    <d v="1993-10-05T00:00:00"/>
    <s v="F3"/>
    <n v="19.040400000000002"/>
    <n v="19.002700000000001"/>
    <x v="2"/>
  </r>
  <r>
    <s v="WQNOV93"/>
    <d v="1993-11-02T00:00:00"/>
    <s v="F3"/>
    <n v="14.4505"/>
    <n v="14.464600000000001"/>
    <x v="2"/>
  </r>
  <r>
    <s v="WQDEC93"/>
    <d v="1993-12-15T00:00:00"/>
    <s v="F3"/>
    <n v="8.3665000000000003"/>
    <n v="8.4007000000000005"/>
    <x v="2"/>
  </r>
  <r>
    <s v="WQJAN94"/>
    <d v="1994-01-11T00:00:00"/>
    <s v="F3"/>
    <n v="2.75"/>
    <n v="2.83"/>
    <x v="3"/>
  </r>
  <r>
    <s v="WQFEB94"/>
    <d v="1994-02-01T00:00:00"/>
    <s v="F3"/>
    <n v="-0.05"/>
    <n v="0.24"/>
    <x v="3"/>
  </r>
  <r>
    <s v="WQMAR94"/>
    <d v="1994-03-07T00:00:00"/>
    <s v="F3"/>
    <n v="-0.25"/>
    <n v="-0.63"/>
    <x v="3"/>
  </r>
  <r>
    <s v="WQAPR94"/>
    <d v="1994-04-05T00:00:00"/>
    <s v="F3"/>
    <n v="4.2"/>
    <n v="1.37"/>
    <x v="3"/>
  </r>
  <r>
    <s v="WQMAY94"/>
    <d v="1994-05-03T00:00:00"/>
    <s v="F3"/>
    <n v="8.9"/>
    <n v="5.3"/>
    <x v="3"/>
  </r>
  <r>
    <s v="WQJUN94"/>
    <d v="1994-06-01T00:00:00"/>
    <s v="F3"/>
    <n v="13.2"/>
    <n v="10.43"/>
    <x v="3"/>
  </r>
  <r>
    <s v="HYJUN94"/>
    <d v="1994-06-23T00:00:00"/>
    <s v="F3"/>
    <n v="18.489999999999998"/>
    <m/>
    <x v="3"/>
  </r>
  <r>
    <s v="WQJUL94"/>
    <d v="1994-07-07T00:00:00"/>
    <s v="F3"/>
    <n v="22.06"/>
    <n v="14.71"/>
    <x v="3"/>
  </r>
  <r>
    <s v="HYJUL94"/>
    <d v="1994-07-21T00:00:00"/>
    <s v="F3"/>
    <n v="23.23"/>
    <m/>
    <x v="3"/>
  </r>
  <r>
    <s v="WQAUG94"/>
    <d v="1994-08-01T00:00:00"/>
    <s v="F3"/>
    <n v="24"/>
    <n v="19.07"/>
    <x v="3"/>
  </r>
  <r>
    <s v="HYAUG94"/>
    <d v="1994-08-17T00:00:00"/>
    <s v="F3"/>
    <n v="21.56"/>
    <m/>
    <x v="3"/>
  </r>
  <r>
    <s v="WQSEP94"/>
    <d v="1994-08-29T00:00:00"/>
    <s v="F3"/>
    <n v="22.27"/>
    <n v="21.73"/>
    <x v="3"/>
  </r>
  <r>
    <s v="WQOCT94"/>
    <d v="1994-10-04T00:00:00"/>
    <s v="F3"/>
    <n v="18.809999999999999"/>
    <n v="18.84"/>
    <x v="3"/>
  </r>
  <r>
    <s v="WQNOV94"/>
    <d v="1994-11-09T00:00:00"/>
    <s v="F3"/>
    <n v="15.03"/>
    <n v="14.91"/>
    <x v="3"/>
  </r>
  <r>
    <s v="WQDEC94"/>
    <d v="1994-12-07T00:00:00"/>
    <s v="F3"/>
    <n v="10.43"/>
    <n v="10.41"/>
    <x v="3"/>
  </r>
  <r>
    <s v="WQJAN95"/>
    <d v="1995-01-10T00:00:00"/>
    <s v="F3"/>
    <n v="4.47"/>
    <n v="5.3"/>
    <x v="4"/>
  </r>
  <r>
    <s v="WQFEB95"/>
    <d v="1995-02-15T00:00:00"/>
    <s v="F3"/>
    <n v="1.0900000000000001"/>
    <n v="1.52"/>
    <x v="4"/>
  </r>
  <r>
    <s v="WQMAR95"/>
    <d v="1995-03-07T00:00:00"/>
    <s v="F3"/>
    <n v="2.13"/>
    <n v="1.76"/>
    <x v="4"/>
  </r>
  <r>
    <s v="WQAPR95"/>
    <d v="1995-04-10T00:00:00"/>
    <s v="F3"/>
    <n v="4.95"/>
    <n v="4.2300000000000004"/>
    <x v="4"/>
  </r>
  <r>
    <s v="WQMAY95"/>
    <d v="1995-05-09T00:00:00"/>
    <s v="F3"/>
    <n v="9.16"/>
    <n v="7.51"/>
    <x v="4"/>
  </r>
  <r>
    <s v="WQJUN95"/>
    <d v="1995-06-05T00:00:00"/>
    <s v="F3"/>
    <n v="16.239999999999998"/>
    <n v="11.08"/>
    <x v="4"/>
  </r>
  <r>
    <s v="WQJUL95"/>
    <d v="1995-07-07T00:00:00"/>
    <s v="F3"/>
    <n v="21.51"/>
    <n v="14.4544"/>
    <x v="4"/>
  </r>
  <r>
    <s v="HYJUL95"/>
    <d v="1995-07-19T00:00:00"/>
    <s v="F3"/>
    <n v="21.71"/>
    <n v="17.230499999999999"/>
    <x v="4"/>
  </r>
  <r>
    <s v="WQAUG95"/>
    <d v="1995-08-02T00:00:00"/>
    <s v="F3"/>
    <n v="24.01"/>
    <n v="19.03"/>
    <x v="4"/>
  </r>
  <r>
    <s v="HYAUG95"/>
    <d v="1995-08-15T00:00:00"/>
    <s v="F3"/>
    <n v="24.38"/>
    <n v="20.43"/>
    <x v="4"/>
  </r>
  <r>
    <s v="WQSEP95"/>
    <d v="1995-09-11T00:00:00"/>
    <s v="F3"/>
    <m/>
    <n v="21.97"/>
    <x v="4"/>
  </r>
  <r>
    <s v="WQOCT95"/>
    <d v="1995-10-04T00:00:00"/>
    <s v="F3"/>
    <n v="19.91"/>
    <n v="19.8629"/>
    <x v="4"/>
  </r>
  <r>
    <s v="WQNOV95"/>
    <d v="1995-11-01T00:00:00"/>
    <s v="F3"/>
    <n v="16.39"/>
    <n v="16.5"/>
    <x v="4"/>
  </r>
  <r>
    <s v="WQDEC95"/>
    <d v="1995-12-06T00:00:00"/>
    <s v="F3"/>
    <n v="9.3000000000000007"/>
    <n v="9.35"/>
    <x v="4"/>
  </r>
  <r>
    <s v="WQFEB96"/>
    <d v="1996-02-09T00:00:00"/>
    <s v="F3"/>
    <n v="0.39"/>
    <m/>
    <x v="5"/>
  </r>
  <r>
    <s v="WQMAR96"/>
    <d v="1996-03-06T00:00:00"/>
    <s v="F3"/>
    <n v="0.77"/>
    <n v="0.75"/>
    <x v="5"/>
  </r>
  <r>
    <s v="WQAPR96"/>
    <d v="1996-04-03T00:00:00"/>
    <s v="F3"/>
    <n v="3.15"/>
    <n v="2.4700000000000002"/>
    <x v="5"/>
  </r>
  <r>
    <s v="WQMAY96"/>
    <d v="1996-05-13T00:00:00"/>
    <s v="F3"/>
    <n v="9.75"/>
    <n v="8.1199999999999992"/>
    <x v="5"/>
  </r>
  <r>
    <s v="WQJUN96"/>
    <d v="1996-06-03T00:00:00"/>
    <s v="F3"/>
    <n v="13.84"/>
    <n v="10"/>
    <x v="5"/>
  </r>
  <r>
    <s v="HYJUN96"/>
    <d v="1996-06-27T00:00:00"/>
    <s v="F3"/>
    <n v="18.18"/>
    <n v="12.39"/>
    <x v="5"/>
  </r>
  <r>
    <s v="WQJUL96"/>
    <d v="1996-07-09T00:00:00"/>
    <s v="F3"/>
    <n v="19.399999999999999"/>
    <n v="15.63"/>
    <x v="5"/>
  </r>
  <r>
    <s v="HYJUL96"/>
    <d v="1996-07-25T00:00:00"/>
    <s v="F3"/>
    <n v="20.420000000000002"/>
    <n v="18"/>
    <x v="5"/>
  </r>
  <r>
    <s v="WQAUG96"/>
    <d v="1996-08-08T00:00:00"/>
    <s v="F3"/>
    <n v="22.95"/>
    <n v="18.87"/>
    <x v="5"/>
  </r>
  <r>
    <s v="HYAUG96"/>
    <d v="1996-08-22T00:00:00"/>
    <s v="F3"/>
    <n v="22.42"/>
    <n v="19.54"/>
    <x v="5"/>
  </r>
  <r>
    <s v="WQSEP96"/>
    <d v="1996-09-06T00:00:00"/>
    <s v="F3"/>
    <n v="22.84"/>
    <n v="20.54"/>
    <x v="5"/>
  </r>
  <r>
    <s v="WQOCT96"/>
    <d v="1996-10-04T00:00:00"/>
    <s v="F3"/>
    <n v="19.059999999999999"/>
    <n v="19.05"/>
    <x v="5"/>
  </r>
  <r>
    <s v="WQNOV96"/>
    <d v="1996-11-05T00:00:00"/>
    <s v="F3"/>
    <n v="14.11"/>
    <n v="14.18"/>
    <x v="5"/>
  </r>
  <r>
    <s v="WQDEC96"/>
    <d v="1996-12-10T00:00:00"/>
    <s v="F3"/>
    <n v="8"/>
    <n v="8.5"/>
    <x v="5"/>
  </r>
  <r>
    <s v="WQFEB97"/>
    <d v="1997-02-04T00:00:00"/>
    <s v="F3"/>
    <n v="2.16"/>
    <n v="2.34"/>
    <x v="6"/>
  </r>
  <r>
    <s v="WQMAR97"/>
    <d v="1997-03-04T00:00:00"/>
    <s v="F3"/>
    <n v="3.12"/>
    <n v="3.09"/>
    <x v="6"/>
  </r>
  <r>
    <s v="WQAPR97"/>
    <d v="1997-04-02T00:00:00"/>
    <s v="F3"/>
    <n v="4.7300000000000004"/>
    <n v="4.24"/>
    <x v="6"/>
  </r>
  <r>
    <s v="WQMAY97"/>
    <d v="1997-05-09T00:00:00"/>
    <s v="F3"/>
    <n v="9.43"/>
    <n v="8.52"/>
    <x v="6"/>
  </r>
  <r>
    <s v="WQJUN97"/>
    <d v="1997-06-05T00:00:00"/>
    <s v="F3"/>
    <n v="13.06"/>
    <n v="11.05"/>
    <x v="6"/>
  </r>
  <r>
    <s v="HYJUN97"/>
    <d v="1997-06-30T00:00:00"/>
    <s v="F3"/>
    <n v="20.2"/>
    <m/>
    <x v="6"/>
  </r>
  <r>
    <s v="HYJUL97"/>
    <d v="1997-07-23T00:00:00"/>
    <s v="F3"/>
    <n v="19.8"/>
    <m/>
    <x v="6"/>
  </r>
  <r>
    <s v="WQAUG97"/>
    <d v="1997-08-04T00:00:00"/>
    <s v="F3"/>
    <n v="20.87"/>
    <n v="16.45"/>
    <x v="6"/>
  </r>
  <r>
    <s v="HYAUG97"/>
    <d v="1997-08-22T00:00:00"/>
    <s v="F3"/>
    <n v="21.32"/>
    <n v="20.28"/>
    <x v="6"/>
  </r>
  <r>
    <s v="WQSEP97"/>
    <d v="1997-09-05T00:00:00"/>
    <s v="F3"/>
    <n v="21.08"/>
    <n v="21.03"/>
    <x v="6"/>
  </r>
  <r>
    <s v="WQOCT97"/>
    <d v="1997-10-07T00:00:00"/>
    <s v="F3"/>
    <n v="19.11"/>
    <n v="19"/>
    <x v="6"/>
  </r>
  <r>
    <s v="WQNOV97"/>
    <d v="1997-11-04T00:00:00"/>
    <s v="F3"/>
    <n v="14.79"/>
    <n v="14.88"/>
    <x v="6"/>
  </r>
  <r>
    <s v="WQDEC97"/>
    <d v="1997-12-09T00:00:00"/>
    <s v="F3"/>
    <n v="7.71"/>
    <n v="7.89"/>
    <x v="6"/>
  </r>
  <r>
    <s v="WQJAN98"/>
    <d v="1998-01-08T00:00:00"/>
    <s v="F3"/>
    <n v="4.87"/>
    <n v="5.09"/>
    <x v="7"/>
  </r>
  <r>
    <s v="WQFEB98"/>
    <d v="1998-02-02T00:00:00"/>
    <s v="F3"/>
    <n v="3.85"/>
    <n v="3.68"/>
    <x v="7"/>
  </r>
  <r>
    <s v="WQMAR98"/>
    <d v="1998-03-03T00:00:00"/>
    <s v="F3"/>
    <n v="4.2300000000000004"/>
    <n v="3.94"/>
    <x v="7"/>
  </r>
  <r>
    <s v="WQAPR98"/>
    <d v="1998-04-15T00:00:00"/>
    <s v="F3"/>
    <n v="7.6"/>
    <n v="6.14"/>
    <x v="7"/>
  </r>
  <r>
    <s v="WQMAY98"/>
    <d v="1998-05-08T00:00:00"/>
    <s v="F3"/>
    <n v="11.77"/>
    <n v="8.3699999999999992"/>
    <x v="7"/>
  </r>
  <r>
    <s v="WQJUN98"/>
    <d v="1998-06-01T00:00:00"/>
    <s v="F3"/>
    <n v="15.9"/>
    <n v="12.05"/>
    <x v="7"/>
  </r>
  <r>
    <s v="HYJUN98"/>
    <d v="1998-06-26T00:00:00"/>
    <s v="F3"/>
    <n v="21.4"/>
    <n v="14.84"/>
    <x v="7"/>
  </r>
  <r>
    <s v="WQJUL98"/>
    <d v="1998-07-09T00:00:00"/>
    <s v="F3"/>
    <n v="20.05"/>
    <n v="15.53"/>
    <x v="7"/>
  </r>
  <r>
    <s v="HYJUL98"/>
    <d v="1998-07-23T00:00:00"/>
    <s v="F3"/>
    <n v="21.35"/>
    <n v="18.22"/>
    <x v="7"/>
  </r>
  <r>
    <s v="WQAUG98"/>
    <d v="1998-08-04T00:00:00"/>
    <s v="F3"/>
    <n v="22.65"/>
    <n v="19.57"/>
    <x v="7"/>
  </r>
  <r>
    <s v="HYAUG98"/>
    <d v="1998-08-18T00:00:00"/>
    <s v="F3"/>
    <n v="23.11"/>
    <n v="20.260000000000002"/>
    <x v="7"/>
  </r>
  <r>
    <s v="WQSEP98"/>
    <d v="1998-09-03T00:00:00"/>
    <s v="F3"/>
    <n v="23.33"/>
    <n v="21.48"/>
    <x v="7"/>
  </r>
  <r>
    <s v="WQOCT98"/>
    <d v="1998-10-07T00:00:00"/>
    <s v="F3"/>
    <n v="19.350000000000001"/>
    <n v="19.45"/>
    <x v="7"/>
  </r>
  <r>
    <s v="WQNOV98"/>
    <d v="1998-11-06T00:00:00"/>
    <s v="F3"/>
    <n v="14.54"/>
    <n v="14.55"/>
    <x v="7"/>
  </r>
  <r>
    <s v="WQDEC98"/>
    <d v="1998-12-03T00:00:00"/>
    <s v="F3"/>
    <n v="10.63"/>
    <n v="10.67"/>
    <x v="7"/>
  </r>
  <r>
    <s v="WQJAN99"/>
    <d v="1999-01-08T00:00:00"/>
    <s v="F3"/>
    <n v="4.9000000000000004"/>
    <n v="5.23"/>
    <x v="8"/>
  </r>
  <r>
    <s v="WQFEB99"/>
    <d v="1999-02-03T00:00:00"/>
    <s v="F3"/>
    <n v="3.47"/>
    <n v="3.38"/>
    <x v="8"/>
  </r>
  <r>
    <s v="WQMAR99"/>
    <d v="1999-03-05T00:00:00"/>
    <s v="F3"/>
    <n v="3.27"/>
    <n v="3.12"/>
    <x v="8"/>
  </r>
  <r>
    <s v="WQAPR99"/>
    <d v="1999-04-08T00:00:00"/>
    <s v="F3"/>
    <n v="6.67"/>
    <n v="4.5199999999999996"/>
    <x v="8"/>
  </r>
  <r>
    <s v="WQMAY99"/>
    <d v="1999-05-07T00:00:00"/>
    <s v="F3"/>
    <n v="10.74"/>
    <n v="7.79"/>
    <x v="8"/>
  </r>
  <r>
    <s v="WQJUN99"/>
    <d v="1999-06-01T00:00:00"/>
    <s v="F3"/>
    <n v="15.82"/>
    <n v="11.02"/>
    <x v="8"/>
  </r>
  <r>
    <s v="HYJUN99"/>
    <d v="1999-06-25T00:00:00"/>
    <s v="F3"/>
    <n v="19.82"/>
    <n v="15.34"/>
    <x v="8"/>
  </r>
  <r>
    <s v="WQJUL99"/>
    <d v="1999-07-08T00:00:00"/>
    <s v="F3"/>
    <n v="23.03"/>
    <n v="17.52"/>
    <x v="8"/>
  </r>
  <r>
    <s v="HYJUL99"/>
    <d v="1999-07-22T00:00:00"/>
    <s v="F3"/>
    <n v="22.75"/>
    <n v="19.41"/>
    <x v="8"/>
  </r>
  <r>
    <s v="WQAUG99"/>
    <d v="1999-08-05T00:00:00"/>
    <s v="F3"/>
    <n v="24.11"/>
    <n v="20.28"/>
    <x v="8"/>
  </r>
  <r>
    <s v="HYAUG99"/>
    <d v="1999-08-19T00:00:00"/>
    <s v="F3"/>
    <n v="23.11"/>
    <n v="21.53"/>
    <x v="8"/>
  </r>
  <r>
    <s v="WQSEP99"/>
    <d v="1999-09-02T00:00:00"/>
    <s v="F3"/>
    <n v="21.89"/>
    <n v="21.87"/>
    <x v="8"/>
  </r>
  <r>
    <s v="WQOCT99"/>
    <d v="1999-09-29T00:00:00"/>
    <s v="F3"/>
    <n v="20.92"/>
    <n v="20.78"/>
    <x v="8"/>
  </r>
  <r>
    <s v="WQNOV99"/>
    <d v="1999-11-02T00:00:00"/>
    <s v="F3"/>
    <n v="15.98"/>
    <n v="16.010000000000002"/>
    <x v="8"/>
  </r>
  <r>
    <s v="WQDEC99"/>
    <d v="1999-12-08T00:00:00"/>
    <s v="F3"/>
    <n v="10.15"/>
    <n v="10.14"/>
    <x v="8"/>
  </r>
  <r>
    <s v="WQJAN00"/>
    <d v="2000-01-07T00:00:00"/>
    <s v="F3"/>
    <n v="5.97"/>
    <n v="6.2"/>
    <x v="9"/>
  </r>
  <r>
    <s v="WQFEB00"/>
    <d v="2000-02-04T00:00:00"/>
    <s v="F3"/>
    <n v="1"/>
    <n v="1.07"/>
    <x v="9"/>
  </r>
  <r>
    <s v="WQMAR00"/>
    <d v="2000-03-15T00:00:00"/>
    <s v="F3"/>
    <n v="3.64"/>
    <n v="2.8"/>
    <x v="9"/>
  </r>
  <r>
    <s v="WQAPR00"/>
    <d v="2000-04-07T00:00:00"/>
    <s v="F3"/>
    <n v="6.13"/>
    <n v="5.24"/>
    <x v="9"/>
  </r>
  <r>
    <s v="WQMAY00"/>
    <d v="2000-05-02T00:00:00"/>
    <s v="F3"/>
    <n v="9.18"/>
    <n v="7.32"/>
    <x v="9"/>
  </r>
  <r>
    <s v="WQJUN00"/>
    <d v="2000-06-02T00:00:00"/>
    <s v="F3"/>
    <n v="14.59"/>
    <n v="11.14"/>
    <x v="9"/>
  </r>
  <r>
    <s v="HYJUN00"/>
    <d v="2000-06-23T00:00:00"/>
    <s v="F3"/>
    <n v="18.45"/>
    <n v="13.84"/>
    <x v="9"/>
  </r>
  <r>
    <s v="WQJUL00"/>
    <d v="2000-07-07T00:00:00"/>
    <s v="F3"/>
    <n v="19.059999999999999"/>
    <n v="16.190000000000001"/>
    <x v="9"/>
  </r>
  <r>
    <s v="HYJUL00"/>
    <d v="2000-07-20T00:00:00"/>
    <s v="F3"/>
    <n v="20.14"/>
    <n v="16.96"/>
    <x v="9"/>
  </r>
  <r>
    <s v="WQAUG00"/>
    <d v="2000-08-03T00:00:00"/>
    <s v="F3"/>
    <n v="20.83"/>
    <n v="19.010000000000002"/>
    <x v="9"/>
  </r>
  <r>
    <s v="HYAUG00"/>
    <d v="2000-08-17T00:00:00"/>
    <s v="F3"/>
    <n v="21.23"/>
    <n v="20.09"/>
    <x v="9"/>
  </r>
  <r>
    <s v="WQSEP00"/>
    <d v="2000-09-01T00:00:00"/>
    <s v="F3"/>
    <n v="22.3"/>
    <n v="20.94"/>
    <x v="9"/>
  </r>
  <r>
    <s v="WQOCT00"/>
    <d v="2000-10-02T00:00:00"/>
    <s v="F3"/>
    <n v="19.61"/>
    <n v="19.670000000000002"/>
    <x v="9"/>
  </r>
  <r>
    <s v="WQNOV00"/>
    <d v="2000-11-13T00:00:00"/>
    <s v="F3"/>
    <n v="13.3"/>
    <n v="13.38"/>
    <x v="9"/>
  </r>
  <r>
    <s v="WQDEC00"/>
    <d v="2000-12-05T00:00:00"/>
    <s v="F3"/>
    <n v="8.5500000000000007"/>
    <n v="8.7899999999999991"/>
    <x v="9"/>
  </r>
  <r>
    <s v="WQJAN01"/>
    <d v="2001-01-12T00:00:00"/>
    <s v="F3"/>
    <n v="2.27"/>
    <n v="2.31"/>
    <x v="10"/>
  </r>
  <r>
    <s v="WQFEB01"/>
    <d v="2001-02-08T00:00:00"/>
    <s v="F3"/>
    <n v="1.92"/>
    <n v="1.87"/>
    <x v="10"/>
  </r>
  <r>
    <s v="WQMAR01"/>
    <d v="2001-03-02T00:00:00"/>
    <s v="F3"/>
    <n v="1.76"/>
    <n v="1.83"/>
    <x v="10"/>
  </r>
  <r>
    <s v="WQAPR01"/>
    <d v="2001-04-05T00:00:00"/>
    <s v="F3"/>
    <n v="4.5599999999999996"/>
    <n v="3.26"/>
    <x v="10"/>
  </r>
  <r>
    <s v="WQMAY01"/>
    <d v="2001-05-02T00:00:00"/>
    <s v="F3"/>
    <m/>
    <m/>
    <x v="10"/>
  </r>
  <r>
    <s v="WQJUN01"/>
    <d v="2001-06-05T00:00:00"/>
    <s v="F3"/>
    <n v="13.55"/>
    <n v="11.28"/>
    <x v="10"/>
  </r>
  <r>
    <s v="HYJUN01"/>
    <d v="2001-06-22T00:00:00"/>
    <s v="F3"/>
    <n v="18.04"/>
    <n v="12.93"/>
    <x v="10"/>
  </r>
  <r>
    <s v="WQJUL01"/>
    <d v="2001-07-11T00:00:00"/>
    <s v="F3"/>
    <n v="19.739999999999998"/>
    <n v="15.86"/>
    <x v="10"/>
  </r>
  <r>
    <s v="HYJUL01"/>
    <d v="2001-07-26T00:00:00"/>
    <s v="F3"/>
    <n v="20.98"/>
    <n v="18.78"/>
    <x v="10"/>
  </r>
  <r>
    <s v="WQAUG01"/>
    <d v="2001-08-06T00:00:00"/>
    <s v="F3"/>
    <n v="22.64"/>
    <n v="19.21"/>
    <x v="10"/>
  </r>
  <r>
    <s v="HYAUG01"/>
    <d v="2001-08-20T00:00:00"/>
    <s v="F3"/>
    <n v="22.58"/>
    <n v="20.9"/>
    <x v="10"/>
  </r>
  <r>
    <s v="WQSEP01"/>
    <d v="2001-09-05T00:00:00"/>
    <s v="F3"/>
    <n v="22.74"/>
    <n v="21.46"/>
    <x v="10"/>
  </r>
  <r>
    <s v="WQOCT01"/>
    <d v="2001-10-03T00:00:00"/>
    <s v="F3"/>
    <n v="19.63"/>
    <n v="19.39"/>
    <x v="10"/>
  </r>
  <r>
    <s v="WQNOV01"/>
    <d v="2001-11-14T00:00:00"/>
    <s v="F3"/>
    <n v="13.31"/>
    <n v="13.3"/>
    <x v="10"/>
  </r>
  <r>
    <s v="WQDEC01"/>
    <d v="2001-12-06T00:00:00"/>
    <s v="F3"/>
    <n v="12.1"/>
    <n v="11.85"/>
    <x v="10"/>
  </r>
  <r>
    <s v="WQJAN02"/>
    <d v="2002-01-14T00:00:00"/>
    <s v="F3"/>
    <n v="5.57"/>
    <n v="5.56"/>
    <x v="11"/>
  </r>
  <r>
    <s v="WQFEB02"/>
    <d v="2002-02-07T00:00:00"/>
    <s v="F3"/>
    <n v="4.34"/>
    <n v="4.3600000000000003"/>
    <x v="11"/>
  </r>
  <r>
    <s v="WQMAR02"/>
    <d v="2002-03-01T00:00:00"/>
    <s v="F3"/>
    <n v="4.4000000000000004"/>
    <n v="4.42"/>
    <x v="11"/>
  </r>
  <r>
    <s v="WQAPR02"/>
    <d v="2002-04-05T00:00:00"/>
    <s v="F3"/>
    <n v="6.44"/>
    <n v="5.61"/>
    <x v="11"/>
  </r>
  <r>
    <s v="WQMAY02"/>
    <d v="2002-05-09T00:00:00"/>
    <s v="F3"/>
    <n v="11.45"/>
    <n v="9.0500000000000007"/>
    <x v="11"/>
  </r>
  <r>
    <s v="WQJUN02"/>
    <d v="2002-06-10T00:00:00"/>
    <s v="F3"/>
    <n v="16.73"/>
    <n v="12.35"/>
    <x v="11"/>
  </r>
  <r>
    <s v="WQJUL02"/>
    <d v="2002-07-10T00:00:00"/>
    <s v="F3"/>
    <n v="21.08"/>
    <n v="15.86"/>
    <x v="11"/>
  </r>
  <r>
    <s v="HYJUL02"/>
    <d v="2002-07-25T00:00:00"/>
    <s v="F3"/>
    <n v="20.51"/>
    <n v="18.7"/>
    <x v="11"/>
  </r>
  <r>
    <s v="WQAUG02"/>
    <d v="2002-08-08T00:00:00"/>
    <s v="F3"/>
    <n v="23.2"/>
    <n v="20.170000000000002"/>
    <x v="11"/>
  </r>
  <r>
    <s v="HYAUG02"/>
    <d v="2002-08-23T00:00:00"/>
    <s v="F3"/>
    <n v="23.41"/>
    <n v="21.99"/>
    <x v="11"/>
  </r>
  <r>
    <s v="WQSEP02"/>
    <d v="2002-09-13T00:00:00"/>
    <s v="F3"/>
    <n v="21.7"/>
    <n v="21.75"/>
    <x v="11"/>
  </r>
  <r>
    <s v="WQOCT02"/>
    <d v="2002-10-10T00:00:00"/>
    <s v="F3"/>
    <n v="20.399999999999999"/>
    <n v="20.51"/>
    <x v="11"/>
  </r>
  <r>
    <s v="WQNOV02"/>
    <d v="2002-11-14T00:00:00"/>
    <s v="F3"/>
    <n v="12.99"/>
    <n v="13.29"/>
    <x v="11"/>
  </r>
  <r>
    <s v="WQDEC02"/>
    <d v="2002-12-13T00:00:00"/>
    <s v="F3"/>
    <n v="6.79"/>
    <n v="6.75"/>
    <x v="11"/>
  </r>
  <r>
    <s v="WQFEB03"/>
    <d v="2003-02-06T00:00:00"/>
    <s v="F3"/>
    <n v="0.65"/>
    <n v="0.56999999999999995"/>
    <x v="12"/>
  </r>
  <r>
    <s v="WQMAR03"/>
    <d v="2003-03-11T00:00:00"/>
    <s v="F3"/>
    <n v="-0.13"/>
    <n v="-0.11"/>
    <x v="12"/>
  </r>
  <r>
    <s v="WQAPR03"/>
    <d v="2003-04-02T00:00:00"/>
    <s v="F3"/>
    <n v="3.15"/>
    <n v="2.0699999999999998"/>
    <x v="12"/>
  </r>
  <r>
    <s v="WQMAY03"/>
    <d v="2003-05-07T00:00:00"/>
    <s v="F3"/>
    <n v="9.52"/>
    <n v="5.96"/>
    <x v="12"/>
  </r>
  <r>
    <s v="WQJUN03"/>
    <d v="2003-06-04T00:00:00"/>
    <s v="F3"/>
    <n v="13.26"/>
    <n v="9.07"/>
    <x v="12"/>
  </r>
  <r>
    <s v="HYJUN03"/>
    <d v="2003-06-19T00:00:00"/>
    <s v="F3"/>
    <n v="14.87"/>
    <n v="11.47"/>
    <x v="12"/>
  </r>
  <r>
    <s v="WQJUL03"/>
    <d v="2003-07-09T00:00:00"/>
    <s v="F3"/>
    <n v="21.98"/>
    <n v="13.55"/>
    <x v="12"/>
  </r>
  <r>
    <s v="HYJUL03"/>
    <d v="2003-07-25T00:00:00"/>
    <s v="F3"/>
    <n v="20.100000000000001"/>
    <n v="16.510000000000002"/>
    <x v="12"/>
  </r>
  <r>
    <s v="WQAUG03"/>
    <d v="2003-08-05T00:00:00"/>
    <s v="F3"/>
    <n v="21.14"/>
    <n v="18.350000000000001"/>
    <x v="12"/>
  </r>
  <r>
    <s v="HYAUG03"/>
    <d v="2003-08-21T00:00:00"/>
    <s v="F3"/>
    <n v="23.17"/>
    <n v="19.41"/>
    <x v="12"/>
  </r>
  <r>
    <s v="WQSEP03"/>
    <d v="2003-09-08T00:00:00"/>
    <s v="F3"/>
    <n v="21.1"/>
    <n v="20.54"/>
    <x v="12"/>
  </r>
  <r>
    <s v="WQOCT03"/>
    <d v="2003-10-07T00:00:00"/>
    <s v="F3"/>
    <n v="18.82"/>
    <n v="18.97"/>
    <x v="12"/>
  </r>
  <r>
    <s v="WQNOV03"/>
    <d v="2003-11-06T00:00:00"/>
    <s v="F3"/>
    <n v="15.05"/>
    <n v="15.21"/>
    <x v="12"/>
  </r>
  <r>
    <s v="WQDEC03"/>
    <d v="2003-12-10T00:00:00"/>
    <s v="F3"/>
    <n v="7.44"/>
    <n v="7.84"/>
    <x v="12"/>
  </r>
  <r>
    <s v="WQJAN04"/>
    <d v="2004-01-13T00:00:00"/>
    <s v="F3"/>
    <n v="3.31"/>
    <n v="3.56"/>
    <x v="13"/>
  </r>
  <r>
    <s v="WQFEB04"/>
    <d v="2004-02-03T00:00:00"/>
    <s v="F3"/>
    <n v="-0.68"/>
    <n v="-0.64"/>
    <x v="13"/>
  </r>
  <r>
    <s v="WQMAR04"/>
    <d v="2004-03-02T00:00:00"/>
    <s v="F3"/>
    <n v="1.48"/>
    <n v="0.57999999999999996"/>
    <x v="13"/>
  </r>
  <r>
    <s v="WQAPR04"/>
    <d v="2004-04-12T00:00:00"/>
    <s v="F3"/>
    <n v="5.27"/>
    <n v="3.56"/>
    <x v="13"/>
  </r>
  <r>
    <s v="WQMAY04"/>
    <d v="2004-05-07T00:00:00"/>
    <s v="F3"/>
    <n v="10.66"/>
    <n v="6.74"/>
    <x v="13"/>
  </r>
  <r>
    <s v="WQJUN04"/>
    <d v="2004-06-03T00:00:00"/>
    <s v="F3"/>
    <n v="13.49"/>
    <n v="9.99"/>
    <x v="13"/>
  </r>
  <r>
    <s v="HYJUN04"/>
    <d v="2004-06-28T00:00:00"/>
    <s v="F3"/>
    <n v="19.11"/>
    <n v="14.5"/>
    <x v="13"/>
  </r>
  <r>
    <s v="WQJUL04"/>
    <d v="2004-07-07T00:00:00"/>
    <s v="F3"/>
    <n v="19.600000000000001"/>
    <n v="15.73"/>
    <x v="13"/>
  </r>
  <r>
    <s v="HYJUL04"/>
    <d v="2004-07-21T00:00:00"/>
    <s v="F3"/>
    <n v="20.79"/>
    <n v="16.760000000000002"/>
    <x v="13"/>
  </r>
  <r>
    <s v="WQAUG04"/>
    <d v="2004-08-06T00:00:00"/>
    <s v="F3"/>
    <n v="20.5"/>
    <n v="18.84"/>
    <x v="13"/>
  </r>
  <r>
    <s v="HYAUG04"/>
    <d v="2004-08-20T00:00:00"/>
    <s v="F3"/>
    <n v="23.84"/>
    <n v="20.29"/>
    <x v="13"/>
  </r>
  <r>
    <s v="WQSEP04"/>
    <d v="2004-09-01T00:00:00"/>
    <s v="F3"/>
    <n v="22.51"/>
    <n v="20.98"/>
    <x v="13"/>
  </r>
  <r>
    <s v="WQOCT04"/>
    <d v="2004-10-08T00:00:00"/>
    <s v="F3"/>
    <n v="19.72"/>
    <n v="20.16"/>
    <x v="13"/>
  </r>
  <r>
    <s v="WQJAN05"/>
    <d v="2005-01-11T00:00:00"/>
    <s v="F3"/>
    <n v="4.8099999999999996"/>
    <n v="5.09"/>
    <x v="14"/>
  </r>
  <r>
    <s v="WQFEB05"/>
    <d v="2005-02-01T00:00:00"/>
    <s v="F3"/>
    <n v="0.71"/>
    <n v="1.52"/>
    <x v="14"/>
  </r>
  <r>
    <s v="WQMAR05"/>
    <d v="2005-03-11T00:00:00"/>
    <s v="F3"/>
    <n v="0.93"/>
    <n v="1.07"/>
    <x v="14"/>
  </r>
  <r>
    <s v="WQAPR05"/>
    <d v="2005-04-08T00:00:00"/>
    <s v="F3"/>
    <n v="4.93"/>
    <n v="2.71"/>
    <x v="14"/>
  </r>
  <r>
    <s v="WQMAY05"/>
    <d v="2005-05-06T00:00:00"/>
    <s v="F3"/>
    <n v="9.3000000000000007"/>
    <n v="6.5"/>
    <x v="14"/>
  </r>
  <r>
    <s v="WQJUN05"/>
    <d v="2005-06-08T00:00:00"/>
    <s v="F3"/>
    <n v="18.36"/>
    <n v="10.95"/>
    <x v="14"/>
  </r>
  <r>
    <s v="WQJUL05"/>
    <d v="2005-07-12T00:00:00"/>
    <s v="F3"/>
    <n v="21.42"/>
    <n v="14.88"/>
    <x v="14"/>
  </r>
  <r>
    <s v="HYJUL05"/>
    <d v="2005-07-19T00:00:00"/>
    <s v="F3"/>
    <n v="21.48"/>
    <n v="15.47"/>
    <x v="14"/>
  </r>
  <r>
    <s v="WQAUG05"/>
    <d v="2005-08-04T00:00:00"/>
    <s v="F3"/>
    <n v="24.7"/>
    <n v="18.739999999999998"/>
    <x v="14"/>
  </r>
  <r>
    <s v="HYAUG05"/>
    <d v="2005-08-19T00:00:00"/>
    <s v="F3"/>
    <n v="22.66"/>
    <n v="20.65"/>
    <x v="14"/>
  </r>
  <r>
    <s v="WQSEP05"/>
    <d v="2005-09-02T00:00:00"/>
    <s v="F3"/>
    <n v="23.52"/>
    <n v="21.04"/>
    <x v="14"/>
  </r>
  <r>
    <s v="WQOCT05"/>
    <d v="2005-10-11T00:00:00"/>
    <s v="F3"/>
    <n v="20.72"/>
    <n v="21"/>
    <x v="14"/>
  </r>
  <r>
    <s v="WQNOV05"/>
    <d v="2005-11-15T00:00:00"/>
    <s v="F3"/>
    <n v="13.44"/>
    <n v="13.57"/>
    <x v="14"/>
  </r>
  <r>
    <s v="WQDEC05"/>
    <d v="2005-12-08T00:00:00"/>
    <s v="F3"/>
    <n v="8.56"/>
    <n v="8.66"/>
    <x v="14"/>
  </r>
  <r>
    <s v="WQMAR06"/>
    <d v="2006-03-07T00:00:00"/>
    <s v="F3"/>
    <n v="2.4900000000000002"/>
    <n v="2.39"/>
    <x v="15"/>
  </r>
  <r>
    <s v="WQAPR06"/>
    <d v="2006-04-12T00:00:00"/>
    <s v="F3"/>
    <n v="5.91"/>
    <n v="5.0599999999999996"/>
    <x v="15"/>
  </r>
  <r>
    <s v="WQMAY06"/>
    <d v="2006-05-04T00:00:00"/>
    <s v="F3"/>
    <n v="11.2"/>
    <n v="7.31"/>
    <x v="15"/>
  </r>
  <r>
    <s v="WQJUN06"/>
    <d v="2006-06-09T00:00:00"/>
    <s v="F3"/>
    <n v="16.37"/>
    <n v="11.99"/>
    <x v="15"/>
  </r>
  <r>
    <s v="HYJUN06"/>
    <d v="2006-06-23T00:00:00"/>
    <s v="F3"/>
    <n v="18.489999999999998"/>
    <n v="14.05"/>
    <x v="15"/>
  </r>
  <r>
    <s v="WQJUL06"/>
    <d v="2006-07-07T00:00:00"/>
    <s v="F3"/>
    <n v="17.98"/>
    <n v="15.64"/>
    <x v="15"/>
  </r>
  <r>
    <s v="HYJUL06"/>
    <d v="2006-07-19T00:00:00"/>
    <s v="F3"/>
    <n v="20.7"/>
    <n v="17.22"/>
    <x v="15"/>
  </r>
  <r>
    <s v="WQAUG06"/>
    <d v="2006-08-03T00:00:00"/>
    <s v="F3"/>
    <n v="25.61"/>
    <n v="18.989999999999998"/>
    <x v="15"/>
  </r>
  <r>
    <s v="HYAUG06"/>
    <d v="2006-08-18T00:00:00"/>
    <s v="F3"/>
    <n v="23"/>
    <n v="20.94"/>
    <x v="15"/>
  </r>
  <r>
    <s v="WQSEP06"/>
    <d v="2006-08-30T00:00:00"/>
    <s v="F3"/>
    <n v="21.76"/>
    <n v="21.42"/>
    <x v="15"/>
  </r>
  <r>
    <s v="WQOCT06"/>
    <d v="2006-10-17T00:00:00"/>
    <s v="F3"/>
    <n v="17.77"/>
    <n v="17.82"/>
    <x v="15"/>
  </r>
  <r>
    <s v="WQNOV06"/>
    <d v="2006-11-07T00:00:00"/>
    <s v="F3"/>
    <n v="13.61"/>
    <n v="13.67"/>
    <x v="15"/>
  </r>
  <r>
    <s v="WQDEC06"/>
    <d v="2006-12-11T00:00:00"/>
    <s v="F3"/>
    <n v="9.5299999999999994"/>
    <n v="9.82"/>
    <x v="15"/>
  </r>
  <r>
    <s v="WQJAN07"/>
    <d v="2007-01-18T00:00:00"/>
    <s v="F3"/>
    <n v="6.21"/>
    <n v="6.75"/>
    <x v="16"/>
  </r>
  <r>
    <s v="WQFEB07"/>
    <d v="2007-02-13T00:00:00"/>
    <s v="F3"/>
    <n v="1.71"/>
    <n v="1.83"/>
    <x v="16"/>
  </r>
  <r>
    <s v="WQMAR07"/>
    <d v="2007-03-13T00:00:00"/>
    <s v="F3"/>
    <n v="1.1299999999999999"/>
    <n v="0.92"/>
    <x v="16"/>
  </r>
  <r>
    <s v="WQAPR07"/>
    <d v="2007-04-04T00:00:00"/>
    <s v="F3"/>
    <n v="3.8"/>
    <n v="2.4700000000000002"/>
    <x v="16"/>
  </r>
  <r>
    <s v="WQMAY07"/>
    <d v="2007-05-09T00:00:00"/>
    <s v="F3"/>
    <n v="10.83"/>
    <n v="5.86"/>
    <x v="16"/>
  </r>
  <r>
    <s v="WQJUN07"/>
    <d v="2007-06-07T00:00:00"/>
    <s v="F3"/>
    <n v="14.9"/>
    <n v="11.02"/>
    <x v="16"/>
  </r>
  <r>
    <s v="HYJUN07"/>
    <d v="2007-06-21T00:00:00"/>
    <s v="F3"/>
    <n v="18.399999999999999"/>
    <n v="12.41"/>
    <x v="16"/>
  </r>
  <r>
    <s v="WQJUL07"/>
    <d v="2007-07-11T00:00:00"/>
    <s v="F3"/>
    <n v="20.88"/>
    <n v="16.510000000000002"/>
    <x v="16"/>
  </r>
  <r>
    <s v="HYJUL07"/>
    <d v="2007-07-20T00:00:00"/>
    <s v="F3"/>
    <n v="21.42"/>
    <n v="17.64"/>
    <x v="16"/>
  </r>
  <r>
    <s v="WQAUG07"/>
    <d v="2007-07-31T00:00:00"/>
    <s v="F3"/>
    <n v="22.9"/>
    <n v="18.27"/>
    <x v="16"/>
  </r>
  <r>
    <s v="HYAUG07"/>
    <d v="2007-08-15T00:00:00"/>
    <s v="F3"/>
    <n v="22.46"/>
    <n v="19.87"/>
    <x v="16"/>
  </r>
  <r>
    <s v="WQSEP07"/>
    <d v="2007-08-30T00:00:00"/>
    <s v="F3"/>
    <n v="22.36"/>
    <n v="21.29"/>
    <x v="16"/>
  </r>
  <r>
    <s v="WQOCT07"/>
    <d v="2007-10-04T00:00:00"/>
    <s v="F3"/>
    <n v="21.08"/>
    <n v="20.78"/>
    <x v="16"/>
  </r>
  <r>
    <s v="WQNOV07"/>
    <d v="2007-11-09T00:00:00"/>
    <s v="F3"/>
    <n v="15.29"/>
    <n v="15.42"/>
    <x v="16"/>
  </r>
  <r>
    <s v="WQDEC07"/>
    <d v="2007-12-10T00:00:00"/>
    <s v="F3"/>
    <n v="8.01"/>
    <n v="8.68"/>
    <x v="16"/>
  </r>
  <r>
    <s v="WQJAN08"/>
    <d v="2008-01-08T00:00:00"/>
    <s v="F3"/>
    <n v="4.57"/>
    <n v="5.03"/>
    <x v="17"/>
  </r>
  <r>
    <s v="WQFEB08"/>
    <d v="2008-02-07T00:00:00"/>
    <s v="F3"/>
    <n v="3.36"/>
    <n v="3.22"/>
    <x v="17"/>
  </r>
  <r>
    <s v="WQMAR08"/>
    <d v="2008-03-06T00:00:00"/>
    <s v="F3"/>
    <n v="2.99"/>
    <n v="2.78"/>
    <x v="17"/>
  </r>
  <r>
    <s v="WQAPR08"/>
    <d v="2008-04-09T00:00:00"/>
    <s v="F3"/>
    <n v="5.85"/>
    <n v="4.83"/>
    <x v="17"/>
  </r>
  <r>
    <s v="WQMAY08"/>
    <d v="2008-05-06T00:00:00"/>
    <s v="F3"/>
    <n v="11.43"/>
    <n v="8.75"/>
    <x v="17"/>
  </r>
  <r>
    <s v="WQJUN08"/>
    <d v="2008-06-05T00:00:00"/>
    <s v="F3"/>
    <n v="15.26"/>
    <n v="11.39"/>
    <x v="17"/>
  </r>
  <r>
    <s v="HYJUN08"/>
    <d v="2008-06-17T00:00:00"/>
    <s v="F3"/>
    <n v="18.670000000000002"/>
    <n v="12.39"/>
    <x v="17"/>
  </r>
  <r>
    <s v="WQJUL08"/>
    <d v="2008-07-02T00:00:00"/>
    <s v="F3"/>
    <n v="20.56"/>
    <n v="14.63"/>
    <x v="17"/>
  </r>
  <r>
    <s v="WQAUG08"/>
    <d v="2008-08-05T00:00:00"/>
    <s v="F3"/>
    <n v="22.77"/>
    <n v="19.97"/>
    <x v="17"/>
  </r>
  <r>
    <s v="HYAUG08"/>
    <d v="2008-08-22T00:00:00"/>
    <s v="F3"/>
    <n v="22.71"/>
    <n v="20.39"/>
    <x v="17"/>
  </r>
  <r>
    <s v="WQSEP08"/>
    <d v="2008-09-03T00:00:00"/>
    <s v="F3"/>
    <n v="22.49"/>
    <n v="21.26"/>
    <x v="17"/>
  </r>
  <r>
    <s v="HYSEP08"/>
    <d v="2008-09-16T00:00:00"/>
    <s v="F3"/>
    <n v="22.11"/>
    <n v="21.06"/>
    <x v="17"/>
  </r>
  <r>
    <s v="WQOCT08"/>
    <d v="2008-10-08T00:00:00"/>
    <s v="F3"/>
    <n v="19.260000000000002"/>
    <n v="19.149999999999999"/>
    <x v="17"/>
  </r>
  <r>
    <s v="WQNOV08"/>
    <d v="2008-11-12T00:00:00"/>
    <s v="F3"/>
    <n v="13.74"/>
    <n v="13.66"/>
    <x v="17"/>
  </r>
  <r>
    <s v="WQDEC08"/>
    <d v="2008-12-18T00:00:00"/>
    <s v="F3"/>
    <n v="7.21"/>
    <n v="7.76"/>
    <x v="17"/>
  </r>
  <r>
    <s v="WQJAN09"/>
    <d v="2009-01-13T00:00:00"/>
    <s v="F3"/>
    <n v="3.16"/>
    <n v="3.33"/>
    <x v="18"/>
  </r>
  <r>
    <s v="WQFEB09"/>
    <d v="2009-02-06T00:00:00"/>
    <s v="F3"/>
    <n v="0.72"/>
    <n v="1.07"/>
    <x v="18"/>
  </r>
  <r>
    <s v="WQMAR09"/>
    <d v="2009-03-06T00:00:00"/>
    <s v="F3"/>
    <n v="1.37"/>
    <n v="1.45"/>
    <x v="18"/>
  </r>
  <r>
    <s v="WQAPR09"/>
    <d v="2009-04-02T00:00:00"/>
    <s v="F3"/>
    <n v="4.62"/>
    <n v="3.39"/>
    <x v="18"/>
  </r>
  <r>
    <s v="WQMAY09"/>
    <d v="2009-04-30T00:00:00"/>
    <s v="F3"/>
    <n v="9.5299999999999994"/>
    <n v="6.72"/>
    <x v="18"/>
  </r>
  <r>
    <s v="WQJUN09"/>
    <d v="2009-06-08T00:00:00"/>
    <s v="F3"/>
    <n v="15.75"/>
    <n v="11.36"/>
    <x v="18"/>
  </r>
  <r>
    <s v="HYJUN09"/>
    <d v="2009-06-23T00:00:00"/>
    <s v="F3"/>
    <n v="16.88"/>
    <n v="13.08"/>
    <x v="18"/>
  </r>
  <r>
    <s v="WQJUL09"/>
    <d v="2009-07-09T00:00:00"/>
    <s v="F3"/>
    <n v="19.350000000000001"/>
    <n v="14.65"/>
    <x v="18"/>
  </r>
  <r>
    <s v="HYJUL09"/>
    <d v="2009-07-21T00:00:00"/>
    <s v="F3"/>
    <n v="20.16"/>
    <n v="16.13"/>
    <x v="18"/>
  </r>
  <r>
    <s v="WQAUG09"/>
    <d v="2009-08-04T00:00:00"/>
    <s v="F3"/>
    <n v="22.41"/>
    <n v="18.510000000000002"/>
    <x v="18"/>
  </r>
  <r>
    <s v="HYAUG09"/>
    <d v="2009-08-18T00:00:00"/>
    <s v="F3"/>
    <n v="23.27"/>
    <n v="19.309999999999999"/>
    <x v="18"/>
  </r>
  <r>
    <s v="WQSEP09"/>
    <d v="2009-09-02T00:00:00"/>
    <s v="F3"/>
    <n v="22.46"/>
    <n v="20.420000000000002"/>
    <x v="18"/>
  </r>
  <r>
    <s v="WQOCT09"/>
    <d v="2009-10-08T00:00:00"/>
    <s v="F3"/>
    <n v="18.79"/>
    <n v="18.82"/>
    <x v="18"/>
  </r>
  <r>
    <s v="WQNOV09"/>
    <d v="2009-11-05T00:00:00"/>
    <s v="F3"/>
    <n v="14.16"/>
    <n v="14.56"/>
    <x v="18"/>
  </r>
  <r>
    <s v="WQDEC09"/>
    <d v="2009-12-07T00:00:00"/>
    <s v="F3"/>
    <n v="10.46"/>
    <n v="10.82"/>
    <x v="18"/>
  </r>
  <r>
    <s v="WQJAN10"/>
    <d v="2010-01-08T00:00:00"/>
    <s v="F3"/>
    <n v="3.09"/>
    <n v="3.34"/>
    <x v="19"/>
  </r>
  <r>
    <s v="WQFEB10"/>
    <d v="2010-02-09T00:00:00"/>
    <s v="F3"/>
    <n v="1.24"/>
    <n v="1.5"/>
    <x v="19"/>
  </r>
  <r>
    <s v="WQMAR10"/>
    <d v="2010-03-05T00:00:00"/>
    <s v="F3"/>
    <n v="2.19"/>
    <n v="1.93"/>
    <x v="19"/>
  </r>
  <r>
    <s v="WQAPR10"/>
    <d v="2010-04-01T00:00:00"/>
    <s v="F3"/>
    <n v="5.55"/>
    <n v="4.5"/>
    <x v="19"/>
  </r>
  <r>
    <s v="WQMAY10"/>
    <d v="2010-05-05T00:00:00"/>
    <s v="F3"/>
    <n v="12.28"/>
    <n v="8.42"/>
    <x v="19"/>
  </r>
  <r>
    <s v="WQJUN10"/>
    <d v="2010-06-03T00:00:00"/>
    <s v="F3"/>
    <n v="18.43"/>
    <n v="11.16"/>
    <x v="19"/>
  </r>
  <r>
    <s v="HYJUN10"/>
    <d v="2010-06-18T00:00:00"/>
    <s v="F3"/>
    <m/>
    <m/>
    <x v="19"/>
  </r>
  <r>
    <s v="WQJUL10"/>
    <d v="2010-07-09T00:00:00"/>
    <s v="F3"/>
    <n v="23.35"/>
    <n v="15.86"/>
    <x v="19"/>
  </r>
  <r>
    <s v="HYJUL10"/>
    <d v="2010-07-21T00:00:00"/>
    <s v="F3"/>
    <n v="25.36"/>
    <n v="19.010000000000002"/>
    <x v="19"/>
  </r>
  <r>
    <s v="WQAUG10"/>
    <d v="2010-08-04T00:00:00"/>
    <s v="F3"/>
    <n v="23.24"/>
    <n v="20.94"/>
    <x v="19"/>
  </r>
  <r>
    <s v="HYAUG10"/>
    <d v="2010-08-19T00:00:00"/>
    <s v="F3"/>
    <n v="23.1"/>
    <n v="21.68"/>
    <x v="19"/>
  </r>
  <r>
    <s v="WQSEP10"/>
    <d v="2010-09-01T00:00:00"/>
    <s v="F3"/>
    <n v="23.84"/>
    <n v="22.02"/>
    <x v="19"/>
  </r>
  <r>
    <s v="WQOCT10"/>
    <d v="2010-10-12T00:00:00"/>
    <s v="F3"/>
    <n v="19.09"/>
    <n v="19.02"/>
    <x v="19"/>
  </r>
  <r>
    <s v="WQNOV10"/>
    <d v="2010-11-05T00:00:00"/>
    <s v="F3"/>
    <n v="14.67"/>
    <n v="14.84"/>
    <x v="19"/>
  </r>
  <r>
    <s v="WQDEC10"/>
    <d v="2010-12-03T00:00:00"/>
    <s v="F3"/>
    <n v="10.1"/>
    <n v="10.59"/>
    <x v="19"/>
  </r>
  <r>
    <s v="WQJAN11"/>
    <d v="2011-01-04T00:00:00"/>
    <s v="F3"/>
    <n v="3.34"/>
    <n v="3.78"/>
    <x v="20"/>
  </r>
  <r>
    <s v="WQFEB11"/>
    <d v="2011-02-07T00:00:00"/>
    <s v="F3"/>
    <n v="0.51"/>
    <n v="0.97"/>
    <x v="20"/>
  </r>
  <r>
    <s v="WQMAR11"/>
    <d v="2011-03-15T00:00:00"/>
    <s v="F3"/>
    <n v="3.24"/>
    <n v="2.29"/>
    <x v="20"/>
  </r>
  <r>
    <s v="WQAPR11"/>
    <d v="2011-04-08T00:00:00"/>
    <s v="F3"/>
    <n v="4.8600000000000003"/>
    <n v="3.92"/>
    <x v="20"/>
  </r>
  <r>
    <s v="WQMAY11"/>
    <d v="2011-05-04T00:00:00"/>
    <s v="F3"/>
    <n v="10.74"/>
    <n v="6.88"/>
    <x v="20"/>
  </r>
  <r>
    <s v="WQJUN11"/>
    <d v="2011-06-06T00:00:00"/>
    <s v="F3"/>
    <n v="16.8"/>
    <n v="10.73"/>
    <x v="20"/>
  </r>
  <r>
    <s v="HYJUN11"/>
    <d v="2011-06-16T00:00:00"/>
    <s v="F3"/>
    <n v="17.02"/>
    <n v="12.7"/>
    <x v="20"/>
  </r>
  <r>
    <s v="WQJUL11"/>
    <d v="2011-07-07T00:00:00"/>
    <s v="F3"/>
    <n v="21.82"/>
    <n v="16.420000000000002"/>
    <x v="20"/>
  </r>
  <r>
    <s v="HYJUL11"/>
    <d v="2011-07-19T00:00:00"/>
    <s v="F3"/>
    <n v="22.18"/>
    <n v="17.420000000000002"/>
    <x v="20"/>
  </r>
  <r>
    <s v="WQAUG11"/>
    <d v="2011-08-02T00:00:00"/>
    <s v="F3"/>
    <n v="23.67"/>
    <n v="20.399999999999999"/>
    <x v="20"/>
  </r>
  <r>
    <s v="HYAUG11"/>
    <d v="2011-08-16T00:00:00"/>
    <s v="F3"/>
    <n v="22.18"/>
    <n v="20.43"/>
    <x v="20"/>
  </r>
  <r>
    <s v="WQSEP11"/>
    <d v="2011-09-01T00:00:00"/>
    <s v="F3"/>
    <n v="23.11"/>
    <n v="22.01"/>
    <x v="20"/>
  </r>
  <r>
    <s v="WQOCT11"/>
    <d v="2011-10-07T00:00:00"/>
    <s v="F3"/>
    <n v="19.829999999999998"/>
    <n v="20.22"/>
    <x v="20"/>
  </r>
  <r>
    <s v="WQNOV11"/>
    <d v="2011-11-14T00:00:00"/>
    <s v="F3"/>
    <n v="13.64"/>
    <n v="13.6"/>
    <x v="20"/>
  </r>
  <r>
    <s v="WQJAN12"/>
    <d v="2012-01-11T00:00:00"/>
    <s v="F3"/>
    <n v="6.45"/>
    <n v="7.08"/>
    <x v="21"/>
  </r>
  <r>
    <s v="WQFEB12"/>
    <d v="2012-02-07T00:00:00"/>
    <s v="F3"/>
    <n v="4.6399999999999997"/>
    <n v="5.35"/>
    <x v="21"/>
  </r>
  <r>
    <s v="WQMAR12"/>
    <d v="2012-03-06T00:00:00"/>
    <s v="F3"/>
    <n v="4.59"/>
    <n v="4.99"/>
    <x v="21"/>
  </r>
  <r>
    <s v="WQAPR12"/>
    <d v="2012-04-04T00:00:00"/>
    <s v="F3"/>
    <n v="7.41"/>
    <n v="6.91"/>
    <x v="21"/>
  </r>
  <r>
    <s v="WQMAY12"/>
    <d v="2012-05-03T00:00:00"/>
    <s v="F3"/>
    <n v="10.96"/>
    <n v="10.06"/>
    <x v="21"/>
  </r>
  <r>
    <s v="WQJUN12"/>
    <d v="2012-05-31T00:00:00"/>
    <s v="F3"/>
    <n v="17.559999999999999"/>
    <n v="12.28"/>
    <x v="21"/>
  </r>
  <r>
    <s v="HYJUN12"/>
    <d v="2012-06-12T00:00:00"/>
    <s v="F3"/>
    <n v="18.899999999999999"/>
    <n v="13.76"/>
    <x v="21"/>
  </r>
  <r>
    <s v="WQJUL12"/>
    <d v="2012-06-28T00:00:00"/>
    <s v="F3"/>
    <n v="19.82"/>
    <n v="15.52"/>
    <x v="21"/>
  </r>
  <r>
    <s v="HYJUL12"/>
    <d v="2012-07-17T00:00:00"/>
    <s v="F3"/>
    <n v="24.67"/>
    <n v="18.940000000000001"/>
    <x v="21"/>
  </r>
  <r>
    <s v="WQAUG12"/>
    <d v="2012-07-31T00:00:00"/>
    <s v="F3"/>
    <n v="22.72"/>
    <n v="20.94"/>
    <x v="21"/>
  </r>
  <r>
    <s v="HYAUG12"/>
    <d v="2012-08-15T00:00:00"/>
    <s v="F3"/>
    <n v="24.58"/>
    <n v="21.95"/>
    <x v="21"/>
  </r>
  <r>
    <s v="WQSEP12"/>
    <d v="2012-08-30T00:00:00"/>
    <s v="F3"/>
    <n v="23.74"/>
    <n v="22.84"/>
    <x v="21"/>
  </r>
  <r>
    <s v="WQOCT12"/>
    <d v="2012-10-02T00:00:00"/>
    <s v="F3"/>
    <n v="21.07"/>
    <n v="21.05"/>
    <x v="21"/>
  </r>
  <r>
    <s v="WQNOV12"/>
    <d v="2012-11-15T00:00:00"/>
    <s v="F3"/>
    <n v="13.01"/>
    <n v="13.02"/>
    <x v="21"/>
  </r>
  <r>
    <s v="WQDEC12"/>
    <d v="2012-12-05T00:00:00"/>
    <s v="F3"/>
    <n v="9.7200000000000006"/>
    <n v="10.07"/>
    <x v="21"/>
  </r>
  <r>
    <s v="WQJAN13"/>
    <d v="2013-01-11T00:00:00"/>
    <s v="F3"/>
    <n v="5.0599999999999996"/>
    <n v="5.25"/>
    <x v="22"/>
  </r>
  <r>
    <s v="WQFEB13"/>
    <d v="2013-02-05T00:00:00"/>
    <s v="F3"/>
    <n v="2.6"/>
    <n v="2.85"/>
    <x v="22"/>
  </r>
  <r>
    <s v="WQMAR13"/>
    <d v="2013-03-12T00:00:00"/>
    <s v="F3"/>
    <n v="3.19"/>
    <n v="2.64"/>
    <x v="22"/>
  </r>
  <r>
    <s v="WQAPR13"/>
    <d v="2013-04-05T00:00:00"/>
    <s v="F3"/>
    <n v="4.3099999999999996"/>
    <n v="4.0599999999999996"/>
    <x v="22"/>
  </r>
  <r>
    <s v="WQMAY13"/>
    <d v="2013-04-30T00:00:00"/>
    <s v="F3"/>
    <n v="9.35"/>
    <n v="7.74"/>
    <x v="22"/>
  </r>
  <r>
    <s v="WQJUN13"/>
    <d v="2013-06-04T00:00:00"/>
    <s v="F3"/>
    <n v="15.09"/>
    <n v="12.17"/>
    <x v="22"/>
  </r>
  <r>
    <s v="HYJUN13"/>
    <d v="2013-06-21T00:00:00"/>
    <s v="F3"/>
    <n v="19.440000000000001"/>
    <n v="13.81"/>
    <x v="22"/>
  </r>
  <r>
    <s v="WQJUL13"/>
    <d v="2013-07-03T00:00:00"/>
    <s v="F3"/>
    <n v="21.26"/>
    <n v="15.85"/>
    <x v="22"/>
  </r>
  <r>
    <s v="HYJUL13"/>
    <d v="2013-07-16T00:00:00"/>
    <s v="F3"/>
    <n v="24.09"/>
    <n v="16.97"/>
    <x v="22"/>
  </r>
  <r>
    <s v="WQAUG13"/>
    <d v="2013-07-30T00:00:00"/>
    <s v="F3"/>
    <n v="23.34"/>
    <n v="18.940000000000001"/>
    <x v="22"/>
  </r>
  <r>
    <s v="HYAUG13"/>
    <d v="2013-08-13T00:00:00"/>
    <s v="F3"/>
    <n v="22.69"/>
    <n v="21.31"/>
    <x v="22"/>
  </r>
  <r>
    <s v="WQSEP13"/>
    <d v="2013-08-29T00:00:00"/>
    <s v="F3"/>
    <n v="22.79"/>
    <n v="21.56"/>
    <x v="22"/>
  </r>
  <r>
    <s v="HYSEP13"/>
    <d v="2013-09-09T00:00:00"/>
    <s v="F3"/>
    <n v="22.16"/>
    <n v="21.54"/>
    <x v="22"/>
  </r>
  <r>
    <s v="WQOCT13"/>
    <d v="2013-10-03T00:00:00"/>
    <s v="F3"/>
    <n v="20.28"/>
    <n v="19.98"/>
    <x v="22"/>
  </r>
  <r>
    <s v="WQNOV13"/>
    <d v="2013-11-06T00:00:00"/>
    <s v="F3"/>
    <n v="15.45"/>
    <n v="15.29"/>
    <x v="22"/>
  </r>
  <r>
    <s v="WQDEC13"/>
    <d v="2013-12-09T00:00:00"/>
    <s v="F3"/>
    <n v="8.9"/>
    <n v="8.92"/>
    <x v="22"/>
  </r>
  <r>
    <s v="WQJAN14"/>
    <d v="2014-01-10T00:00:00"/>
    <s v="F3"/>
    <n v="2.54"/>
    <n v="3.1"/>
    <x v="23"/>
  </r>
  <r>
    <s v="WQFEB14"/>
    <d v="2014-02-04T00:00:00"/>
    <s v="F3"/>
    <n v="0.73"/>
    <n v="1.06"/>
    <x v="23"/>
  </r>
  <r>
    <s v="WQMAR14"/>
    <d v="2014-03-04T00:00:00"/>
    <s v="F3"/>
    <n v="0.43"/>
    <n v="0.28999999999999998"/>
    <x v="23"/>
  </r>
  <r>
    <s v="WQAPR14"/>
    <d v="2014-04-03T00:00:00"/>
    <s v="F3"/>
    <n v="2.6"/>
    <n v="1.93"/>
    <x v="23"/>
  </r>
  <r>
    <s v="WQMAY14"/>
    <d v="2014-05-08T00:00:00"/>
    <s v="F3"/>
    <n v="9.9700000000000006"/>
    <n v="6.81"/>
    <x v="23"/>
  </r>
  <r>
    <s v="WQJUN14"/>
    <d v="2014-06-04T00:00:00"/>
    <s v="F3"/>
    <n v="16.690000000000001"/>
    <n v="10.36"/>
    <x v="23"/>
  </r>
  <r>
    <s v="HYJUN14"/>
    <d v="2014-06-19T00:00:00"/>
    <s v="F3"/>
    <n v="18.12"/>
    <n v="12.75"/>
    <x v="23"/>
  </r>
  <r>
    <s v="WQJUL14"/>
    <d v="2014-07-01T00:00:00"/>
    <s v="F3"/>
    <n v="20.48"/>
    <n v="14.76"/>
    <x v="23"/>
  </r>
  <r>
    <s v="HYJUL14"/>
    <d v="2014-07-15T00:00:00"/>
    <s v="F3"/>
    <n v="20.9"/>
    <n v="18.48"/>
    <x v="23"/>
  </r>
  <r>
    <s v="WQAUG14"/>
    <d v="2014-08-05T00:00:00"/>
    <s v="F3"/>
    <n v="22.86"/>
    <n v="19.87"/>
    <x v="23"/>
  </r>
  <r>
    <s v="HYAUG14"/>
    <d v="2014-08-18T00:00:00"/>
    <s v="F3"/>
    <n v="22.36"/>
    <n v="20.98"/>
    <x v="23"/>
  </r>
  <r>
    <s v="WQSEP14"/>
    <d v="2014-09-03T00:00:00"/>
    <s v="F3"/>
    <n v="23.45"/>
    <n v="21.84"/>
    <x v="23"/>
  </r>
  <r>
    <s v="HYSEP14"/>
    <d v="2014-09-15T00:00:00"/>
    <s v="F3"/>
    <n v="21.83"/>
    <n v="22"/>
    <x v="23"/>
  </r>
  <r>
    <s v="WQOCT14"/>
    <d v="2014-10-03T00:00:00"/>
    <s v="F3"/>
    <n v="20.52"/>
    <n v="20.49"/>
    <x v="23"/>
  </r>
  <r>
    <s v="WQNOV14"/>
    <d v="2014-11-12T00:00:00"/>
    <s v="F3"/>
    <n v="14.02"/>
    <n v="14.15"/>
    <x v="23"/>
  </r>
  <r>
    <s v="WQDEC14"/>
    <d v="2014-12-12T00:00:00"/>
    <s v="F3"/>
    <n v="7.66"/>
    <n v="8"/>
    <x v="23"/>
  </r>
  <r>
    <s v="WQJAN15"/>
    <d v="2015-01-15T00:00:00"/>
    <s v="F3"/>
    <n v="2.4700000000000002"/>
    <n v="3.58"/>
    <x v="24"/>
  </r>
  <r>
    <s v="WQFEB15"/>
    <d v="2015-02-06T00:00:00"/>
    <s v="F3"/>
    <n v="0.71"/>
    <n v="0.84"/>
    <x v="24"/>
  </r>
  <r>
    <s v="WQMAR15"/>
    <d v="2015-03-09T00:00:00"/>
    <s v="F3"/>
    <n v="-0.76"/>
    <n v="-1.1100000000000001"/>
    <x v="24"/>
  </r>
  <r>
    <s v="WQAPR15"/>
    <d v="2015-03-31T00:00:00"/>
    <s v="F3"/>
    <n v="1.33"/>
    <n v="0.86"/>
    <x v="24"/>
  </r>
  <r>
    <s v="WQMAY15"/>
    <d v="2015-05-04T00:00:00"/>
    <s v="F3"/>
    <n v="8.4499999999999993"/>
    <n v="5.14"/>
    <x v="24"/>
  </r>
  <r>
    <s v="WQJUN15"/>
    <d v="2015-06-05T00:00:00"/>
    <s v="F3"/>
    <n v="13.57"/>
    <n v="10.81"/>
    <x v="24"/>
  </r>
  <r>
    <s v="WQJUL15"/>
    <d v="2015-07-08T00:00:00"/>
    <s v="F3"/>
    <n v="21.44"/>
    <n v="15.19"/>
    <x v="24"/>
  </r>
  <r>
    <s v="HYJUL15"/>
    <d v="2015-07-21T00:00:00"/>
    <s v="F3"/>
    <n v="24.55"/>
    <n v="16.63"/>
    <x v="24"/>
  </r>
  <r>
    <s v="WQAUG15"/>
    <d v="2015-08-05T00:00:00"/>
    <s v="F3"/>
    <n v="23.11"/>
    <n v="20.48"/>
    <x v="24"/>
  </r>
  <r>
    <s v="HYAUG15"/>
    <d v="2015-08-18T00:00:00"/>
    <s v="F3"/>
    <n v="24.8"/>
    <n v="21.15"/>
    <x v="24"/>
  </r>
  <r>
    <s v="WQSEP15"/>
    <d v="2015-09-02T00:00:00"/>
    <s v="F3"/>
    <n v="24.1"/>
    <n v="22.58"/>
    <x v="24"/>
  </r>
  <r>
    <s v="HYSEP15"/>
    <d v="2015-09-16T00:00:00"/>
    <s v="F3"/>
    <n v="23.45"/>
    <n v="23.09"/>
    <x v="24"/>
  </r>
  <r>
    <s v="WQOCT15"/>
    <d v="2015-10-09T00:00:00"/>
    <s v="F3"/>
    <n v="19.440000000000001"/>
    <n v="19.52"/>
    <x v="24"/>
  </r>
  <r>
    <s v="WQNOV15"/>
    <d v="2015-11-10T00:00:00"/>
    <s v="F3"/>
    <n v="15.36"/>
    <n v="15.49"/>
    <x v="24"/>
  </r>
  <r>
    <s v="WQDEC15"/>
    <d v="2015-12-14T00:00:00"/>
    <s v="F3"/>
    <n v="11.1"/>
    <n v="11.05"/>
    <x v="24"/>
  </r>
  <r>
    <s v="WQJAN16"/>
    <d v="2016-01-08T00:00:00"/>
    <s v="F3"/>
    <n v="7.91"/>
    <n v="7.96"/>
    <x v="25"/>
  </r>
  <r>
    <s v="WQFEB16"/>
    <d v="2016-02-02T00:00:00"/>
    <s v="F3"/>
    <n v="4.3099999999999996"/>
    <n v="4.3600000000000003"/>
    <x v="25"/>
  </r>
  <r>
    <s v="WQMAR16"/>
    <d v="2016-03-09T00:00:00"/>
    <s v="F3"/>
    <n v="3.99"/>
    <n v="3.41"/>
    <x v="25"/>
  </r>
  <r>
    <s v="WQAPR16"/>
    <d v="2016-04-06T00:00:00"/>
    <s v="F3"/>
    <n v="6.45"/>
    <n v="6.05"/>
    <x v="25"/>
  </r>
  <r>
    <s v="WQMAY16"/>
    <d v="2016-05-18T00:00:00"/>
    <s v="F3"/>
    <n v="10.8"/>
    <n v="10.130000000000001"/>
    <x v="25"/>
  </r>
  <r>
    <s v="WQJUN16"/>
    <d v="2016-06-14T00:00:00"/>
    <s v="F3"/>
    <n v="14.98"/>
    <n v="13.61"/>
    <x v="25"/>
  </r>
  <r>
    <s v="WQJUL16"/>
    <d v="2016-07-07T00:00:00"/>
    <s v="F3"/>
    <n v="21.06"/>
    <n v="16.61"/>
    <x v="25"/>
  </r>
  <r>
    <s v="HYJUL16"/>
    <d v="2016-07-19T00:00:00"/>
    <s v="F3"/>
    <n v="24.06"/>
    <n v="18.010000000000002"/>
    <x v="25"/>
  </r>
  <r>
    <s v="WQAUG16"/>
    <d v="2016-08-04T00:00:00"/>
    <s v="F3"/>
    <n v="23.28"/>
    <n v="20.010000000000002"/>
    <x v="25"/>
  </r>
  <r>
    <s v="HYAUG16"/>
    <d v="2016-08-16T00:00:00"/>
    <s v="F3"/>
    <n v="23.79"/>
    <n v="22.14"/>
    <x v="25"/>
  </r>
  <r>
    <s v="WQSEP16"/>
    <d v="2016-08-31T00:00:00"/>
    <s v="F3"/>
    <n v="24.51"/>
    <n v="22.94"/>
    <x v="25"/>
  </r>
  <r>
    <s v="HYSEP16"/>
    <d v="2016-09-12T00:00:00"/>
    <s v="F3"/>
    <n v="23.82"/>
    <n v="23.11"/>
    <x v="25"/>
  </r>
  <r>
    <s v="WQOCT16"/>
    <d v="2016-10-06T00:00:00"/>
    <s v="F3"/>
    <n v="20.51"/>
    <n v="20.399999999999999"/>
    <x v="25"/>
  </r>
  <r>
    <s v="WQNOV16"/>
    <d v="2016-11-08T00:00:00"/>
    <s v="F3"/>
    <n v="15.45"/>
    <n v="15.38"/>
    <x v="25"/>
  </r>
  <r>
    <s v="WQDEC16"/>
    <d v="2016-12-06T00:00:00"/>
    <s v="F3"/>
    <n v="10.14"/>
    <n v="10.25"/>
    <x v="25"/>
  </r>
  <r>
    <s v="WQJAN17"/>
    <d v="2017-01-06T00:00:00"/>
    <s v="F3"/>
    <n v="5.38"/>
    <n v="5.64"/>
    <x v="26"/>
  </r>
  <r>
    <s v="WQFEB17"/>
    <d v="2017-02-14T00:00:00"/>
    <s v="F3"/>
    <n v="2.99"/>
    <n v="3.07"/>
    <x v="26"/>
  </r>
  <r>
    <s v="WQMAR17"/>
    <d v="2017-03-08T00:00:00"/>
    <s v="F3"/>
    <n v="3.82"/>
    <n v="3.39"/>
    <x v="26"/>
  </r>
  <r>
    <s v="WQAPR17"/>
    <d v="2017-04-05T00:00:00"/>
    <s v="F3"/>
    <n v="5.14"/>
    <n v="3.49"/>
    <x v="26"/>
  </r>
  <r>
    <s v="WQMAY17"/>
    <d v="2017-05-04T00:00:00"/>
    <s v="F3"/>
    <n v="10.1"/>
    <n v="6.98"/>
    <x v="26"/>
  </r>
  <r>
    <s v="WQJUN17"/>
    <d v="2017-06-08T00:00:00"/>
    <s v="F3"/>
    <n v="14.65"/>
    <n v="11.83"/>
    <x v="26"/>
  </r>
  <r>
    <s v="HYJUN17"/>
    <d v="2017-06-20T00:00:00"/>
    <s v="F3"/>
    <n v="17.399999999999999"/>
    <n v="14.28"/>
    <x v="26"/>
  </r>
  <r>
    <s v="WQJUL17"/>
    <d v="2017-07-07T00:00:00"/>
    <s v="F3"/>
    <n v="19.86"/>
    <n v="16.239999999999998"/>
    <x v="26"/>
  </r>
  <r>
    <s v="HYJUL17"/>
    <d v="2017-07-19T00:00:00"/>
    <s v="F3"/>
    <n v="24.71"/>
    <n v="18.079999999999998"/>
    <x v="26"/>
  </r>
  <r>
    <s v="WQAUG17"/>
    <d v="2017-08-02T00:00:00"/>
    <s v="F3"/>
    <n v="22.67"/>
    <n v="19.32"/>
    <x v="26"/>
  </r>
  <r>
    <s v="HYAUG17"/>
    <d v="2017-08-16T00:00:00"/>
    <s v="F3"/>
    <n v="23.62"/>
    <n v="21.14"/>
    <x v="26"/>
  </r>
  <r>
    <s v="WQSEP17"/>
    <d v="2017-08-31T00:00:00"/>
    <s v="F3"/>
    <n v="22.15"/>
    <n v="21.79"/>
    <x v="26"/>
  </r>
  <r>
    <s v="WQOCT17"/>
    <d v="2017-10-11T00:00:00"/>
    <s v="F3"/>
    <n v="21.18"/>
    <n v="20.68"/>
    <x v="26"/>
  </r>
  <r>
    <s v="WQNOV17"/>
    <d v="2017-11-14T00:00:00"/>
    <s v="F3"/>
    <n v="15.36"/>
    <n v="15.26"/>
    <x v="26"/>
  </r>
  <r>
    <s v="WQDEC17"/>
    <d v="2017-12-01T00:00:00"/>
    <s v="F3"/>
    <n v="11.55"/>
    <n v="11.53"/>
    <x v="26"/>
  </r>
  <r>
    <s v="WQJAN18"/>
    <d v="2018-01-12T00:00:00"/>
    <s v="F3"/>
    <n v="1.89"/>
    <n v="1.84"/>
    <x v="27"/>
  </r>
  <r>
    <s v="WQFEB18"/>
    <d v="2018-02-06T00:00:00"/>
    <s v="F3"/>
    <n v="1.19"/>
    <n v="1.52"/>
    <x v="27"/>
  </r>
  <r>
    <s v="WQMAR18"/>
    <d v="2018-03-08T00:00:00"/>
    <s v="F3"/>
    <n v="2.96"/>
    <n v="2.74"/>
    <x v="27"/>
  </r>
  <r>
    <s v="WQAPR18"/>
    <d v="2018-04-10T00:00:00"/>
    <s v="F3"/>
    <n v="4.37"/>
    <n v="4.0999999999999996"/>
    <x v="27"/>
  </r>
  <r>
    <s v="WQMAY18"/>
    <d v="2018-05-03T00:00:00"/>
    <s v="F3"/>
    <n v="8.9700000000000006"/>
    <n v="6.39"/>
    <x v="27"/>
  </r>
  <r>
    <s v="WQJUN18"/>
    <d v="2018-06-01T00:00:00"/>
    <s v="F3"/>
    <n v="14.99"/>
    <n v="9.5"/>
    <x v="27"/>
  </r>
  <r>
    <s v="HYJUN18"/>
    <d v="2018-06-12T00:00:00"/>
    <s v="F3"/>
    <n v="16.77"/>
    <n v="10.82"/>
    <x v="27"/>
  </r>
  <r>
    <s v="WQJUL18"/>
    <d v="2018-07-03T00:00:00"/>
    <s v="F3"/>
    <n v="21.18"/>
    <n v="14.86"/>
    <x v="27"/>
  </r>
  <r>
    <s v="HYJUL18"/>
    <d v="2018-07-17T00:00:00"/>
    <s v="F3"/>
    <n v="22.31"/>
    <n v="17.12"/>
    <x v="27"/>
  </r>
  <r>
    <s v="WQAUG18"/>
    <d v="2018-07-31T00:00:00"/>
    <s v="F3"/>
    <n v="24.1"/>
    <n v="18.850000000000001"/>
    <x v="27"/>
  </r>
  <r>
    <s v="HYAUG18"/>
    <d v="2018-08-14T00:00:00"/>
    <s v="F3"/>
    <n v="23.51"/>
    <n v="20.65"/>
    <x v="27"/>
  </r>
  <r>
    <s v="WQSEP18"/>
    <d v="2018-08-28T00:00:00"/>
    <s v="F3"/>
    <n v="24.74"/>
    <n v="22.08"/>
    <x v="27"/>
  </r>
  <r>
    <s v="HYSEP18"/>
    <d v="2018-09-12T00:00:00"/>
    <s v="F3"/>
    <n v="23.06"/>
    <n v="22.62"/>
    <x v="27"/>
  </r>
  <r>
    <s v="WQOCT18"/>
    <d v="2018-10-04T00:00:00"/>
    <s v="F3"/>
    <n v="21.39"/>
    <n v="21.55"/>
    <x v="27"/>
  </r>
  <r>
    <s v="WQNOV18"/>
    <d v="2018-11-07T00:00:00"/>
    <s v="F3"/>
    <n v="14.93"/>
    <n v="14.93"/>
    <x v="27"/>
  </r>
  <r>
    <s v="WQDEC18"/>
    <d v="2018-12-04T00:00:00"/>
    <s v="F3"/>
    <n v="8.81"/>
    <n v="9.2100000000000009"/>
    <x v="27"/>
  </r>
  <r>
    <s v="WQJAN19"/>
    <d v="2019-01-07T00:00:00"/>
    <s v="F3"/>
    <n v="5.46"/>
    <n v="5.9"/>
    <x v="28"/>
  </r>
  <r>
    <s v="WQFEB19"/>
    <d v="2019-02-06T00:00:00"/>
    <s v="F3"/>
    <n v="2.2000000000000002"/>
    <n v="2.04"/>
    <x v="28"/>
  </r>
  <r>
    <s v="WQMAR19"/>
    <d v="2019-03-07T00:00:00"/>
    <s v="F3"/>
    <n v="1.63"/>
    <n v="1.83"/>
    <x v="28"/>
  </r>
  <r>
    <s v="WQAPR19"/>
    <d v="2019-04-04T00:00:00"/>
    <s v="F3"/>
    <n v="4.8499999999999996"/>
    <n v="4.09"/>
    <x v="28"/>
  </r>
  <r>
    <s v="WQMAY19"/>
    <d v="2019-05-08T00:00:00"/>
    <s v="F3"/>
    <n v="11.36"/>
    <n v="8.34"/>
    <x v="28"/>
  </r>
  <r>
    <s v="WQJUN19"/>
    <d v="2019-05-31T00:00:00"/>
    <s v="F3"/>
    <n v="14.52"/>
    <n v="11.32"/>
    <x v="28"/>
  </r>
  <r>
    <s v="HYJUN19"/>
    <d v="2019-06-12T00:00:00"/>
    <s v="F3"/>
    <n v="16.43"/>
    <n v="12.32"/>
    <x v="28"/>
  </r>
  <r>
    <s v="WQJUL19"/>
    <d v="2019-07-03T00:00:00"/>
    <s v="F3"/>
    <n v="19"/>
    <n v="16.100000000000001"/>
    <x v="28"/>
  </r>
  <r>
    <s v="HYJUL19"/>
    <d v="2019-07-16T00:00:00"/>
    <s v="F3"/>
    <n v="22.81"/>
    <n v="16.739999999999998"/>
    <x v="28"/>
  </r>
  <r>
    <s v="WQAUG19"/>
    <d v="2019-08-01T00:00:00"/>
    <s v="F3"/>
    <n v="23.06"/>
    <n v="19.649999999999999"/>
    <x v="28"/>
  </r>
  <r>
    <s v="HYAUG19"/>
    <d v="2019-08-13T00:00:00"/>
    <s v="F3"/>
    <n v="22.09"/>
    <n v="20.329999999999998"/>
    <x v="28"/>
  </r>
  <r>
    <s v="WQSEP19"/>
    <d v="2019-08-29T00:00:00"/>
    <s v="F3"/>
    <n v="22.79"/>
    <n v="21.78"/>
    <x v="28"/>
  </r>
  <r>
    <s v="WQOCT19"/>
    <d v="2019-10-02T00:00:00"/>
    <s v="F3"/>
    <n v="21.55"/>
    <n v="20.89"/>
    <x v="28"/>
  </r>
  <r>
    <s v="WQNOV19"/>
    <d v="2019-11-06T00:00:00"/>
    <s v="F3"/>
    <n v="15.56"/>
    <n v="15.72"/>
    <x v="28"/>
  </r>
  <r>
    <s v="WQDEC19"/>
    <d v="2019-12-16T00:00:00"/>
    <s v="F3"/>
    <n v="7.01"/>
    <n v="7.57"/>
    <x v="28"/>
  </r>
  <r>
    <s v="WQJAN20"/>
    <d v="2020-01-10T00:00:00"/>
    <s v="F3"/>
    <n v="4.84"/>
    <n v="4.97"/>
    <x v="29"/>
  </r>
  <r>
    <s v="WQFEB20"/>
    <d v="2020-02-11T00:00:00"/>
    <s v="F3"/>
    <n v="4.12"/>
    <n v="4.1399999999999997"/>
    <x v="29"/>
  </r>
  <r>
    <s v="WQMAR20"/>
    <d v="2020-03-11T00:00:00"/>
    <s v="F3"/>
    <n v="4.6500000000000004"/>
    <n v="4.3600000000000003"/>
    <x v="29"/>
  </r>
  <r>
    <s v="WQJUN20"/>
    <d v="2020-06-16T00:00:00"/>
    <s v="F3"/>
    <n v="17.3"/>
    <n v="13.14"/>
    <x v="29"/>
  </r>
  <r>
    <s v="WQJUL20"/>
    <d v="2020-07-08T00:00:00"/>
    <s v="F3"/>
    <n v="22.48"/>
    <n v="16.170000000000002"/>
    <x v="29"/>
  </r>
  <r>
    <s v="HYJUL20"/>
    <d v="2020-07-21T00:00:00"/>
    <s v="F3"/>
    <n v="26.03"/>
    <n v="17.399999999999999"/>
    <x v="29"/>
  </r>
  <r>
    <s v="WQAUG20"/>
    <d v="2020-08-11T00:00:00"/>
    <s v="F3"/>
    <n v="25.07"/>
    <n v="21.39"/>
    <x v="29"/>
  </r>
  <r>
    <s v="HYAUG20"/>
    <d v="2020-08-26T00:00:00"/>
    <s v="F3"/>
    <m/>
    <n v="22.67"/>
    <x v="29"/>
  </r>
  <r>
    <s v="WQSEP20"/>
    <d v="2020-09-08T00:00:00"/>
    <s v="F3"/>
    <n v="24"/>
    <n v="22.92"/>
    <x v="29"/>
  </r>
  <r>
    <s v="WQOCT20"/>
    <d v="2020-10-15T00:00:00"/>
    <s v="F3"/>
    <n v="18.760000000000002"/>
    <n v="18.68"/>
    <x v="29"/>
  </r>
  <r>
    <s v="WQNOV20"/>
    <d v="2020-11-05T00:00:00"/>
    <s v="F3"/>
    <n v="15.3"/>
    <n v="15.22"/>
    <x v="29"/>
  </r>
  <r>
    <s v="WQMAR21"/>
    <d v="2021-03-09T00:00:00"/>
    <s v="F3"/>
    <n v="2.62"/>
    <n v="2.31"/>
    <x v="30"/>
  </r>
  <r>
    <s v="WQAPR21"/>
    <d v="2021-04-08T00:00:00"/>
    <s v="F3"/>
    <n v="6.15"/>
    <n v="5.0199999999999996"/>
    <x v="30"/>
  </r>
  <r>
    <s v="WQMAY21"/>
    <d v="2021-05-04T00:00:00"/>
    <s v="F3"/>
    <n v="9.42"/>
    <n v="8.52"/>
    <x v="30"/>
  </r>
  <r>
    <s v="WQJUN21"/>
    <d v="2021-06-09T00:00:00"/>
    <s v="F3"/>
    <n v="17.87"/>
    <n v="12.38"/>
    <x v="30"/>
  </r>
  <r>
    <s v="HYJUN21"/>
    <d v="2021-06-21T00:00:00"/>
    <s v="F3"/>
    <n v="20.14"/>
    <n v="13.71"/>
    <x v="30"/>
  </r>
  <r>
    <s v="WQJUL21"/>
    <d v="2021-07-12T00:00:00"/>
    <s v="F3"/>
    <n v="21.14"/>
    <n v="16.66"/>
    <x v="30"/>
  </r>
  <r>
    <s v="HYJUL21"/>
    <d v="2021-07-20T00:00:00"/>
    <s v="F3"/>
    <n v="23.07"/>
    <n v="17.71"/>
    <x v="30"/>
  </r>
  <r>
    <s v="WQAUG21"/>
    <d v="2021-08-04T00:00:00"/>
    <s v="F3"/>
    <n v="22.39"/>
    <n v="19.13"/>
    <x v="30"/>
  </r>
  <r>
    <s v="HYAUG21"/>
    <d v="2021-08-17T00:00:00"/>
    <s v="F3"/>
    <n v="23.65"/>
    <n v="19.920000000000002"/>
    <x v="30"/>
  </r>
  <r>
    <s v="WQSEP21"/>
    <d v="2021-09-01T00:00:00"/>
    <s v="F3"/>
    <n v="23.71"/>
    <n v="22.08"/>
    <x v="30"/>
  </r>
  <r>
    <s v="HYSEP21"/>
    <d v="2021-09-14T00:00:00"/>
    <s v="F3"/>
    <n v="23.32"/>
    <n v="22.41"/>
    <x v="30"/>
  </r>
  <r>
    <s v="WQOCT21"/>
    <d v="2021-10-06T00:00:00"/>
    <s v="F3"/>
    <n v="21.19"/>
    <n v="21.23"/>
    <x v="30"/>
  </r>
  <r>
    <s v="WQNOV21"/>
    <d v="2021-11-09T00:00:00"/>
    <s v="F3"/>
    <n v="16.149999999999999"/>
    <n v="16.38"/>
    <x v="30"/>
  </r>
  <r>
    <s v="WQDEC21"/>
    <d v="2021-12-08T00:00:00"/>
    <s v="F3"/>
    <n v="9.85"/>
    <n v="10.4"/>
    <x v="30"/>
  </r>
  <r>
    <s v="WQFEB22"/>
    <d v="2022-02-03T00:00:00"/>
    <s v="F3"/>
    <n v="2.5499999999999998"/>
    <n v="2.7"/>
    <x v="31"/>
  </r>
  <r>
    <s v="WQMAR22"/>
    <d v="2022-03-07T00:00:00"/>
    <s v="F3"/>
    <n v="3.4"/>
    <n v="3.02"/>
    <x v="31"/>
  </r>
  <r>
    <s v="WQAPR22"/>
    <d v="2022-04-08T00:00:00"/>
    <s v="F3"/>
    <n v="5.68"/>
    <n v="4.84"/>
    <x v="31"/>
  </r>
  <r>
    <s v="WQMAY22"/>
    <d v="2022-05-06T00:00:00"/>
    <s v="F3"/>
    <n v="10.88"/>
    <n v="8.5500000000000007"/>
    <x v="31"/>
  </r>
  <r>
    <s v="WQJUN22"/>
    <d v="2022-06-06T00:00:00"/>
    <s v="F3"/>
    <n v="18.079999999999998"/>
    <n v="11.58"/>
    <x v="31"/>
  </r>
  <r>
    <s v="HYJUN22"/>
    <d v="2022-06-14T00:00:00"/>
    <s v="F3"/>
    <n v="14.83"/>
    <n v="13.95"/>
    <x v="31"/>
  </r>
  <r>
    <s v="WQJUL22"/>
    <d v="2022-07-08T00:00:00"/>
    <s v="F3"/>
    <n v="20.239999999999998"/>
    <n v="17.28"/>
    <x v="31"/>
  </r>
  <r>
    <s v="HYJUL22"/>
    <d v="2022-07-18T00:00:00"/>
    <s v="F3"/>
    <n v="21.59"/>
    <n v="18.68"/>
    <x v="31"/>
  </r>
  <r>
    <s v="WQAUG22"/>
    <d v="2022-08-03T00:00:00"/>
    <s v="F3"/>
    <n v="23.73"/>
    <n v="21.04"/>
    <x v="31"/>
  </r>
  <r>
    <s v="HYAUG22"/>
    <d v="2022-08-18T00:00:00"/>
    <s v="F3"/>
    <n v="23.46"/>
    <n v="21.86"/>
    <x v="31"/>
  </r>
  <r>
    <s v="WQSEP22"/>
    <d v="2022-09-02T00:00:00"/>
    <s v="F3"/>
    <n v="24.14"/>
    <n v="22.65"/>
    <x v="31"/>
  </r>
  <r>
    <s v="WQOCT22"/>
    <d v="2022-10-07T00:00:00"/>
    <s v="F3"/>
    <n v="18.95"/>
    <n v="18.78"/>
    <x v="31"/>
  </r>
  <r>
    <s v="WQNOV22"/>
    <d v="2022-11-10T00:00:00"/>
    <s v="F3"/>
    <n v="16.12"/>
    <n v="16.16"/>
    <x v="31"/>
  </r>
  <r>
    <s v="WQDEC22"/>
    <d v="2022-12-06T00:00:00"/>
    <s v="F3"/>
    <n v="10.78"/>
    <n v="10.87"/>
    <x v="31"/>
  </r>
  <r>
    <s v="WQJAN23"/>
    <d v="2023-01-06T00:00:00"/>
    <s v="F3"/>
    <n v="5.71"/>
    <n v="6"/>
    <x v="32"/>
  </r>
  <r>
    <s v="WQFEB23"/>
    <d v="2023-02-08T00:00:00"/>
    <s v="F3"/>
    <n v="4.24"/>
    <n v="4.28"/>
    <x v="32"/>
  </r>
  <r>
    <s v="WQAPR23"/>
    <d v="2023-04-18T00:00:00"/>
    <s v="F3"/>
    <n v="8.61"/>
    <n v="7.06"/>
    <x v="32"/>
  </r>
  <r>
    <s v="WQMAY23"/>
    <d v="2023-05-05T00:00:00"/>
    <s v="F3"/>
    <n v="10.73"/>
    <n v="9.4700000000000006"/>
    <x v="32"/>
  </r>
  <r>
    <s v="WQJUN23"/>
    <d v="2023-06-02T00:00:00"/>
    <s v="F3"/>
    <n v="16.34"/>
    <n v="12.05"/>
    <x v="32"/>
  </r>
  <r>
    <s v="WQJUL23"/>
    <d v="2023-07-07T00:00:00"/>
    <s v="F3"/>
    <n v="21.94"/>
    <n v="16.48"/>
    <x v="32"/>
  </r>
  <r>
    <s v="HYJUL23"/>
    <d v="2023-07-18T00:00:00"/>
    <s v="F3"/>
    <n v="23.94"/>
    <n v="17.88"/>
    <x v="32"/>
  </r>
  <r>
    <s v="WQAUG23"/>
    <d v="2023-08-03T00:00:00"/>
    <s v="F3"/>
    <n v="22.85"/>
    <n v="19.260000000000002"/>
    <x v="32"/>
  </r>
  <r>
    <s v="HYAUG23"/>
    <d v="2023-08-16T00:00:00"/>
    <s v="F3"/>
    <n v="22.73"/>
    <n v="20.37"/>
    <x v="32"/>
  </r>
  <r>
    <s v="WQSEP23"/>
    <d v="2023-09-06T00:00:00"/>
    <s v="F3"/>
    <n v="25.36"/>
    <n v="21.69"/>
    <x v="32"/>
  </r>
  <r>
    <s v="WQOCT23"/>
    <d v="2023-10-06T00:00:00"/>
    <s v="F3"/>
    <n v="20.09"/>
    <n v="19.64"/>
    <x v="32"/>
  </r>
  <r>
    <s v="WQNOV23"/>
    <d v="2023-11-09T00:00:00"/>
    <s v="F3"/>
    <n v="14.97"/>
    <n v="15.12"/>
    <x v="32"/>
  </r>
  <r>
    <s v="WQDEC23"/>
    <d v="2023-12-07T00:00:00"/>
    <s v="F3"/>
    <n v="9.75"/>
    <n v="10.59"/>
    <x v="32"/>
  </r>
  <r>
    <s v="WQJAN24"/>
    <d v="2024-01-04T00:00:00"/>
    <s v="F3"/>
    <n v="6.91"/>
    <n v="7.94"/>
    <x v="33"/>
  </r>
  <r>
    <s v="WQFEB24"/>
    <d v="2024-02-07T00:00:00"/>
    <s v="F3"/>
    <n v="4.08"/>
    <n v="4.24"/>
    <x v="33"/>
  </r>
  <r>
    <s v="WQMAR24"/>
    <d v="2024-03-07T00:00:00"/>
    <s v="F3"/>
    <n v="4.63"/>
    <n v="4.28"/>
    <x v="33"/>
  </r>
  <r>
    <s v="WQAPR24"/>
    <d v="2024-04-09T00:00:00"/>
    <s v="F3"/>
    <n v="6.63"/>
    <n v="6.17"/>
    <x v="33"/>
  </r>
  <r>
    <s v="WQMAY24"/>
    <d v="2024-05-06T00:00:00"/>
    <s v="F3"/>
    <n v="11.75"/>
    <n v="8.2799999999999994"/>
    <x v="33"/>
  </r>
  <r>
    <s v="WQJUN24"/>
    <d v="2024-06-03T00:00:00"/>
    <s v="F3"/>
    <n v="14.48"/>
    <n v="12.37"/>
    <x v="33"/>
  </r>
  <r>
    <s v="HYJUN24"/>
    <d v="2024-06-18T00:00:00"/>
    <s v="F3"/>
    <n v="18.559999999999999"/>
    <n v="15.74"/>
    <x v="33"/>
  </r>
  <r>
    <s v="WQJUL24"/>
    <d v="2024-07-03T00:00:00"/>
    <s v="F3"/>
    <n v="19.899999999999999"/>
    <n v="16.2"/>
    <x v="33"/>
  </r>
  <r>
    <s v="HYJUL24"/>
    <d v="2024-07-16T00:00:00"/>
    <s v="F3"/>
    <n v="24.76"/>
    <n v="18.329999999999998"/>
    <x v="33"/>
  </r>
  <r>
    <s v="WQAUG24"/>
    <d v="2024-08-01T00:00:00"/>
    <s v="F3"/>
    <n v="24.87"/>
    <n v="19.27"/>
    <x v="33"/>
  </r>
  <r>
    <s v="HYAUG24"/>
    <d v="2024-08-13T00:00:00"/>
    <s v="F3"/>
    <n v="22.75"/>
    <n v="20.149999999999999"/>
    <x v="33"/>
  </r>
  <r>
    <s v="WQSEP24"/>
    <d v="2024-08-28T00:00:00"/>
    <s v="F3"/>
    <n v="23.74"/>
    <n v="21.76"/>
    <x v="33"/>
  </r>
  <r>
    <s v="WQOCT24"/>
    <d v="2024-10-04T00:00:00"/>
    <s v="F3"/>
    <n v="20.52"/>
    <n v="20.45"/>
    <x v="33"/>
  </r>
  <r>
    <m/>
    <m/>
    <m/>
    <m/>
    <m/>
    <x v="3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s v="HYJUN94"/>
    <d v="1994-06-23T00:00:00"/>
    <s v="F2"/>
    <n v="17.28"/>
    <m/>
    <x v="0"/>
  </r>
  <r>
    <s v="WQJUL94"/>
    <d v="1994-07-05T00:00:00"/>
    <s v="F2"/>
    <n v="20.65"/>
    <m/>
    <x v="0"/>
  </r>
  <r>
    <s v="HYJUL94"/>
    <d v="1994-07-21T00:00:00"/>
    <s v="F2"/>
    <n v="21.58"/>
    <m/>
    <x v="0"/>
  </r>
  <r>
    <s v="WQAUG94"/>
    <d v="1994-08-03T00:00:00"/>
    <s v="F2"/>
    <n v="24.3"/>
    <m/>
    <x v="0"/>
  </r>
  <r>
    <s v="HYAUG94"/>
    <d v="1994-08-17T00:00:00"/>
    <s v="F2"/>
    <n v="21.23"/>
    <m/>
    <x v="0"/>
  </r>
  <r>
    <s v="WQSEP94"/>
    <d v="1994-08-30T00:00:00"/>
    <s v="F2"/>
    <n v="21.56"/>
    <m/>
    <x v="0"/>
  </r>
  <r>
    <s v="HYSEP94"/>
    <d v="1994-09-07T00:00:00"/>
    <s v="F2"/>
    <n v="21.19"/>
    <m/>
    <x v="0"/>
  </r>
  <r>
    <s v="WQDEC94"/>
    <d v="1994-12-07T00:00:00"/>
    <s v="F2"/>
    <n v="10.37"/>
    <n v="10.5"/>
    <x v="0"/>
  </r>
  <r>
    <s v="WQJAN95"/>
    <d v="1995-01-10T00:00:00"/>
    <s v="F2"/>
    <n v="4.0599999999999996"/>
    <n v="5.0599999999999996"/>
    <x v="1"/>
  </r>
  <r>
    <s v="WQFEB95"/>
    <d v="1995-02-15T00:00:00"/>
    <s v="F2"/>
    <n v="1.1299999999999999"/>
    <n v="1.1200000000000001"/>
    <x v="1"/>
  </r>
  <r>
    <s v="WQMAR95"/>
    <d v="1995-03-07T00:00:00"/>
    <s v="F2"/>
    <n v="2.34"/>
    <n v="1.78"/>
    <x v="1"/>
  </r>
  <r>
    <s v="WQAPR95"/>
    <d v="1995-04-06T00:00:00"/>
    <s v="F2"/>
    <n v="4.05"/>
    <n v="4.3600000000000003"/>
    <x v="1"/>
  </r>
  <r>
    <s v="WQMAY95"/>
    <d v="1995-05-09T00:00:00"/>
    <s v="F2"/>
    <n v="9.67"/>
    <n v="8.14"/>
    <x v="1"/>
  </r>
  <r>
    <s v="WQJUN95"/>
    <d v="1995-06-05T00:00:00"/>
    <s v="F2"/>
    <n v="15.31"/>
    <n v="11.12"/>
    <x v="1"/>
  </r>
  <r>
    <s v="HYJUN95"/>
    <d v="1995-06-26T00:00:00"/>
    <s v="F2"/>
    <n v="18.95"/>
    <m/>
    <x v="1"/>
  </r>
  <r>
    <s v="WQJUL95"/>
    <d v="1995-07-06T00:00:00"/>
    <s v="F2"/>
    <n v="20.6"/>
    <n v="16.14"/>
    <x v="1"/>
  </r>
  <r>
    <s v="HYJUL95"/>
    <d v="1995-07-19T00:00:00"/>
    <s v="F2"/>
    <n v="21.9"/>
    <n v="17.989999999999998"/>
    <x v="1"/>
  </r>
  <r>
    <s v="WQAUG95"/>
    <d v="1995-08-02T00:00:00"/>
    <s v="F2"/>
    <n v="24.35"/>
    <n v="19.5367"/>
    <x v="1"/>
  </r>
  <r>
    <s v="HYAUG95"/>
    <d v="1995-08-15T00:00:00"/>
    <s v="F2"/>
    <n v="23.27"/>
    <n v="21.6296"/>
    <x v="1"/>
  </r>
  <r>
    <s v="WQSEP95"/>
    <d v="1995-09-11T00:00:00"/>
    <s v="F2"/>
    <n v="21.96"/>
    <n v="21.87"/>
    <x v="1"/>
  </r>
  <r>
    <s v="WQOCT95"/>
    <d v="1995-10-04T00:00:00"/>
    <s v="F2"/>
    <n v="19.73"/>
    <n v="19.7"/>
    <x v="1"/>
  </r>
  <r>
    <s v="WQNOV95"/>
    <d v="1995-11-01T00:00:00"/>
    <s v="F2"/>
    <n v="16.350000000000001"/>
    <n v="16.39"/>
    <x v="1"/>
  </r>
  <r>
    <s v="WQDEC95"/>
    <d v="1995-12-06T00:00:00"/>
    <s v="F2"/>
    <n v="8.3800000000000008"/>
    <n v="9.17"/>
    <x v="1"/>
  </r>
  <r>
    <s v="WQFEB96"/>
    <d v="1996-02-09T00:00:00"/>
    <s v="F2"/>
    <n v="0.32"/>
    <n v="0.44"/>
    <x v="2"/>
  </r>
  <r>
    <s v="WQMAR96"/>
    <d v="1996-03-06T00:00:00"/>
    <s v="F2"/>
    <n v="0.83"/>
    <n v="0.67"/>
    <x v="2"/>
  </r>
  <r>
    <s v="WQAPR96"/>
    <d v="1996-04-03T00:00:00"/>
    <s v="F2"/>
    <n v="3.41"/>
    <n v="2.63"/>
    <x v="2"/>
  </r>
  <r>
    <s v="WQMAY96"/>
    <d v="1996-05-13T00:00:00"/>
    <s v="F2"/>
    <n v="8.92"/>
    <n v="8.1999999999999993"/>
    <x v="2"/>
  </r>
  <r>
    <s v="WQJUN96"/>
    <d v="1996-06-03T00:00:00"/>
    <s v="F2"/>
    <n v="11.81"/>
    <n v="10.86"/>
    <x v="2"/>
  </r>
  <r>
    <s v="WQJUL96"/>
    <d v="1996-07-09T00:00:00"/>
    <s v="F2"/>
    <n v="17.45"/>
    <n v="15.57"/>
    <x v="2"/>
  </r>
  <r>
    <s v="HYJUL96"/>
    <d v="1996-07-25T00:00:00"/>
    <s v="F2"/>
    <n v="20.52"/>
    <n v="17.88"/>
    <x v="2"/>
  </r>
  <r>
    <s v="WQAUG96"/>
    <d v="1996-08-08T00:00:00"/>
    <s v="F2"/>
    <n v="23.33"/>
    <n v="19.010000000000002"/>
    <x v="2"/>
  </r>
  <r>
    <s v="WQSEP96"/>
    <d v="1996-09-06T00:00:00"/>
    <s v="F2"/>
    <n v="22.31"/>
    <n v="20.84"/>
    <x v="2"/>
  </r>
  <r>
    <s v="WQOCT96"/>
    <d v="1996-10-04T00:00:00"/>
    <s v="F2"/>
    <m/>
    <m/>
    <x v="2"/>
  </r>
  <r>
    <s v="WQNOV96"/>
    <d v="1996-11-05T00:00:00"/>
    <s v="F2"/>
    <n v="14.17"/>
    <n v="14.15"/>
    <x v="2"/>
  </r>
  <r>
    <s v="WQDEC96"/>
    <d v="1996-12-10T00:00:00"/>
    <s v="F2"/>
    <n v="8.23"/>
    <n v="8.5399999999999991"/>
    <x v="2"/>
  </r>
  <r>
    <s v="WQFEB97"/>
    <d v="1997-02-04T00:00:00"/>
    <s v="F2"/>
    <n v="2.09"/>
    <n v="2.21"/>
    <x v="3"/>
  </r>
  <r>
    <s v="WQMAR97"/>
    <d v="1997-03-04T00:00:00"/>
    <s v="F2"/>
    <n v="3.02"/>
    <n v="2.99"/>
    <x v="3"/>
  </r>
  <r>
    <s v="WQAPR97"/>
    <d v="1997-04-02T00:00:00"/>
    <s v="F2"/>
    <n v="4.57"/>
    <n v="4.33"/>
    <x v="3"/>
  </r>
  <r>
    <s v="WQMAY97"/>
    <d v="1997-05-09T00:00:00"/>
    <s v="F2"/>
    <n v="9.15"/>
    <n v="8.67"/>
    <x v="3"/>
  </r>
  <r>
    <s v="WQJUN97"/>
    <d v="1997-06-05T00:00:00"/>
    <s v="F2"/>
    <n v="13.93"/>
    <n v="12.9"/>
    <x v="3"/>
  </r>
  <r>
    <s v="HYJUN97"/>
    <d v="1997-06-30T00:00:00"/>
    <s v="F2"/>
    <n v="16.66"/>
    <m/>
    <x v="3"/>
  </r>
  <r>
    <s v="HYJUL97"/>
    <d v="1997-07-22T00:00:00"/>
    <s v="F2"/>
    <n v="19.07"/>
    <m/>
    <x v="3"/>
  </r>
  <r>
    <s v="WQAUG97"/>
    <d v="1997-08-04T00:00:00"/>
    <s v="F2"/>
    <n v="20.92"/>
    <n v="19.14"/>
    <x v="3"/>
  </r>
  <r>
    <s v="HYAUG97"/>
    <d v="1997-08-20T00:00:00"/>
    <s v="F2"/>
    <n v="20.95"/>
    <n v="20.7"/>
    <x v="3"/>
  </r>
  <r>
    <s v="WQSEP97"/>
    <d v="1997-09-04T00:00:00"/>
    <s v="F2"/>
    <n v="21.1"/>
    <n v="20.100000000000001"/>
    <x v="3"/>
  </r>
  <r>
    <s v="WQOCT97"/>
    <d v="1997-10-07T00:00:00"/>
    <s v="F2"/>
    <n v="19.18"/>
    <n v="18.96"/>
    <x v="3"/>
  </r>
  <r>
    <s v="WQNOV97"/>
    <d v="1997-11-04T00:00:00"/>
    <s v="F2"/>
    <n v="14.51"/>
    <n v="14.64"/>
    <x v="3"/>
  </r>
  <r>
    <s v="WQDEC97"/>
    <d v="1997-12-09T00:00:00"/>
    <s v="F2"/>
    <n v="7.72"/>
    <n v="7.72"/>
    <x v="3"/>
  </r>
  <r>
    <s v="WQJAN98"/>
    <d v="1998-01-08T00:00:00"/>
    <s v="F2"/>
    <n v="5"/>
    <n v="4.96"/>
    <x v="4"/>
  </r>
  <r>
    <s v="WQFEB98"/>
    <d v="1998-02-03T00:00:00"/>
    <s v="F2"/>
    <n v="3.64"/>
    <n v="3.58"/>
    <x v="4"/>
  </r>
  <r>
    <s v="WQMAR98"/>
    <d v="1998-03-03T00:00:00"/>
    <s v="F2"/>
    <n v="4.1500000000000004"/>
    <n v="4.03"/>
    <x v="4"/>
  </r>
  <r>
    <s v="WQAPR98"/>
    <d v="1998-04-15T00:00:00"/>
    <s v="F2"/>
    <n v="8.14"/>
    <n v="7.28"/>
    <x v="4"/>
  </r>
  <r>
    <s v="WQMAY98"/>
    <d v="1998-05-13T00:00:00"/>
    <s v="F2"/>
    <n v="11.78"/>
    <n v="10.91"/>
    <x v="4"/>
  </r>
  <r>
    <s v="WQJUN98"/>
    <d v="1998-06-01T00:00:00"/>
    <s v="F2"/>
    <n v="16.7"/>
    <n v="11.91"/>
    <x v="4"/>
  </r>
  <r>
    <s v="HYJUN98"/>
    <d v="1998-06-26T00:00:00"/>
    <s v="F2"/>
    <n v="20.25"/>
    <n v="15.34"/>
    <x v="4"/>
  </r>
  <r>
    <s v="WQJUL98"/>
    <d v="1998-07-09T00:00:00"/>
    <s v="F2"/>
    <n v="19.25"/>
    <n v="16.96"/>
    <x v="4"/>
  </r>
  <r>
    <s v="HYJUL98"/>
    <d v="1998-07-23T00:00:00"/>
    <s v="F2"/>
    <n v="22.55"/>
    <n v="18.55"/>
    <x v="4"/>
  </r>
  <r>
    <s v="WQAUG98"/>
    <d v="1998-08-04T00:00:00"/>
    <s v="F2"/>
    <n v="22.22"/>
    <n v="19.53"/>
    <x v="4"/>
  </r>
  <r>
    <s v="HYAUG98"/>
    <d v="1998-08-18T00:00:00"/>
    <s v="F2"/>
    <n v="22.94"/>
    <n v="20.84"/>
    <x v="4"/>
  </r>
  <r>
    <s v="WQSEP98"/>
    <d v="1998-09-03T00:00:00"/>
    <s v="F2"/>
    <n v="22.87"/>
    <n v="21.66"/>
    <x v="4"/>
  </r>
  <r>
    <s v="WQOCT98"/>
    <d v="1998-10-07T00:00:00"/>
    <s v="F2"/>
    <n v="19.239999999999998"/>
    <n v="19.22"/>
    <x v="4"/>
  </r>
  <r>
    <s v="WQNOV98"/>
    <d v="1998-11-06T00:00:00"/>
    <s v="F2"/>
    <n v="14.14"/>
    <n v="14.13"/>
    <x v="4"/>
  </r>
  <r>
    <s v="WQDEC98"/>
    <d v="1998-12-03T00:00:00"/>
    <s v="F2"/>
    <n v="10.77"/>
    <n v="10.75"/>
    <x v="4"/>
  </r>
  <r>
    <s v="WQJAN99"/>
    <d v="1999-01-08T00:00:00"/>
    <s v="F2"/>
    <n v="4.8099999999999996"/>
    <n v="4.88"/>
    <x v="5"/>
  </r>
  <r>
    <s v="WQFEB99"/>
    <d v="1999-02-03T00:00:00"/>
    <s v="F2"/>
    <n v="3.34"/>
    <n v="3.39"/>
    <x v="5"/>
  </r>
  <r>
    <s v="WQMAR99"/>
    <d v="1999-03-09T00:00:00"/>
    <s v="F2"/>
    <n v="2.19"/>
    <n v="2.81"/>
    <x v="5"/>
  </r>
  <r>
    <s v="WQAPR99"/>
    <d v="1999-04-08T00:00:00"/>
    <s v="F2"/>
    <n v="6.74"/>
    <n v="4.72"/>
    <x v="5"/>
  </r>
  <r>
    <s v="WQMAY99"/>
    <d v="1999-05-07T00:00:00"/>
    <s v="F2"/>
    <n v="10.210000000000001"/>
    <n v="9.06"/>
    <x v="5"/>
  </r>
  <r>
    <s v="WQJUN99"/>
    <d v="1999-06-01T00:00:00"/>
    <s v="F2"/>
    <n v="16.3"/>
    <n v="11.29"/>
    <x v="5"/>
  </r>
  <r>
    <s v="HYJUN99"/>
    <d v="1999-06-25T00:00:00"/>
    <s v="F2"/>
    <n v="19.16"/>
    <n v="15.02"/>
    <x v="5"/>
  </r>
  <r>
    <s v="WQJUL99"/>
    <d v="1999-07-08T00:00:00"/>
    <s v="F2"/>
    <n v="20.28"/>
    <n v="17.64"/>
    <x v="5"/>
  </r>
  <r>
    <s v="HYJUL99"/>
    <d v="1999-07-22T00:00:00"/>
    <s v="F2"/>
    <n v="21.81"/>
    <n v="19.37"/>
    <x v="5"/>
  </r>
  <r>
    <s v="WQAUG99"/>
    <d v="1999-08-05T00:00:00"/>
    <s v="F2"/>
    <n v="22.81"/>
    <n v="21.26"/>
    <x v="5"/>
  </r>
  <r>
    <s v="HYAUG99"/>
    <d v="1999-08-19T00:00:00"/>
    <s v="F2"/>
    <n v="22.2"/>
    <n v="21.9"/>
    <x v="5"/>
  </r>
  <r>
    <s v="WQSEP99"/>
    <d v="1999-09-02T00:00:00"/>
    <s v="F2"/>
    <n v="21.89"/>
    <n v="21.89"/>
    <x v="5"/>
  </r>
  <r>
    <s v="WQOCT99"/>
    <d v="1999-09-29T00:00:00"/>
    <s v="F2"/>
    <n v="20.64"/>
    <n v="20.67"/>
    <x v="5"/>
  </r>
  <r>
    <s v="WQNOV99"/>
    <d v="1999-11-02T00:00:00"/>
    <s v="F2"/>
    <n v="15.88"/>
    <n v="15.93"/>
    <x v="5"/>
  </r>
  <r>
    <s v="WQDEC99"/>
    <d v="1999-12-08T00:00:00"/>
    <s v="F2"/>
    <n v="9.64"/>
    <n v="10.36"/>
    <x v="5"/>
  </r>
  <r>
    <s v="WQJAN00"/>
    <d v="2000-01-07T00:00:00"/>
    <s v="F2"/>
    <n v="5.57"/>
    <n v="6.04"/>
    <x v="6"/>
  </r>
  <r>
    <s v="WQFEB00"/>
    <d v="2000-02-04T00:00:00"/>
    <s v="F2"/>
    <n v="0.28999999999999998"/>
    <n v="0.71"/>
    <x v="6"/>
  </r>
  <r>
    <s v="WQMAR00"/>
    <d v="2000-03-15T00:00:00"/>
    <s v="F2"/>
    <n v="4.28"/>
    <n v="3.08"/>
    <x v="6"/>
  </r>
  <r>
    <s v="WQAPR00"/>
    <d v="2000-04-07T00:00:00"/>
    <s v="F2"/>
    <n v="5.74"/>
    <n v="5.39"/>
    <x v="6"/>
  </r>
  <r>
    <s v="WQMAY00"/>
    <d v="2000-05-02T00:00:00"/>
    <s v="F2"/>
    <n v="9.44"/>
    <n v="7.89"/>
    <x v="6"/>
  </r>
  <r>
    <s v="WQJUN00"/>
    <d v="2000-06-02T00:00:00"/>
    <s v="F2"/>
    <n v="15.63"/>
    <n v="12.37"/>
    <x v="6"/>
  </r>
  <r>
    <s v="HYJUN00"/>
    <d v="2000-06-23T00:00:00"/>
    <s v="F2"/>
    <n v="18"/>
    <n v="14.09"/>
    <x v="6"/>
  </r>
  <r>
    <s v="WQJUL00"/>
    <d v="2000-07-07T00:00:00"/>
    <s v="F2"/>
    <n v="18.96"/>
    <n v="16.88"/>
    <x v="6"/>
  </r>
  <r>
    <s v="HYJUL00"/>
    <d v="2000-07-20T00:00:00"/>
    <s v="F2"/>
    <n v="20.260000000000002"/>
    <n v="17.850000000000001"/>
    <x v="6"/>
  </r>
  <r>
    <s v="WQAUG00"/>
    <d v="2000-08-03T00:00:00"/>
    <s v="F2"/>
    <n v="21.45"/>
    <n v="20.03"/>
    <x v="6"/>
  </r>
  <r>
    <s v="HYAUG00"/>
    <d v="2000-08-17T00:00:00"/>
    <s v="F2"/>
    <n v="21.49"/>
    <n v="20.6"/>
    <x v="6"/>
  </r>
  <r>
    <s v="WQSEP00"/>
    <d v="2000-09-01T00:00:00"/>
    <s v="F2"/>
    <n v="21.98"/>
    <n v="21.32"/>
    <x v="6"/>
  </r>
  <r>
    <s v="WQOCT00"/>
    <d v="2000-10-02T00:00:00"/>
    <s v="F2"/>
    <n v="19.059999999999999"/>
    <n v="19.309999999999999"/>
    <x v="6"/>
  </r>
  <r>
    <s v="WQNOV00"/>
    <d v="2000-11-13T00:00:00"/>
    <s v="F2"/>
    <n v="13.05"/>
    <n v="13.18"/>
    <x v="6"/>
  </r>
  <r>
    <s v="WQDEC00"/>
    <d v="2000-12-05T00:00:00"/>
    <s v="F2"/>
    <n v="8.24"/>
    <n v="8.26"/>
    <x v="6"/>
  </r>
  <r>
    <s v="WQJAN01"/>
    <d v="2001-01-12T00:00:00"/>
    <s v="F2"/>
    <n v="2.2200000000000002"/>
    <n v="2.25"/>
    <x v="7"/>
  </r>
  <r>
    <s v="WQFEB01"/>
    <d v="2001-02-08T00:00:00"/>
    <s v="F2"/>
    <n v="1.78"/>
    <n v="1.78"/>
    <x v="7"/>
  </r>
  <r>
    <s v="WQMAR01"/>
    <d v="2001-03-02T00:00:00"/>
    <s v="F2"/>
    <n v="1.8"/>
    <n v="1.78"/>
    <x v="7"/>
  </r>
  <r>
    <s v="WQAPR01"/>
    <d v="2001-04-05T00:00:00"/>
    <s v="F2"/>
    <n v="3.94"/>
    <n v="3.27"/>
    <x v="7"/>
  </r>
  <r>
    <s v="WQMAY01"/>
    <d v="2001-05-02T00:00:00"/>
    <s v="F2"/>
    <m/>
    <m/>
    <x v="7"/>
  </r>
  <r>
    <s v="WQJUN01"/>
    <d v="2001-06-05T00:00:00"/>
    <s v="F2"/>
    <n v="13.51"/>
    <n v="11.85"/>
    <x v="7"/>
  </r>
  <r>
    <s v="HYJUN01"/>
    <d v="2001-06-22T00:00:00"/>
    <s v="F2"/>
    <n v="18.55"/>
    <n v="17.510000000000002"/>
    <x v="7"/>
  </r>
  <r>
    <s v="WQJUL01"/>
    <d v="2001-07-11T00:00:00"/>
    <s v="F2"/>
    <n v="20.2"/>
    <n v="16.440000000000001"/>
    <x v="7"/>
  </r>
  <r>
    <s v="HYJUL01"/>
    <d v="2001-07-26T00:00:00"/>
    <s v="F2"/>
    <n v="22.02"/>
    <n v="19.11"/>
    <x v="7"/>
  </r>
  <r>
    <s v="WQAUG01"/>
    <d v="2001-08-06T00:00:00"/>
    <s v="F2"/>
    <n v="21.84"/>
    <n v="20.09"/>
    <x v="7"/>
  </r>
  <r>
    <s v="HYAUG01"/>
    <d v="2001-08-20T00:00:00"/>
    <s v="F2"/>
    <n v="23.4"/>
    <n v="21.07"/>
    <x v="7"/>
  </r>
  <r>
    <s v="WQSEP01"/>
    <d v="2001-09-05T00:00:00"/>
    <s v="F2"/>
    <n v="22.47"/>
    <n v="21.89"/>
    <x v="7"/>
  </r>
  <r>
    <s v="WQOCT01"/>
    <d v="2001-10-03T00:00:00"/>
    <s v="F2"/>
    <n v="19.52"/>
    <n v="19.510000000000002"/>
    <x v="7"/>
  </r>
  <r>
    <s v="WQNOV01"/>
    <d v="2001-11-14T00:00:00"/>
    <s v="F2"/>
    <n v="13.36"/>
    <n v="13.35"/>
    <x v="7"/>
  </r>
  <r>
    <s v="WQDEC01"/>
    <d v="2001-12-06T00:00:00"/>
    <s v="F2"/>
    <n v="11.9"/>
    <n v="11.9"/>
    <x v="7"/>
  </r>
  <r>
    <s v="WQJAN02"/>
    <d v="2002-01-14T00:00:00"/>
    <s v="F2"/>
    <n v="5.72"/>
    <n v="5.76"/>
    <x v="8"/>
  </r>
  <r>
    <s v="WQFEB02"/>
    <d v="2002-02-07T00:00:00"/>
    <s v="F2"/>
    <n v="4.33"/>
    <n v="4.3099999999999996"/>
    <x v="8"/>
  </r>
  <r>
    <s v="WQMAR02"/>
    <d v="2002-03-01T00:00:00"/>
    <s v="F2"/>
    <n v="4.7"/>
    <n v="4.42"/>
    <x v="8"/>
  </r>
  <r>
    <s v="WQAPR02"/>
    <d v="2002-04-05T00:00:00"/>
    <s v="F2"/>
    <n v="5.83"/>
    <n v="5.83"/>
    <x v="8"/>
  </r>
  <r>
    <s v="WQMAY02"/>
    <d v="2002-05-09T00:00:00"/>
    <s v="F2"/>
    <n v="11.13"/>
    <n v="9.66"/>
    <x v="8"/>
  </r>
  <r>
    <s v="WQJUN02"/>
    <d v="2002-06-10T00:00:00"/>
    <s v="F2"/>
    <n v="16.760000000000002"/>
    <n v="14.18"/>
    <x v="8"/>
  </r>
  <r>
    <s v="WQJUL02"/>
    <d v="2002-07-10T00:00:00"/>
    <s v="F2"/>
    <n v="20.27"/>
    <n v="17.28"/>
    <x v="8"/>
  </r>
  <r>
    <s v="HYJUL02"/>
    <d v="2002-07-24T00:00:00"/>
    <s v="F2"/>
    <n v="21.28"/>
    <n v="19.329999999999998"/>
    <x v="8"/>
  </r>
  <r>
    <s v="WQAUG02"/>
    <d v="2002-08-08T00:00:00"/>
    <s v="F2"/>
    <n v="20.94"/>
    <n v="20.73"/>
    <x v="8"/>
  </r>
  <r>
    <s v="WQSEP02"/>
    <d v="2002-09-13T00:00:00"/>
    <s v="F2"/>
    <n v="21.54"/>
    <n v="21.87"/>
    <x v="8"/>
  </r>
  <r>
    <s v="WQOCT02"/>
    <d v="2002-10-10T00:00:00"/>
    <s v="F2"/>
    <n v="19.88"/>
    <n v="19.89"/>
    <x v="8"/>
  </r>
  <r>
    <s v="WQNOV02"/>
    <d v="2002-11-14T00:00:00"/>
    <s v="F2"/>
    <n v="12.4"/>
    <n v="13.26"/>
    <x v="8"/>
  </r>
  <r>
    <s v="WQDEC02"/>
    <d v="2002-12-13T00:00:00"/>
    <s v="F2"/>
    <n v="5.87"/>
    <n v="6.3"/>
    <x v="8"/>
  </r>
  <r>
    <s v="WQFEB03"/>
    <d v="2003-02-06T00:00:00"/>
    <s v="F2"/>
    <n v="0.35"/>
    <n v="0.56999999999999995"/>
    <x v="9"/>
  </r>
  <r>
    <s v="WQMAR03"/>
    <d v="2003-03-11T00:00:00"/>
    <s v="F2"/>
    <n v="-0.42"/>
    <n v="-0.22"/>
    <x v="9"/>
  </r>
  <r>
    <s v="WQAPR03"/>
    <d v="2003-04-02T00:00:00"/>
    <s v="F2"/>
    <n v="3.21"/>
    <n v="2.1800000000000002"/>
    <x v="9"/>
  </r>
  <r>
    <s v="WQMAY03"/>
    <d v="2003-05-07T00:00:00"/>
    <s v="F2"/>
    <n v="10.01"/>
    <m/>
    <x v="9"/>
  </r>
  <r>
    <s v="WQJUN03"/>
    <d v="2003-06-05T00:00:00"/>
    <s v="F2"/>
    <n v="12.43"/>
    <n v="10.11"/>
    <x v="9"/>
  </r>
  <r>
    <s v="HYJUN03"/>
    <d v="2003-06-19T00:00:00"/>
    <s v="F2"/>
    <n v="14.88"/>
    <n v="12.16"/>
    <x v="9"/>
  </r>
  <r>
    <s v="WQJUL03"/>
    <d v="2003-07-09T00:00:00"/>
    <s v="F2"/>
    <n v="20.059999999999999"/>
    <n v="13.68"/>
    <x v="9"/>
  </r>
  <r>
    <s v="HYJUL03"/>
    <d v="2003-07-25T00:00:00"/>
    <s v="F2"/>
    <n v="20.59"/>
    <m/>
    <x v="9"/>
  </r>
  <r>
    <s v="WQAUG03"/>
    <d v="2003-08-05T00:00:00"/>
    <s v="F2"/>
    <n v="21.28"/>
    <n v="18.52"/>
    <x v="9"/>
  </r>
  <r>
    <s v="HYAUG03"/>
    <d v="2003-08-21T00:00:00"/>
    <s v="F2"/>
    <n v="24.72"/>
    <n v="19.57"/>
    <x v="9"/>
  </r>
  <r>
    <s v="WQSEP03"/>
    <d v="2003-09-08T00:00:00"/>
    <s v="F2"/>
    <n v="21.29"/>
    <n v="20.68"/>
    <x v="9"/>
  </r>
  <r>
    <s v="WQOCT03"/>
    <d v="2003-10-07T00:00:00"/>
    <s v="F2"/>
    <n v="18.93"/>
    <n v="18.8"/>
    <x v="9"/>
  </r>
  <r>
    <s v="WQNOV03"/>
    <d v="2003-11-06T00:00:00"/>
    <s v="F2"/>
    <n v="14.86"/>
    <n v="15.06"/>
    <x v="9"/>
  </r>
  <r>
    <s v="WQDEC03"/>
    <d v="2003-12-10T00:00:00"/>
    <s v="F2"/>
    <n v="6.29"/>
    <n v="7.36"/>
    <x v="9"/>
  </r>
  <r>
    <s v="WQFEB04"/>
    <d v="2004-02-03T00:00:00"/>
    <s v="F2"/>
    <n v="-0.87"/>
    <n v="-0.67"/>
    <x v="10"/>
  </r>
  <r>
    <s v="WQMAR04"/>
    <d v="2004-03-02T00:00:00"/>
    <s v="F2"/>
    <n v="1.22"/>
    <n v="0.41"/>
    <x v="10"/>
  </r>
  <r>
    <s v="WQAPR04"/>
    <d v="2004-04-12T00:00:00"/>
    <s v="F2"/>
    <n v="5.24"/>
    <n v="3.85"/>
    <x v="10"/>
  </r>
  <r>
    <s v="WQMAY04"/>
    <d v="2004-05-07T00:00:00"/>
    <s v="F2"/>
    <n v="10.45"/>
    <n v="7.31"/>
    <x v="10"/>
  </r>
  <r>
    <s v="WQJUN04"/>
    <d v="2004-06-03T00:00:00"/>
    <s v="F2"/>
    <n v="13.88"/>
    <n v="11.52"/>
    <x v="10"/>
  </r>
  <r>
    <s v="HYJUN04"/>
    <d v="2004-06-28T00:00:00"/>
    <s v="F2"/>
    <n v="17.75"/>
    <n v="14.28"/>
    <x v="10"/>
  </r>
  <r>
    <s v="WQJUL04"/>
    <d v="2004-07-07T00:00:00"/>
    <s v="F2"/>
    <n v="18.82"/>
    <n v="16.16"/>
    <x v="10"/>
  </r>
  <r>
    <s v="HYJUL04"/>
    <d v="2004-07-21T00:00:00"/>
    <s v="F2"/>
    <n v="21.76"/>
    <n v="17.36"/>
    <x v="10"/>
  </r>
  <r>
    <s v="WQAUG04"/>
    <d v="2004-08-06T00:00:00"/>
    <s v="F2"/>
    <n v="20.76"/>
    <n v="19.690000000000001"/>
    <x v="10"/>
  </r>
  <r>
    <s v="HYAUG04"/>
    <d v="2004-08-20T00:00:00"/>
    <s v="F2"/>
    <n v="22.76"/>
    <n v="20.350000000000001"/>
    <x v="10"/>
  </r>
  <r>
    <s v="WQSEP04"/>
    <d v="2004-09-01T00:00:00"/>
    <s v="F2"/>
    <n v="22.19"/>
    <n v="21.15"/>
    <x v="10"/>
  </r>
  <r>
    <s v="WQOCT04"/>
    <d v="2004-10-08T00:00:00"/>
    <s v="F2"/>
    <n v="19.57"/>
    <n v="20.04"/>
    <x v="10"/>
  </r>
  <r>
    <s v="WQDEC04"/>
    <d v="2004-12-15T00:00:00"/>
    <s v="F2"/>
    <n v="7.9"/>
    <n v="8.33"/>
    <x v="10"/>
  </r>
  <r>
    <s v="WQJAN05"/>
    <d v="2005-01-11T00:00:00"/>
    <s v="F2"/>
    <n v="4.76"/>
    <n v="5.13"/>
    <x v="11"/>
  </r>
  <r>
    <s v="WQFEB05"/>
    <d v="2005-02-01T00:00:00"/>
    <s v="F2"/>
    <n v="0.95"/>
    <n v="1.1399999999999999"/>
    <x v="11"/>
  </r>
  <r>
    <s v="WQMAR05"/>
    <d v="2005-03-11T00:00:00"/>
    <s v="F2"/>
    <n v="0.76"/>
    <n v="0.86"/>
    <x v="11"/>
  </r>
  <r>
    <s v="WQAPR05"/>
    <d v="2005-04-08T00:00:00"/>
    <s v="F2"/>
    <n v="6.17"/>
    <n v="3.12"/>
    <x v="11"/>
  </r>
  <r>
    <s v="WQMAY05"/>
    <d v="2005-05-06T00:00:00"/>
    <s v="F2"/>
    <n v="8.2799999999999994"/>
    <n v="7.39"/>
    <x v="11"/>
  </r>
  <r>
    <s v="WQJUN05"/>
    <d v="2005-06-08T00:00:00"/>
    <s v="F2"/>
    <n v="14.64"/>
    <n v="11.22"/>
    <x v="11"/>
  </r>
  <r>
    <s v="WQJUL05"/>
    <d v="2005-07-12T00:00:00"/>
    <s v="F2"/>
    <n v="21.37"/>
    <n v="16.45"/>
    <x v="11"/>
  </r>
  <r>
    <s v="HYJUL05"/>
    <d v="2005-07-19T00:00:00"/>
    <s v="F2"/>
    <n v="21.71"/>
    <n v="16.489999999999998"/>
    <x v="11"/>
  </r>
  <r>
    <s v="WQAUG05"/>
    <d v="2005-08-04T00:00:00"/>
    <s v="F2"/>
    <n v="22.94"/>
    <n v="19.23"/>
    <x v="11"/>
  </r>
  <r>
    <s v="HYAUG05"/>
    <d v="2005-08-19T00:00:00"/>
    <s v="F2"/>
    <n v="22.15"/>
    <n v="21.08"/>
    <x v="11"/>
  </r>
  <r>
    <s v="WQSEP05"/>
    <d v="2005-09-02T00:00:00"/>
    <s v="F2"/>
    <n v="23.28"/>
    <n v="21.45"/>
    <x v="11"/>
  </r>
  <r>
    <s v="WQOCT05"/>
    <d v="2005-10-11T00:00:00"/>
    <s v="F2"/>
    <n v="20.76"/>
    <n v="21.03"/>
    <x v="11"/>
  </r>
  <r>
    <s v="WQNOV05"/>
    <d v="2005-11-15T00:00:00"/>
    <s v="F2"/>
    <n v="13.44"/>
    <n v="13.46"/>
    <x v="11"/>
  </r>
  <r>
    <s v="WQDEC05"/>
    <d v="2005-12-08T00:00:00"/>
    <s v="F2"/>
    <n v="7.94"/>
    <n v="8.6"/>
    <x v="11"/>
  </r>
  <r>
    <s v="WQMAR06"/>
    <d v="2006-03-07T00:00:00"/>
    <s v="F2"/>
    <n v="2.96"/>
    <n v="2.25"/>
    <x v="12"/>
  </r>
  <r>
    <s v="WQAPR06"/>
    <d v="2006-04-12T00:00:00"/>
    <s v="F2"/>
    <n v="5.57"/>
    <n v="5.15"/>
    <x v="12"/>
  </r>
  <r>
    <s v="WQMAY06"/>
    <d v="2006-05-04T00:00:00"/>
    <s v="F2"/>
    <n v="9.8000000000000007"/>
    <n v="8.93"/>
    <x v="12"/>
  </r>
  <r>
    <s v="WQJUN06"/>
    <d v="2006-06-09T00:00:00"/>
    <s v="F2"/>
    <n v="16.52"/>
    <n v="14.74"/>
    <x v="12"/>
  </r>
  <r>
    <s v="HYJUN06"/>
    <d v="2006-06-23T00:00:00"/>
    <s v="F2"/>
    <n v="15.97"/>
    <n v="14.38"/>
    <x v="12"/>
  </r>
  <r>
    <s v="WQJUL06"/>
    <d v="2006-07-07T00:00:00"/>
    <s v="F2"/>
    <n v="17.7"/>
    <n v="15.54"/>
    <x v="12"/>
  </r>
  <r>
    <s v="HYJUL06"/>
    <d v="2006-07-19T00:00:00"/>
    <s v="F2"/>
    <n v="20.059999999999999"/>
    <n v="17.55"/>
    <x v="12"/>
  </r>
  <r>
    <s v="WQAUG06"/>
    <d v="2006-08-03T00:00:00"/>
    <s v="F2"/>
    <n v="23.7"/>
    <n v="19.55"/>
    <x v="12"/>
  </r>
  <r>
    <s v="HYAUG06"/>
    <d v="2006-08-18T00:00:00"/>
    <s v="F2"/>
    <n v="22"/>
    <n v="21.31"/>
    <x v="12"/>
  </r>
  <r>
    <s v="WQSEP06"/>
    <d v="2006-08-30T00:00:00"/>
    <s v="F2"/>
    <n v="21.79"/>
    <n v="21.82"/>
    <x v="12"/>
  </r>
  <r>
    <s v="WQOCT06"/>
    <d v="2006-10-17T00:00:00"/>
    <s v="F2"/>
    <n v="17.71"/>
    <n v="17.72"/>
    <x v="12"/>
  </r>
  <r>
    <s v="WQNOV06"/>
    <d v="2006-11-07T00:00:00"/>
    <s v="F2"/>
    <n v="13.59"/>
    <n v="13.71"/>
    <x v="12"/>
  </r>
  <r>
    <s v="WQDEC06"/>
    <d v="2006-12-11T00:00:00"/>
    <s v="F2"/>
    <n v="9.3699999999999992"/>
    <n v="9.57"/>
    <x v="12"/>
  </r>
  <r>
    <s v="WQJAN07"/>
    <d v="2007-01-18T00:00:00"/>
    <s v="F2"/>
    <n v="6.04"/>
    <n v="6.76"/>
    <x v="13"/>
  </r>
  <r>
    <s v="WQFEB07"/>
    <d v="2007-02-13T00:00:00"/>
    <s v="F2"/>
    <n v="1.55"/>
    <n v="1.57"/>
    <x v="13"/>
  </r>
  <r>
    <s v="WQMAR07"/>
    <d v="2007-03-07T00:00:00"/>
    <s v="F2"/>
    <m/>
    <m/>
    <x v="13"/>
  </r>
  <r>
    <s v="WQAPR07"/>
    <d v="2007-04-04T00:00:00"/>
    <s v="F2"/>
    <n v="3.76"/>
    <n v="3.36"/>
    <x v="13"/>
  </r>
  <r>
    <s v="WQMAY07"/>
    <d v="2007-05-09T00:00:00"/>
    <s v="F2"/>
    <n v="9.6300000000000008"/>
    <n v="6.9"/>
    <x v="13"/>
  </r>
  <r>
    <s v="WQJUN07"/>
    <d v="2007-06-07T00:00:00"/>
    <s v="F2"/>
    <n v="14.29"/>
    <n v="11.49"/>
    <x v="13"/>
  </r>
  <r>
    <s v="HYJUN07"/>
    <d v="2007-06-21T00:00:00"/>
    <s v="F2"/>
    <n v="17.489999999999998"/>
    <n v="13.42"/>
    <x v="13"/>
  </r>
  <r>
    <s v="WQJUL07"/>
    <d v="2007-07-11T00:00:00"/>
    <s v="F2"/>
    <n v="19.3"/>
    <n v="17"/>
    <x v="13"/>
  </r>
  <r>
    <s v="HYJUL07"/>
    <d v="2007-07-20T00:00:00"/>
    <s v="F2"/>
    <n v="21.73"/>
    <n v="17.78"/>
    <x v="13"/>
  </r>
  <r>
    <s v="WQAUG07"/>
    <d v="2007-07-31T00:00:00"/>
    <s v="F2"/>
    <n v="22.83"/>
    <n v="18.920000000000002"/>
    <x v="13"/>
  </r>
  <r>
    <s v="HYAUG07"/>
    <d v="2007-08-15T00:00:00"/>
    <s v="F2"/>
    <n v="22.18"/>
    <n v="20.98"/>
    <x v="13"/>
  </r>
  <r>
    <s v="WQSEP07"/>
    <d v="2007-08-30T00:00:00"/>
    <s v="F2"/>
    <n v="22.6"/>
    <n v="21.22"/>
    <x v="13"/>
  </r>
  <r>
    <s v="WQOCT07"/>
    <d v="2007-10-04T00:00:00"/>
    <s v="F2"/>
    <n v="21.35"/>
    <n v="20.99"/>
    <x v="13"/>
  </r>
  <r>
    <s v="WQNOV07"/>
    <d v="2007-11-14T00:00:00"/>
    <s v="F2"/>
    <n v="13.55"/>
    <n v="13.54"/>
    <x v="13"/>
  </r>
  <r>
    <s v="WQDEC07"/>
    <d v="2007-12-10T00:00:00"/>
    <s v="F2"/>
    <n v="8.34"/>
    <n v="8.42"/>
    <x v="13"/>
  </r>
  <r>
    <s v="WQJAN08"/>
    <d v="2008-01-08T00:00:00"/>
    <s v="F2"/>
    <n v="4.42"/>
    <n v="4.7699999999999996"/>
    <x v="14"/>
  </r>
  <r>
    <s v="WQFEB08"/>
    <d v="2008-02-07T00:00:00"/>
    <s v="F2"/>
    <n v="3.22"/>
    <n v="3.25"/>
    <x v="14"/>
  </r>
  <r>
    <s v="WQMAR08"/>
    <d v="2008-03-06T00:00:00"/>
    <s v="F2"/>
    <n v="3.29"/>
    <n v="2.93"/>
    <x v="14"/>
  </r>
  <r>
    <s v="WQAPR08"/>
    <d v="2008-04-09T00:00:00"/>
    <s v="F2"/>
    <n v="5.4"/>
    <n v="5.41"/>
    <x v="14"/>
  </r>
  <r>
    <s v="WQMAY08"/>
    <d v="2008-05-06T00:00:00"/>
    <s v="F2"/>
    <n v="10.17"/>
    <n v="9.56"/>
    <x v="14"/>
  </r>
  <r>
    <s v="WQJUN08"/>
    <d v="2008-06-05T00:00:00"/>
    <s v="F2"/>
    <n v="14.21"/>
    <n v="11.65"/>
    <x v="14"/>
  </r>
  <r>
    <s v="HYJUN08"/>
    <d v="2008-06-17T00:00:00"/>
    <s v="F2"/>
    <n v="17.5"/>
    <n v="12.78"/>
    <x v="14"/>
  </r>
  <r>
    <s v="WQJUL08"/>
    <d v="2008-07-02T00:00:00"/>
    <s v="F2"/>
    <n v="21.16"/>
    <n v="14.62"/>
    <x v="14"/>
  </r>
  <r>
    <s v="WQAUG08"/>
    <d v="2008-08-05T00:00:00"/>
    <s v="F2"/>
    <n v="22.11"/>
    <n v="19.91"/>
    <x v="14"/>
  </r>
  <r>
    <s v="HYAUG08"/>
    <d v="2008-08-22T00:00:00"/>
    <s v="F2"/>
    <n v="22.19"/>
    <n v="21.34"/>
    <x v="14"/>
  </r>
  <r>
    <s v="WQSEP08"/>
    <d v="2008-09-03T00:00:00"/>
    <s v="F2"/>
    <n v="22.37"/>
    <n v="21.76"/>
    <x v="14"/>
  </r>
  <r>
    <s v="HYSEP08"/>
    <d v="2008-09-16T00:00:00"/>
    <s v="F2"/>
    <n v="21.95"/>
    <n v="21.68"/>
    <x v="14"/>
  </r>
  <r>
    <s v="WQOCT08"/>
    <d v="2008-10-08T00:00:00"/>
    <s v="F2"/>
    <n v="17.86"/>
    <n v="19.190000000000001"/>
    <x v="14"/>
  </r>
  <r>
    <s v="WQNOV08"/>
    <d v="2008-11-12T00:00:00"/>
    <s v="F2"/>
    <n v="13.49"/>
    <n v="13.88"/>
    <x v="14"/>
  </r>
  <r>
    <s v="WQDEC08"/>
    <d v="2008-12-18T00:00:00"/>
    <s v="F2"/>
    <n v="7.3"/>
    <n v="7.58"/>
    <x v="14"/>
  </r>
  <r>
    <s v="WQJAN09"/>
    <d v="2009-01-13T00:00:00"/>
    <s v="F2"/>
    <n v="2.61"/>
    <n v="3.21"/>
    <x v="15"/>
  </r>
  <r>
    <s v="WQFEB09"/>
    <d v="2009-02-06T00:00:00"/>
    <s v="F2"/>
    <n v="0.62"/>
    <n v="0.85"/>
    <x v="15"/>
  </r>
  <r>
    <s v="WQMAR09"/>
    <d v="2009-03-06T00:00:00"/>
    <s v="F2"/>
    <n v="1.5"/>
    <n v="1.46"/>
    <x v="15"/>
  </r>
  <r>
    <s v="WQAPR09"/>
    <d v="2009-04-02T00:00:00"/>
    <s v="F2"/>
    <n v="3.84"/>
    <n v="3.7"/>
    <x v="15"/>
  </r>
  <r>
    <s v="WQMAY09"/>
    <d v="2009-04-30T00:00:00"/>
    <s v="F2"/>
    <n v="8.91"/>
    <n v="7.9"/>
    <x v="15"/>
  </r>
  <r>
    <s v="WQJUN09"/>
    <d v="2009-06-08T00:00:00"/>
    <s v="F2"/>
    <n v="15.55"/>
    <n v="12.24"/>
    <x v="15"/>
  </r>
  <r>
    <s v="HYJUN09"/>
    <d v="2009-06-23T00:00:00"/>
    <s v="F2"/>
    <n v="16.96"/>
    <n v="14.95"/>
    <x v="15"/>
  </r>
  <r>
    <s v="WQJUL09"/>
    <d v="2009-07-09T00:00:00"/>
    <s v="F2"/>
    <n v="17.940000000000001"/>
    <n v="16.149999999999999"/>
    <x v="15"/>
  </r>
  <r>
    <s v="HYJUL09"/>
    <d v="2009-07-21T00:00:00"/>
    <s v="F2"/>
    <n v="19.95"/>
    <n v="16.77"/>
    <x v="15"/>
  </r>
  <r>
    <s v="WQAUG09"/>
    <d v="2009-08-04T00:00:00"/>
    <s v="F2"/>
    <n v="23.17"/>
    <n v="17.989999999999998"/>
    <x v="15"/>
  </r>
  <r>
    <s v="HYAUG09"/>
    <d v="2009-08-18T00:00:00"/>
    <s v="F2"/>
    <n v="22.47"/>
    <n v="19.68"/>
    <x v="15"/>
  </r>
  <r>
    <s v="WQSEP09"/>
    <d v="2009-09-02T00:00:00"/>
    <s v="F2"/>
    <n v="21.79"/>
    <n v="21.1"/>
    <x v="15"/>
  </r>
  <r>
    <s v="WQOCT09"/>
    <d v="2009-10-08T00:00:00"/>
    <s v="F2"/>
    <n v="18.78"/>
    <n v="18.77"/>
    <x v="15"/>
  </r>
  <r>
    <s v="WQNOV09"/>
    <d v="2009-11-05T00:00:00"/>
    <s v="F2"/>
    <n v="14.15"/>
    <n v="14.16"/>
    <x v="15"/>
  </r>
  <r>
    <s v="WQDEC09"/>
    <d v="2009-12-07T00:00:00"/>
    <s v="F2"/>
    <n v="10.16"/>
    <n v="10.68"/>
    <x v="15"/>
  </r>
  <r>
    <s v="WQJAN10"/>
    <d v="2010-01-08T00:00:00"/>
    <s v="F2"/>
    <n v="2.99"/>
    <n v="3.37"/>
    <x v="16"/>
  </r>
  <r>
    <s v="WQFEB10"/>
    <d v="2010-02-09T00:00:00"/>
    <s v="F2"/>
    <n v="0.76"/>
    <n v="1.54"/>
    <x v="16"/>
  </r>
  <r>
    <s v="WQMAR10"/>
    <d v="2010-03-05T00:00:00"/>
    <s v="F2"/>
    <n v="2.12"/>
    <n v="1.98"/>
    <x v="16"/>
  </r>
  <r>
    <s v="WQAPR10"/>
    <d v="2010-04-01T00:00:00"/>
    <s v="F2"/>
    <n v="5.82"/>
    <n v="4.91"/>
    <x v="16"/>
  </r>
  <r>
    <s v="WQMAY10"/>
    <d v="2010-05-05T00:00:00"/>
    <s v="F2"/>
    <n v="13.02"/>
    <n v="8.25"/>
    <x v="16"/>
  </r>
  <r>
    <s v="WQJUN10"/>
    <d v="2010-06-03T00:00:00"/>
    <s v="F2"/>
    <n v="14.93"/>
    <n v="11.73"/>
    <x v="16"/>
  </r>
  <r>
    <s v="HYJUN10"/>
    <d v="2010-06-18T00:00:00"/>
    <s v="F2"/>
    <m/>
    <m/>
    <x v="16"/>
  </r>
  <r>
    <s v="WQJUL10"/>
    <d v="2010-07-09T00:00:00"/>
    <s v="F2"/>
    <n v="24.52"/>
    <n v="16.91"/>
    <x v="16"/>
  </r>
  <r>
    <s v="HYJUL10"/>
    <d v="2010-07-23T00:00:00"/>
    <s v="F2"/>
    <n v="22.67"/>
    <n v="19.12"/>
    <x v="16"/>
  </r>
  <r>
    <s v="WQAUG10"/>
    <d v="2010-08-04T00:00:00"/>
    <s v="F2"/>
    <n v="23.03"/>
    <n v="20.8"/>
    <x v="16"/>
  </r>
  <r>
    <s v="HYAUG10"/>
    <d v="2010-08-19T00:00:00"/>
    <s v="F2"/>
    <n v="23.44"/>
    <n v="22.22"/>
    <x v="16"/>
  </r>
  <r>
    <s v="WQSEP10"/>
    <d v="2010-09-01T00:00:00"/>
    <s v="F2"/>
    <n v="23.37"/>
    <n v="22.26"/>
    <x v="16"/>
  </r>
  <r>
    <s v="WQOCT10"/>
    <d v="2010-10-12T00:00:00"/>
    <s v="F2"/>
    <n v="18.95"/>
    <n v="19.05"/>
    <x v="16"/>
  </r>
  <r>
    <s v="WQNOV10"/>
    <d v="2010-11-05T00:00:00"/>
    <s v="F2"/>
    <n v="13.34"/>
    <n v="14.35"/>
    <x v="16"/>
  </r>
  <r>
    <s v="WQDEC10"/>
    <d v="2010-12-03T00:00:00"/>
    <s v="F2"/>
    <n v="9.9600000000000009"/>
    <n v="10.63"/>
    <x v="16"/>
  </r>
  <r>
    <s v="WQJAN11"/>
    <d v="2011-01-04T00:00:00"/>
    <s v="F2"/>
    <n v="3.27"/>
    <n v="3.81"/>
    <x v="17"/>
  </r>
  <r>
    <s v="WQFEB11"/>
    <d v="2011-02-07T00:00:00"/>
    <s v="F2"/>
    <n v="0.98"/>
    <n v="0.87"/>
    <x v="17"/>
  </r>
  <r>
    <s v="WQMAR11"/>
    <d v="2011-03-15T00:00:00"/>
    <s v="F2"/>
    <n v="3"/>
    <n v="2.4500000000000002"/>
    <x v="17"/>
  </r>
  <r>
    <s v="WQAPR11"/>
    <d v="2011-04-08T00:00:00"/>
    <s v="F2"/>
    <n v="5.04"/>
    <n v="4.0999999999999996"/>
    <x v="17"/>
  </r>
  <r>
    <s v="WQMAY11"/>
    <d v="2011-05-04T00:00:00"/>
    <s v="F2"/>
    <n v="10.14"/>
    <n v="7.79"/>
    <x v="17"/>
  </r>
  <r>
    <s v="WQJUN11"/>
    <d v="2011-06-06T00:00:00"/>
    <s v="F2"/>
    <m/>
    <m/>
    <x v="17"/>
  </r>
  <r>
    <s v="HYJUN11"/>
    <d v="2011-06-16T00:00:00"/>
    <s v="F2"/>
    <n v="17.399999999999999"/>
    <n v="14.19"/>
    <x v="17"/>
  </r>
  <r>
    <s v="WQJUL11"/>
    <d v="2011-07-07T00:00:00"/>
    <s v="F2"/>
    <n v="20.38"/>
    <n v="15.77"/>
    <x v="17"/>
  </r>
  <r>
    <s v="HYJUL11"/>
    <d v="2011-07-19T00:00:00"/>
    <s v="F2"/>
    <n v="19.97"/>
    <n v="17.989999999999998"/>
    <x v="17"/>
  </r>
  <r>
    <s v="WQAUG11"/>
    <d v="2011-08-02T00:00:00"/>
    <s v="F2"/>
    <n v="22.5"/>
    <n v="20.61"/>
    <x v="17"/>
  </r>
  <r>
    <s v="HYAUG11"/>
    <d v="2011-08-16T00:00:00"/>
    <s v="F2"/>
    <n v="22.24"/>
    <n v="21.23"/>
    <x v="17"/>
  </r>
  <r>
    <s v="WQSEP11"/>
    <d v="2011-09-01T00:00:00"/>
    <s v="F2"/>
    <n v="22.69"/>
    <n v="22.12"/>
    <x v="17"/>
  </r>
  <r>
    <s v="WQOCT11"/>
    <d v="2011-10-07T00:00:00"/>
    <s v="F2"/>
    <m/>
    <m/>
    <x v="17"/>
  </r>
  <r>
    <s v="WQNOV11"/>
    <d v="2011-11-14T00:00:00"/>
    <s v="F2"/>
    <n v="13.46"/>
    <n v="13.5"/>
    <x v="17"/>
  </r>
  <r>
    <s v="WQDEC11"/>
    <d v="2011-12-01T00:00:00"/>
    <s v="F2"/>
    <n v="11.63"/>
    <n v="12.05"/>
    <x v="17"/>
  </r>
  <r>
    <s v="WQJAN12"/>
    <d v="2012-01-11T00:00:00"/>
    <s v="F2"/>
    <n v="6.65"/>
    <n v="6.8"/>
    <x v="18"/>
  </r>
  <r>
    <s v="WQFEB12"/>
    <d v="2012-02-07T00:00:00"/>
    <s v="F2"/>
    <n v="4.43"/>
    <n v="4.9000000000000004"/>
    <x v="18"/>
  </r>
  <r>
    <s v="WQMAR12"/>
    <d v="2012-03-06T00:00:00"/>
    <s v="F2"/>
    <n v="4.24"/>
    <n v="4.6399999999999997"/>
    <x v="18"/>
  </r>
  <r>
    <s v="WQAPR12"/>
    <d v="2012-04-04T00:00:00"/>
    <s v="F2"/>
    <n v="8.4499999999999993"/>
    <n v="7.14"/>
    <x v="18"/>
  </r>
  <r>
    <s v="WQMAY12"/>
    <d v="2012-05-03T00:00:00"/>
    <s v="F2"/>
    <n v="10.38"/>
    <n v="10.27"/>
    <x v="18"/>
  </r>
  <r>
    <s v="WQJUN12"/>
    <d v="2012-05-31T00:00:00"/>
    <s v="F2"/>
    <n v="17.829999999999998"/>
    <n v="13.43"/>
    <x v="18"/>
  </r>
  <r>
    <s v="HYJUN12"/>
    <d v="2012-06-12T00:00:00"/>
    <s v="F2"/>
    <n v="18.98"/>
    <n v="15.78"/>
    <x v="18"/>
  </r>
  <r>
    <s v="WQJUL12"/>
    <d v="2012-06-28T00:00:00"/>
    <s v="F2"/>
    <n v="19.07"/>
    <n v="16.46"/>
    <x v="18"/>
  </r>
  <r>
    <s v="HYJUL12"/>
    <d v="2012-07-17T00:00:00"/>
    <s v="F2"/>
    <n v="23.3"/>
    <n v="19.079999999999998"/>
    <x v="18"/>
  </r>
  <r>
    <s v="WQAUG12"/>
    <d v="2012-08-01T00:00:00"/>
    <s v="F2"/>
    <n v="22.28"/>
    <n v="20.93"/>
    <x v="18"/>
  </r>
  <r>
    <s v="HYAUG12"/>
    <d v="2012-08-15T00:00:00"/>
    <s v="F2"/>
    <n v="24.38"/>
    <n v="22"/>
    <x v="18"/>
  </r>
  <r>
    <s v="WQSEP12"/>
    <d v="2012-08-30T00:00:00"/>
    <s v="F2"/>
    <n v="23.48"/>
    <n v="23.33"/>
    <x v="18"/>
  </r>
  <r>
    <s v="WQOCT12"/>
    <d v="2012-10-02T00:00:00"/>
    <s v="F2"/>
    <n v="20.420000000000002"/>
    <n v="20.76"/>
    <x v="18"/>
  </r>
  <r>
    <s v="WQNOV12"/>
    <d v="2012-11-15T00:00:00"/>
    <s v="F2"/>
    <n v="12.17"/>
    <n v="12.23"/>
    <x v="18"/>
  </r>
  <r>
    <s v="WQDEC12"/>
    <d v="2012-12-05T00:00:00"/>
    <s v="F2"/>
    <n v="9.92"/>
    <n v="9.93"/>
    <x v="18"/>
  </r>
  <r>
    <s v="WQJAN13"/>
    <d v="2013-01-11T00:00:00"/>
    <s v="F2"/>
    <n v="5.08"/>
    <n v="5.21"/>
    <x v="19"/>
  </r>
  <r>
    <s v="WQFEB13"/>
    <d v="2013-02-05T00:00:00"/>
    <s v="F2"/>
    <n v="2.36"/>
    <n v="2.91"/>
    <x v="19"/>
  </r>
  <r>
    <s v="WQMAR13"/>
    <d v="2013-03-11T00:00:00"/>
    <s v="F2"/>
    <n v="3.03"/>
    <n v="2.48"/>
    <x v="19"/>
  </r>
  <r>
    <s v="WQAPR13"/>
    <d v="2013-04-05T00:00:00"/>
    <s v="F2"/>
    <n v="4.1100000000000003"/>
    <n v="4.0199999999999996"/>
    <x v="19"/>
  </r>
  <r>
    <s v="WQMAY13"/>
    <d v="2013-04-30T00:00:00"/>
    <s v="F2"/>
    <n v="8.89"/>
    <n v="8.44"/>
    <x v="19"/>
  </r>
  <r>
    <s v="WQJUN13"/>
    <d v="2013-06-04T00:00:00"/>
    <s v="F2"/>
    <n v="14.58"/>
    <n v="12.32"/>
    <x v="19"/>
  </r>
  <r>
    <s v="HYJUN13"/>
    <d v="2013-06-21T00:00:00"/>
    <s v="F2"/>
    <n v="21.13"/>
    <n v="15"/>
    <x v="19"/>
  </r>
  <r>
    <s v="WQJUL13"/>
    <d v="2013-07-03T00:00:00"/>
    <s v="F2"/>
    <n v="20.98"/>
    <n v="16.43"/>
    <x v="19"/>
  </r>
  <r>
    <s v="HYJUL13"/>
    <d v="2013-07-16T00:00:00"/>
    <s v="F2"/>
    <n v="22.79"/>
    <n v="18.47"/>
    <x v="19"/>
  </r>
  <r>
    <s v="WQAUG13"/>
    <d v="2013-07-30T00:00:00"/>
    <s v="F2"/>
    <n v="21.82"/>
    <n v="19.95"/>
    <x v="19"/>
  </r>
  <r>
    <s v="HYAUG13"/>
    <d v="2013-08-13T00:00:00"/>
    <s v="F2"/>
    <n v="22.6"/>
    <n v="20.75"/>
    <x v="19"/>
  </r>
  <r>
    <s v="WQSEP13"/>
    <d v="2013-08-29T00:00:00"/>
    <s v="F2"/>
    <n v="22.53"/>
    <n v="21.82"/>
    <x v="19"/>
  </r>
  <r>
    <s v="HYSEP13"/>
    <d v="2013-09-09T00:00:00"/>
    <s v="F2"/>
    <n v="22.34"/>
    <n v="21.65"/>
    <x v="19"/>
  </r>
  <r>
    <s v="WQOCT13"/>
    <d v="2013-10-03T00:00:00"/>
    <s v="F2"/>
    <n v="19.97"/>
    <n v="20.13"/>
    <x v="19"/>
  </r>
  <r>
    <s v="WQNOV13"/>
    <d v="2013-11-06T00:00:00"/>
    <s v="F2"/>
    <n v="14.93"/>
    <n v="14.94"/>
    <x v="19"/>
  </r>
  <r>
    <s v="WQDEC13"/>
    <d v="2013-12-09T00:00:00"/>
    <s v="F2"/>
    <n v="8.59"/>
    <n v="8.59"/>
    <x v="19"/>
  </r>
  <r>
    <s v="WQJAN14"/>
    <d v="2014-01-10T00:00:00"/>
    <s v="F2"/>
    <m/>
    <n v="2.91"/>
    <x v="20"/>
  </r>
  <r>
    <s v="WQFEB14"/>
    <d v="2014-02-04T00:00:00"/>
    <s v="F2"/>
    <n v="1.01"/>
    <n v="1.04"/>
    <x v="20"/>
  </r>
  <r>
    <s v="WQMAR14"/>
    <d v="2014-03-04T00:00:00"/>
    <s v="F2"/>
    <n v="-7.0000000000000007E-2"/>
    <n v="0.09"/>
    <x v="20"/>
  </r>
  <r>
    <s v="WQAPR14"/>
    <d v="2014-04-03T00:00:00"/>
    <s v="F2"/>
    <n v="2.52"/>
    <n v="1.98"/>
    <x v="20"/>
  </r>
  <r>
    <s v="WQMAY14"/>
    <d v="2014-05-08T00:00:00"/>
    <s v="F2"/>
    <n v="9.86"/>
    <n v="7.54"/>
    <x v="20"/>
  </r>
  <r>
    <s v="WQJUN14"/>
    <d v="2014-06-04T00:00:00"/>
    <s v="F2"/>
    <n v="15.31"/>
    <n v="11.76"/>
    <x v="20"/>
  </r>
  <r>
    <s v="HYJUN14"/>
    <d v="2014-06-19T00:00:00"/>
    <s v="F2"/>
    <n v="18.28"/>
    <n v="12.94"/>
    <x v="20"/>
  </r>
  <r>
    <s v="WQJUL14"/>
    <d v="2014-07-01T00:00:00"/>
    <s v="F2"/>
    <n v="21.48"/>
    <n v="14.82"/>
    <x v="20"/>
  </r>
  <r>
    <s v="HYJUL14"/>
    <d v="2014-07-15T00:00:00"/>
    <s v="F2"/>
    <n v="21.97"/>
    <n v="18.170000000000002"/>
    <x v="20"/>
  </r>
  <r>
    <s v="WQAUG14"/>
    <d v="2014-08-05T00:00:00"/>
    <s v="F2"/>
    <n v="23.14"/>
    <n v="19.899999999999999"/>
    <x v="20"/>
  </r>
  <r>
    <s v="HYAUG14"/>
    <d v="2014-08-18T00:00:00"/>
    <s v="F2"/>
    <n v="21.74"/>
    <n v="21.29"/>
    <x v="20"/>
  </r>
  <r>
    <s v="WQSEP14"/>
    <d v="2014-09-03T00:00:00"/>
    <s v="F2"/>
    <n v="23.07"/>
    <n v="21.94"/>
    <x v="20"/>
  </r>
  <r>
    <s v="HYSEP14"/>
    <d v="2014-09-15T00:00:00"/>
    <s v="F2"/>
    <n v="21.76"/>
    <n v="21.56"/>
    <x v="20"/>
  </r>
  <r>
    <s v="WQOCT14"/>
    <d v="2014-10-03T00:00:00"/>
    <s v="F2"/>
    <n v="20.16"/>
    <n v="20.18"/>
    <x v="20"/>
  </r>
  <r>
    <s v="WQNOV14"/>
    <d v="2014-11-12T00:00:00"/>
    <s v="F2"/>
    <n v="13.84"/>
    <n v="13.57"/>
    <x v="20"/>
  </r>
  <r>
    <s v="WQDEC14"/>
    <d v="2014-12-12T00:00:00"/>
    <s v="F2"/>
    <n v="7.42"/>
    <n v="7.63"/>
    <x v="20"/>
  </r>
  <r>
    <s v="WQJAN15"/>
    <d v="2015-01-15T00:00:00"/>
    <s v="F2"/>
    <n v="2.69"/>
    <n v="3.17"/>
    <x v="21"/>
  </r>
  <r>
    <s v="WQFEB15"/>
    <d v="2015-02-06T00:00:00"/>
    <s v="F2"/>
    <n v="0.49"/>
    <n v="0.5"/>
    <x v="21"/>
  </r>
  <r>
    <s v="WQMAR15"/>
    <d v="2015-03-09T00:00:00"/>
    <s v="F2"/>
    <n v="-1.05"/>
    <n v="-1.08"/>
    <x v="21"/>
  </r>
  <r>
    <s v="WQAPR15"/>
    <d v="2015-03-31T00:00:00"/>
    <s v="F2"/>
    <n v="1.08"/>
    <n v="0.75"/>
    <x v="21"/>
  </r>
  <r>
    <s v="WQMAY15"/>
    <d v="2015-05-04T00:00:00"/>
    <s v="F2"/>
    <n v="8.84"/>
    <n v="6.07"/>
    <x v="21"/>
  </r>
  <r>
    <s v="WQJUN15"/>
    <d v="2015-06-01T00:00:00"/>
    <s v="F2"/>
    <n v="13.58"/>
    <n v="10.43"/>
    <x v="21"/>
  </r>
  <r>
    <s v="HYJUN15"/>
    <d v="2015-06-19T00:00:00"/>
    <s v="F2"/>
    <n v="17.170000000000002"/>
    <n v="14.09"/>
    <x v="21"/>
  </r>
  <r>
    <s v="WQJUL15"/>
    <d v="2015-07-08T00:00:00"/>
    <s v="F2"/>
    <n v="21.11"/>
    <n v="16.59"/>
    <x v="21"/>
  </r>
  <r>
    <s v="HYJUL15"/>
    <d v="2015-07-21T00:00:00"/>
    <s v="F2"/>
    <n v="23.35"/>
    <n v="18.77"/>
    <x v="21"/>
  </r>
  <r>
    <s v="WQAUG15"/>
    <d v="2015-08-05T00:00:00"/>
    <s v="F2"/>
    <n v="22.53"/>
    <n v="20.07"/>
    <x v="21"/>
  </r>
  <r>
    <s v="HYAUG15"/>
    <d v="2015-08-18T00:00:00"/>
    <s v="F2"/>
    <n v="24.8"/>
    <n v="21.58"/>
    <x v="21"/>
  </r>
  <r>
    <s v="WQSEP15"/>
    <d v="2015-09-02T00:00:00"/>
    <s v="F2"/>
    <n v="23.85"/>
    <n v="22.83"/>
    <x v="21"/>
  </r>
  <r>
    <s v="HYSEP15"/>
    <d v="2015-09-16T00:00:00"/>
    <s v="F2"/>
    <n v="23.37"/>
    <n v="23.13"/>
    <x v="21"/>
  </r>
  <r>
    <s v="WQOCT15"/>
    <d v="2015-10-09T00:00:00"/>
    <s v="F2"/>
    <n v="19.32"/>
    <n v="19.34"/>
    <x v="21"/>
  </r>
  <r>
    <s v="WQNOV15"/>
    <d v="2015-11-10T00:00:00"/>
    <s v="F2"/>
    <n v="15.37"/>
    <n v="15.41"/>
    <x v="21"/>
  </r>
  <r>
    <s v="WQDEC15"/>
    <d v="2015-12-14T00:00:00"/>
    <s v="F2"/>
    <n v="10.95"/>
    <n v="11.12"/>
    <x v="21"/>
  </r>
  <r>
    <s v="WQJAN16"/>
    <d v="2016-01-08T00:00:00"/>
    <s v="F2"/>
    <n v="7.44"/>
    <n v="7.42"/>
    <x v="22"/>
  </r>
  <r>
    <s v="WQFEB16"/>
    <d v="2016-02-02T00:00:00"/>
    <s v="F2"/>
    <n v="4.0999999999999996"/>
    <n v="4.2"/>
    <x v="22"/>
  </r>
  <r>
    <s v="WQMAR16"/>
    <d v="2016-03-09T00:00:00"/>
    <s v="F2"/>
    <n v="3.86"/>
    <n v="3.44"/>
    <x v="22"/>
  </r>
  <r>
    <s v="WQAPR16"/>
    <d v="2016-04-06T00:00:00"/>
    <s v="F2"/>
    <n v="5.69"/>
    <n v="6"/>
    <x v="22"/>
  </r>
  <r>
    <s v="WQMAY16"/>
    <d v="2016-05-18T00:00:00"/>
    <s v="F2"/>
    <n v="10.45"/>
    <n v="10.19"/>
    <x v="22"/>
  </r>
  <r>
    <s v="WQJUN16"/>
    <d v="2016-06-14T00:00:00"/>
    <s v="F2"/>
    <n v="14.63"/>
    <n v="14.29"/>
    <x v="22"/>
  </r>
  <r>
    <s v="HYJUN16"/>
    <d v="2016-06-20T00:00:00"/>
    <s v="F2"/>
    <n v="19.399999999999999"/>
    <n v="14.42"/>
    <x v="22"/>
  </r>
  <r>
    <s v="WQJUL16"/>
    <d v="2016-07-07T00:00:00"/>
    <s v="F2"/>
    <n v="20.88"/>
    <n v="17.05"/>
    <x v="22"/>
  </r>
  <r>
    <s v="HYJUL16"/>
    <d v="2016-07-19T00:00:00"/>
    <s v="F2"/>
    <n v="22.49"/>
    <n v="18.309999999999999"/>
    <x v="22"/>
  </r>
  <r>
    <s v="WQAUG16"/>
    <d v="2016-08-04T00:00:00"/>
    <s v="F2"/>
    <n v="23.44"/>
    <n v="21.87"/>
    <x v="22"/>
  </r>
  <r>
    <s v="HYAUG16"/>
    <d v="2016-08-16T00:00:00"/>
    <s v="F2"/>
    <n v="24.53"/>
    <n v="21.7"/>
    <x v="22"/>
  </r>
  <r>
    <s v="WQSEP16"/>
    <d v="2016-08-31T00:00:00"/>
    <s v="F2"/>
    <n v="24.31"/>
    <n v="23.78"/>
    <x v="22"/>
  </r>
  <r>
    <s v="HYSEP16"/>
    <d v="2016-09-13T00:00:00"/>
    <s v="F2"/>
    <n v="23.12"/>
    <n v="23.12"/>
    <x v="22"/>
  </r>
  <r>
    <s v="WQOCT16"/>
    <d v="2016-10-06T00:00:00"/>
    <s v="F2"/>
    <n v="20.27"/>
    <n v="20.260000000000002"/>
    <x v="22"/>
  </r>
  <r>
    <s v="WQNOV16"/>
    <d v="2016-11-08T00:00:00"/>
    <s v="F2"/>
    <n v="14.92"/>
    <n v="14.26"/>
    <x v="22"/>
  </r>
  <r>
    <s v="WQDEC16"/>
    <d v="2016-12-06T00:00:00"/>
    <s v="F2"/>
    <n v="9.57"/>
    <n v="10.35"/>
    <x v="22"/>
  </r>
  <r>
    <s v="WQJAN17"/>
    <d v="2017-01-06T00:00:00"/>
    <s v="F2"/>
    <n v="4.7"/>
    <n v="5.44"/>
    <x v="23"/>
  </r>
  <r>
    <s v="WQFEB17"/>
    <d v="2017-02-14T00:00:00"/>
    <s v="F2"/>
    <n v="2.67"/>
    <n v="2.82"/>
    <x v="23"/>
  </r>
  <r>
    <s v="WQMAR17"/>
    <d v="2017-03-08T00:00:00"/>
    <s v="F2"/>
    <n v="3.25"/>
    <n v="3.21"/>
    <x v="23"/>
  </r>
  <r>
    <s v="WQAPR17"/>
    <d v="2017-04-05T00:00:00"/>
    <s v="F2"/>
    <n v="4.58"/>
    <n v="3.86"/>
    <x v="23"/>
  </r>
  <r>
    <s v="WQMAY17"/>
    <d v="2017-05-04T00:00:00"/>
    <s v="F2"/>
    <n v="9.5399999999999991"/>
    <n v="8.32"/>
    <x v="23"/>
  </r>
  <r>
    <s v="WQJUN17"/>
    <d v="2017-06-07T00:00:00"/>
    <s v="F2"/>
    <n v="14.16"/>
    <n v="14.01"/>
    <x v="23"/>
  </r>
  <r>
    <s v="HYJUN17"/>
    <d v="2017-06-20T00:00:00"/>
    <s v="F2"/>
    <n v="16.55"/>
    <n v="15.95"/>
    <x v="23"/>
  </r>
  <r>
    <s v="WQJUL17"/>
    <d v="2017-07-07T00:00:00"/>
    <s v="F2"/>
    <n v="20.350000000000001"/>
    <n v="17.43"/>
    <x v="23"/>
  </r>
  <r>
    <s v="HYJUL17"/>
    <d v="2017-07-19T00:00:00"/>
    <s v="F2"/>
    <n v="21.94"/>
    <n v="18.91"/>
    <x v="23"/>
  </r>
  <r>
    <s v="WQAUG17"/>
    <d v="2017-08-02T00:00:00"/>
    <s v="F2"/>
    <n v="23.72"/>
    <n v="20.13"/>
    <x v="23"/>
  </r>
  <r>
    <s v="HYAUG17"/>
    <d v="2017-08-16T00:00:00"/>
    <s v="F2"/>
    <n v="22.54"/>
    <n v="20.99"/>
    <x v="23"/>
  </r>
  <r>
    <s v="WQSEP17"/>
    <d v="2017-08-31T00:00:00"/>
    <s v="F2"/>
    <n v="21.86"/>
    <n v="21.76"/>
    <x v="23"/>
  </r>
  <r>
    <s v="WQOCT17"/>
    <d v="2017-10-11T00:00:00"/>
    <s v="F2"/>
    <n v="21.18"/>
    <n v="20.96"/>
    <x v="23"/>
  </r>
  <r>
    <s v="WQNOV17"/>
    <d v="2017-11-14T00:00:00"/>
    <s v="F2"/>
    <n v="14.23"/>
    <n v="14.31"/>
    <x v="23"/>
  </r>
  <r>
    <s v="WQDEC17"/>
    <d v="2017-12-01T00:00:00"/>
    <s v="F2"/>
    <n v="10.65"/>
    <n v="11.47"/>
    <x v="23"/>
  </r>
  <r>
    <s v="WQJAN18"/>
    <d v="2018-01-11T00:00:00"/>
    <s v="F2"/>
    <n v="1.73"/>
    <n v="1.97"/>
    <x v="24"/>
  </r>
  <r>
    <s v="WQFEB18"/>
    <d v="2018-02-06T00:00:00"/>
    <s v="F2"/>
    <n v="1.25"/>
    <n v="1.55"/>
    <x v="24"/>
  </r>
  <r>
    <s v="WQMAR18"/>
    <d v="2018-03-08T00:00:00"/>
    <s v="F2"/>
    <n v="3.12"/>
    <n v="2.72"/>
    <x v="24"/>
  </r>
  <r>
    <s v="WQAPR18"/>
    <d v="2018-04-10T00:00:00"/>
    <s v="F2"/>
    <n v="4.4400000000000004"/>
    <n v="3.97"/>
    <x v="24"/>
  </r>
  <r>
    <s v="WQMAY18"/>
    <d v="2018-05-03T00:00:00"/>
    <s v="F2"/>
    <n v="8.76"/>
    <n v="6.51"/>
    <x v="24"/>
  </r>
  <r>
    <s v="WQJUN18"/>
    <d v="2018-06-01T00:00:00"/>
    <s v="F2"/>
    <n v="14.16"/>
    <n v="10.49"/>
    <x v="24"/>
  </r>
  <r>
    <s v="HYJUN18"/>
    <d v="2018-06-12T00:00:00"/>
    <s v="F2"/>
    <n v="17.37"/>
    <n v="11.53"/>
    <x v="24"/>
  </r>
  <r>
    <s v="WQJUL18"/>
    <d v="2018-07-03T00:00:00"/>
    <s v="F2"/>
    <n v="19.45"/>
    <n v="14.6"/>
    <x v="24"/>
  </r>
  <r>
    <s v="HYJUL18"/>
    <d v="2018-07-17T00:00:00"/>
    <s v="F2"/>
    <n v="22.42"/>
    <n v="18.3"/>
    <x v="24"/>
  </r>
  <r>
    <s v="WQAUG18"/>
    <d v="2018-07-31T00:00:00"/>
    <s v="F2"/>
    <n v="24.25"/>
    <n v="19.29"/>
    <x v="24"/>
  </r>
  <r>
    <s v="HYAUG18"/>
    <d v="2018-08-14T00:00:00"/>
    <s v="F2"/>
    <n v="23.35"/>
    <n v="23.13"/>
    <x v="24"/>
  </r>
  <r>
    <s v="WQSEP18"/>
    <d v="2018-08-28T00:00:00"/>
    <s v="F2"/>
    <n v="24.77"/>
    <n v="22.53"/>
    <x v="24"/>
  </r>
  <r>
    <s v="HYSEP18"/>
    <d v="2018-09-12T00:00:00"/>
    <s v="F2"/>
    <n v="22.76"/>
    <n v="22.75"/>
    <x v="24"/>
  </r>
  <r>
    <s v="WQOCT18"/>
    <d v="2018-10-04T00:00:00"/>
    <s v="F2"/>
    <n v="21.11"/>
    <n v="21.52"/>
    <x v="24"/>
  </r>
  <r>
    <s v="WQNOV18"/>
    <d v="2018-11-07T00:00:00"/>
    <s v="F2"/>
    <n v="14.28"/>
    <n v="14.77"/>
    <x v="24"/>
  </r>
  <r>
    <s v="WQDEC18"/>
    <d v="2018-12-04T00:00:00"/>
    <s v="F2"/>
    <n v="8.75"/>
    <n v="9.16"/>
    <x v="24"/>
  </r>
  <r>
    <s v="WQJAN19"/>
    <d v="2019-01-07T00:00:00"/>
    <s v="F2"/>
    <n v="5.21"/>
    <n v="5.78"/>
    <x v="25"/>
  </r>
  <r>
    <s v="WQFEB19"/>
    <d v="2019-02-06T00:00:00"/>
    <s v="F2"/>
    <n v="1.83"/>
    <n v="2.0699999999999998"/>
    <x v="25"/>
  </r>
  <r>
    <s v="WQMAR19"/>
    <d v="2019-03-07T00:00:00"/>
    <s v="F2"/>
    <n v="1.53"/>
    <n v="1.72"/>
    <x v="25"/>
  </r>
  <r>
    <s v="WQAPR19"/>
    <d v="2019-04-04T00:00:00"/>
    <s v="F2"/>
    <n v="4.5199999999999996"/>
    <n v="3.9"/>
    <x v="25"/>
  </r>
  <r>
    <s v="WQMAY19"/>
    <d v="2019-05-08T00:00:00"/>
    <s v="F2"/>
    <n v="11.03"/>
    <n v="9.31"/>
    <x v="25"/>
  </r>
  <r>
    <s v="WQJUN19"/>
    <d v="2019-05-31T00:00:00"/>
    <s v="F2"/>
    <n v="14.28"/>
    <n v="11"/>
    <x v="25"/>
  </r>
  <r>
    <s v="HYJUN19"/>
    <d v="2019-06-12T00:00:00"/>
    <s v="F2"/>
    <n v="17.2"/>
    <n v="14.4"/>
    <x v="25"/>
  </r>
  <r>
    <s v="WQJUL19"/>
    <d v="2019-07-03T00:00:00"/>
    <s v="F2"/>
    <n v="19.66"/>
    <n v="15.43"/>
    <x v="25"/>
  </r>
  <r>
    <s v="HYJUL19"/>
    <d v="2019-07-16T00:00:00"/>
    <s v="F2"/>
    <n v="21.16"/>
    <n v="17.62"/>
    <x v="25"/>
  </r>
  <r>
    <s v="WQAUG19"/>
    <d v="2019-08-01T00:00:00"/>
    <s v="F2"/>
    <n v="23.7"/>
    <n v="18.98"/>
    <x v="25"/>
  </r>
  <r>
    <s v="HYAUG19"/>
    <d v="2019-08-13T00:00:00"/>
    <s v="F2"/>
    <n v="21.71"/>
    <n v="20.95"/>
    <x v="25"/>
  </r>
  <r>
    <s v="WQSEP19"/>
    <d v="2019-08-29T00:00:00"/>
    <s v="F2"/>
    <n v="22.26"/>
    <n v="22.16"/>
    <x v="25"/>
  </r>
  <r>
    <s v="HYSEP19"/>
    <d v="2019-09-10T00:00:00"/>
    <s v="F2"/>
    <n v="21.83"/>
    <n v="21.73"/>
    <x v="25"/>
  </r>
  <r>
    <s v="WQOCT19"/>
    <d v="2019-10-02T00:00:00"/>
    <s v="F2"/>
    <n v="21.24"/>
    <n v="21.18"/>
    <x v="25"/>
  </r>
  <r>
    <s v="WQNOV19"/>
    <d v="2019-11-06T00:00:00"/>
    <s v="F2"/>
    <n v="14.89"/>
    <n v="15.41"/>
    <x v="25"/>
  </r>
  <r>
    <s v="WQDEC19"/>
    <d v="2019-12-16T00:00:00"/>
    <s v="F2"/>
    <n v="7.3"/>
    <n v="7.33"/>
    <x v="25"/>
  </r>
  <r>
    <s v="WQJAN20"/>
    <d v="2020-01-10T00:00:00"/>
    <s v="F2"/>
    <n v="4.55"/>
    <n v="4.87"/>
    <x v="26"/>
  </r>
  <r>
    <s v="WQFEB20"/>
    <d v="2020-02-11T00:00:00"/>
    <s v="F2"/>
    <n v="3.97"/>
    <n v="4.01"/>
    <x v="26"/>
  </r>
  <r>
    <s v="WQMAR20"/>
    <d v="2020-03-11T00:00:00"/>
    <s v="F2"/>
    <n v="4.62"/>
    <n v="4.53"/>
    <x v="26"/>
  </r>
  <r>
    <s v="WQJUN20"/>
    <d v="2020-06-16T00:00:00"/>
    <s v="F2"/>
    <n v="17.170000000000002"/>
    <n v="13.57"/>
    <x v="26"/>
  </r>
  <r>
    <s v="WQJUL20"/>
    <d v="2020-07-08T00:00:00"/>
    <s v="F2"/>
    <n v="21.56"/>
    <n v="16.97"/>
    <x v="26"/>
  </r>
  <r>
    <s v="HYJUL20"/>
    <d v="2020-07-21T00:00:00"/>
    <s v="F2"/>
    <n v="25"/>
    <n v="19.54"/>
    <x v="26"/>
  </r>
  <r>
    <s v="WQAUG20"/>
    <d v="2020-08-11T00:00:00"/>
    <s v="F2"/>
    <n v="24.64"/>
    <n v="21.95"/>
    <x v="26"/>
  </r>
  <r>
    <s v="HYAUG20"/>
    <d v="2020-08-26T00:00:00"/>
    <s v="F2"/>
    <n v="23.3"/>
    <n v="22.86"/>
    <x v="26"/>
  </r>
  <r>
    <s v="WQSEP20"/>
    <d v="2020-09-08T00:00:00"/>
    <s v="F2"/>
    <n v="23.5"/>
    <n v="23.03"/>
    <x v="26"/>
  </r>
  <r>
    <s v="WQOCT20"/>
    <d v="2020-10-15T00:00:00"/>
    <s v="F2"/>
    <n v="18.399999999999999"/>
    <n v="18.350000000000001"/>
    <x v="26"/>
  </r>
  <r>
    <s v="WQNOV20"/>
    <d v="2020-11-05T00:00:00"/>
    <s v="F2"/>
    <n v="14.91"/>
    <n v="14.86"/>
    <x v="26"/>
  </r>
  <r>
    <s v="WQMAR21"/>
    <d v="2021-03-09T00:00:00"/>
    <s v="F2"/>
    <n v="2.33"/>
    <n v="2.23"/>
    <x v="27"/>
  </r>
  <r>
    <s v="WQAPR21"/>
    <d v="2021-04-08T00:00:00"/>
    <s v="F2"/>
    <n v="6.11"/>
    <n v="4.87"/>
    <x v="27"/>
  </r>
  <r>
    <s v="WQMAY21"/>
    <d v="2021-05-04T00:00:00"/>
    <s v="F2"/>
    <n v="9.73"/>
    <n v="9.0399999999999991"/>
    <x v="27"/>
  </r>
  <r>
    <s v="WQJUN21"/>
    <d v="2021-06-09T00:00:00"/>
    <s v="F2"/>
    <n v="16.079999999999998"/>
    <n v="12.44"/>
    <x v="27"/>
  </r>
  <r>
    <s v="HYJUN21"/>
    <d v="2021-06-21T00:00:00"/>
    <s v="F2"/>
    <n v="17.91"/>
    <n v="13.68"/>
    <x v="27"/>
  </r>
  <r>
    <s v="WQJUL21"/>
    <d v="2021-07-12T00:00:00"/>
    <s v="F2"/>
    <n v="21.79"/>
    <n v="17.72"/>
    <x v="27"/>
  </r>
  <r>
    <s v="HYJUL21"/>
    <d v="2021-07-20T00:00:00"/>
    <s v="F2"/>
    <n v="21.83"/>
    <n v="19.2"/>
    <x v="27"/>
  </r>
  <r>
    <s v="WQAUG21"/>
    <d v="2021-08-04T00:00:00"/>
    <s v="F2"/>
    <n v="22.03"/>
    <n v="20.36"/>
    <x v="27"/>
  </r>
  <r>
    <s v="HYAUG21"/>
    <d v="2021-08-17T00:00:00"/>
    <s v="F2"/>
    <n v="22.97"/>
    <n v="20.98"/>
    <x v="27"/>
  </r>
  <r>
    <s v="WQSEP21"/>
    <d v="2021-09-01T00:00:00"/>
    <s v="F2"/>
    <n v="23.71"/>
    <n v="22.59"/>
    <x v="27"/>
  </r>
  <r>
    <s v="HYSEP21"/>
    <d v="2021-09-14T00:00:00"/>
    <s v="F2"/>
    <n v="22.73"/>
    <n v="22.43"/>
    <x v="27"/>
  </r>
  <r>
    <s v="WQOCT21"/>
    <d v="2021-10-05T00:00:00"/>
    <s v="F2"/>
    <n v="20.83"/>
    <n v="21.06"/>
    <x v="27"/>
  </r>
  <r>
    <s v="WQNOV21"/>
    <d v="2021-11-09T00:00:00"/>
    <s v="F2"/>
    <n v="15.46"/>
    <n v="16.09"/>
    <x v="27"/>
  </r>
  <r>
    <s v="WQDEC21"/>
    <d v="2021-12-08T00:00:00"/>
    <s v="F2"/>
    <n v="10.02"/>
    <n v="10.3"/>
    <x v="27"/>
  </r>
  <r>
    <s v="WQFEB22"/>
    <d v="2022-02-03T00:00:00"/>
    <s v="F2"/>
    <n v="2.59"/>
    <n v="2.62"/>
    <x v="28"/>
  </r>
  <r>
    <s v="WQMAR22"/>
    <d v="2022-03-07T00:00:00"/>
    <s v="F2"/>
    <n v="3.12"/>
    <n v="2.95"/>
    <x v="28"/>
  </r>
  <r>
    <s v="WQAPR22"/>
    <d v="2022-04-08T00:00:00"/>
    <s v="F2"/>
    <n v="5.59"/>
    <n v="5.47"/>
    <x v="28"/>
  </r>
  <r>
    <s v="WQMAY22"/>
    <d v="2022-05-06T00:00:00"/>
    <s v="F2"/>
    <n v="10.029999999999999"/>
    <n v="8.5399999999999991"/>
    <x v="28"/>
  </r>
  <r>
    <s v="WQJUN22"/>
    <d v="2022-06-06T00:00:00"/>
    <s v="F2"/>
    <n v="17.579999999999998"/>
    <n v="12.09"/>
    <x v="28"/>
  </r>
  <r>
    <s v="HYJUN22"/>
    <d v="2022-06-14T00:00:00"/>
    <s v="F2"/>
    <n v="15.43"/>
    <n v="13.36"/>
    <x v="28"/>
  </r>
  <r>
    <s v="WQJUL22"/>
    <d v="2022-07-08T00:00:00"/>
    <s v="F2"/>
    <n v="19.71"/>
    <n v="16.84"/>
    <x v="28"/>
  </r>
  <r>
    <s v="HYJUL22"/>
    <d v="2022-07-18T00:00:00"/>
    <s v="F2"/>
    <n v="22.28"/>
    <n v="19.12"/>
    <x v="28"/>
  </r>
  <r>
    <s v="WQAUG22"/>
    <d v="2022-08-03T00:00:00"/>
    <s v="F2"/>
    <n v="23.68"/>
    <n v="20.52"/>
    <x v="28"/>
  </r>
  <r>
    <s v="HYAUG22"/>
    <d v="2022-08-18T00:00:00"/>
    <s v="F2"/>
    <n v="22.95"/>
    <n v="22.55"/>
    <x v="28"/>
  </r>
  <r>
    <s v="WQSEP22"/>
    <d v="2022-09-02T00:00:00"/>
    <s v="F2"/>
    <n v="23.72"/>
    <n v="22.86"/>
    <x v="28"/>
  </r>
  <r>
    <s v="WQOCT22"/>
    <d v="2022-10-07T00:00:00"/>
    <s v="F2"/>
    <n v="17.420000000000002"/>
    <n v="18.39"/>
    <x v="28"/>
  </r>
  <r>
    <s v="WQNOV22"/>
    <d v="2022-11-08T00:00:00"/>
    <s v="F2"/>
    <n v="16.36"/>
    <n v="16.420000000000002"/>
    <x v="28"/>
  </r>
  <r>
    <s v="WQDEC22"/>
    <d v="2022-12-06T00:00:00"/>
    <s v="F2"/>
    <n v="10.54"/>
    <n v="10.55"/>
    <x v="28"/>
  </r>
  <r>
    <s v="WQJAN23"/>
    <d v="2023-01-06T00:00:00"/>
    <s v="F2"/>
    <n v="5.77"/>
    <n v="5.79"/>
    <x v="29"/>
  </r>
  <r>
    <s v="WQFEB23"/>
    <d v="2023-02-08T00:00:00"/>
    <s v="F2"/>
    <n v="3.98"/>
    <n v="4.09"/>
    <x v="29"/>
  </r>
  <r>
    <s v="WQAPR23"/>
    <d v="2023-04-18T00:00:00"/>
    <s v="F2"/>
    <n v="8.48"/>
    <n v="8.27"/>
    <x v="29"/>
  </r>
  <r>
    <s v="WQMAY23"/>
    <d v="2023-05-05T00:00:00"/>
    <s v="F2"/>
    <n v="11.11"/>
    <n v="10.08"/>
    <x v="29"/>
  </r>
  <r>
    <s v="WQJUN23"/>
    <d v="2023-06-02T00:00:00"/>
    <s v="F2"/>
    <n v="16.309999999999999"/>
    <n v="12.78"/>
    <x v="29"/>
  </r>
  <r>
    <s v="WQJUL23"/>
    <d v="2023-07-07T00:00:00"/>
    <s v="F2"/>
    <n v="23.89"/>
    <n v="16.63"/>
    <x v="29"/>
  </r>
  <r>
    <s v="HYJUL23"/>
    <d v="2023-07-18T00:00:00"/>
    <s v="F2"/>
    <n v="22.23"/>
    <n v="19.48"/>
    <x v="29"/>
  </r>
  <r>
    <s v="WQAUG23"/>
    <d v="2023-08-03T00:00:00"/>
    <s v="F2"/>
    <n v="22.15"/>
    <n v="20.83"/>
    <x v="29"/>
  </r>
  <r>
    <s v="HYAUG23"/>
    <d v="2023-08-16T00:00:00"/>
    <s v="F2"/>
    <n v="22.59"/>
    <n v="22.02"/>
    <x v="29"/>
  </r>
  <r>
    <s v="WQSEP23"/>
    <d v="2023-09-06T00:00:00"/>
    <s v="F2"/>
    <n v="23.57"/>
    <n v="22.08"/>
    <x v="29"/>
  </r>
  <r>
    <s v="WQOCT23"/>
    <d v="2023-10-06T00:00:00"/>
    <s v="F2"/>
    <n v="20.16"/>
    <n v="19.420000000000002"/>
    <x v="29"/>
  </r>
  <r>
    <s v="WQNOV23"/>
    <d v="2023-11-09T00:00:00"/>
    <s v="F2"/>
    <n v="14.96"/>
    <n v="15.15"/>
    <x v="29"/>
  </r>
  <r>
    <s v="WQDEC23"/>
    <d v="2023-12-07T00:00:00"/>
    <s v="F2"/>
    <n v="9.4"/>
    <n v="10.66"/>
    <x v="29"/>
  </r>
  <r>
    <s v="WQJAN24"/>
    <d v="2024-01-04T00:00:00"/>
    <s v="F2"/>
    <n v="6.99"/>
    <n v="7.94"/>
    <x v="30"/>
  </r>
  <r>
    <s v="WQFEB24"/>
    <d v="2024-02-07T00:00:00"/>
    <s v="F2"/>
    <n v="4.04"/>
    <n v="4.33"/>
    <x v="30"/>
  </r>
  <r>
    <s v="WQMAR24"/>
    <d v="2024-03-06T00:00:00"/>
    <s v="F2"/>
    <n v="4.58"/>
    <n v="4.33"/>
    <x v="30"/>
  </r>
  <r>
    <s v="WQAPR24"/>
    <d v="2024-04-09T00:00:00"/>
    <s v="F2"/>
    <n v="6.55"/>
    <n v="6.17"/>
    <x v="30"/>
  </r>
  <r>
    <s v="WQMAY24"/>
    <d v="2024-05-06T00:00:00"/>
    <s v="F2"/>
    <n v="11.25"/>
    <n v="9.1300000000000008"/>
    <x v="30"/>
  </r>
  <r>
    <s v="WQJUN24"/>
    <d v="2024-06-03T00:00:00"/>
    <s v="F2"/>
    <n v="14.05"/>
    <n v="11.87"/>
    <x v="30"/>
  </r>
  <r>
    <s v="HYJUN24"/>
    <d v="2024-06-17T00:00:00"/>
    <s v="F2"/>
    <n v="17.989999999999998"/>
    <n v="13.97"/>
    <x v="30"/>
  </r>
  <r>
    <s v="WQJUL24"/>
    <d v="2024-07-03T00:00:00"/>
    <s v="F2"/>
    <n v="18.89"/>
    <n v="16.77"/>
    <x v="30"/>
  </r>
  <r>
    <s v="HYJUL24"/>
    <d v="2024-07-16T00:00:00"/>
    <s v="F2"/>
    <n v="18.309999999999999"/>
    <n v="18.309999999999999"/>
    <x v="30"/>
  </r>
  <r>
    <s v="WQAUG24"/>
    <d v="2024-08-01T00:00:00"/>
    <s v="F2"/>
    <n v="23.21"/>
    <n v="19.79"/>
    <x v="30"/>
  </r>
  <r>
    <s v="HYAUG24"/>
    <d v="2024-08-13T00:00:00"/>
    <s v="F2"/>
    <n v="22.32"/>
    <n v="21.06"/>
    <x v="30"/>
  </r>
  <r>
    <s v="WQSEP24"/>
    <d v="2024-08-28T00:00:00"/>
    <s v="F2"/>
    <n v="23.16"/>
    <n v="21.8"/>
    <x v="30"/>
  </r>
  <r>
    <s v="WQOCT24"/>
    <d v="2024-10-04T00:00:00"/>
    <s v="F2"/>
    <n v="20.440000000000001"/>
    <n v="20.64"/>
    <x v="30"/>
  </r>
  <r>
    <m/>
    <m/>
    <m/>
    <m/>
    <m/>
    <x v="3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7">
  <r>
    <s v="HYJUN94"/>
    <d v="1994-06-22T00:00:00"/>
    <s v="E1"/>
    <n v="19.97"/>
    <m/>
    <x v="0"/>
  </r>
  <r>
    <s v="WQJUL94"/>
    <d v="1994-07-05T00:00:00"/>
    <s v="E1"/>
    <n v="20.77"/>
    <m/>
    <x v="0"/>
  </r>
  <r>
    <s v="HYJUL94"/>
    <d v="1994-07-21T00:00:00"/>
    <s v="E1"/>
    <n v="23.54"/>
    <m/>
    <x v="0"/>
  </r>
  <r>
    <s v="WQAUG94"/>
    <d v="1994-08-03T00:00:00"/>
    <s v="E1"/>
    <n v="24.4"/>
    <m/>
    <x v="0"/>
  </r>
  <r>
    <s v="HYAUG94"/>
    <d v="1994-08-16T00:00:00"/>
    <s v="E1"/>
    <n v="22.4"/>
    <m/>
    <x v="0"/>
  </r>
  <r>
    <s v="WQSEP94"/>
    <d v="1994-08-30T00:00:00"/>
    <s v="E1"/>
    <n v="21.66"/>
    <m/>
    <x v="0"/>
  </r>
  <r>
    <s v="WQDEC94"/>
    <d v="1994-12-05T00:00:00"/>
    <s v="E1"/>
    <n v="10.43"/>
    <n v="10.55"/>
    <x v="0"/>
  </r>
  <r>
    <s v="WQJAN95"/>
    <d v="1995-01-09T00:00:00"/>
    <s v="E1"/>
    <n v="4.74"/>
    <n v="5.38"/>
    <x v="1"/>
  </r>
  <r>
    <s v="WQFEB95"/>
    <d v="1995-02-14T00:00:00"/>
    <s v="E1"/>
    <n v="11.1"/>
    <n v="1.45"/>
    <x v="1"/>
  </r>
  <r>
    <s v="WQMAR95"/>
    <d v="1995-03-10T00:00:00"/>
    <s v="E1"/>
    <n v="2.2599999999999998"/>
    <n v="2.0099999999999998"/>
    <x v="1"/>
  </r>
  <r>
    <s v="WQAPR95"/>
    <d v="1995-04-06T00:00:00"/>
    <s v="E1"/>
    <n v="5.15"/>
    <n v="4.37"/>
    <x v="1"/>
  </r>
  <r>
    <s v="WQMAY95"/>
    <d v="1995-05-10T00:00:00"/>
    <s v="E1"/>
    <n v="10.62"/>
    <n v="7.76"/>
    <x v="1"/>
  </r>
  <r>
    <s v="WQJUN95"/>
    <d v="1995-06-06T00:00:00"/>
    <s v="E1"/>
    <n v="16.88"/>
    <n v="10.7849"/>
    <x v="1"/>
  </r>
  <r>
    <s v="WQJUL95"/>
    <d v="1995-07-06T00:00:00"/>
    <s v="E1"/>
    <n v="20.51"/>
    <n v="15.1"/>
    <x v="1"/>
  </r>
  <r>
    <s v="HYJUL95"/>
    <d v="1995-07-19T00:00:00"/>
    <s v="E1"/>
    <n v="22.13"/>
    <n v="16.989999999999998"/>
    <x v="1"/>
  </r>
  <r>
    <s v="WQAUG95"/>
    <d v="1995-08-04T00:00:00"/>
    <s v="E1"/>
    <n v="23.63"/>
    <n v="18.75"/>
    <x v="1"/>
  </r>
  <r>
    <s v="HYAUG95"/>
    <d v="1995-08-14T00:00:00"/>
    <s v="E1"/>
    <n v="24.2"/>
    <n v="20.5"/>
    <x v="1"/>
  </r>
  <r>
    <s v="WQSEP95"/>
    <d v="1995-09-11T00:00:00"/>
    <s v="E1"/>
    <n v="22.16"/>
    <n v="22.223099999999999"/>
    <x v="1"/>
  </r>
  <r>
    <s v="WQOCT95"/>
    <d v="1995-10-04T00:00:00"/>
    <s v="E1"/>
    <n v="20.05"/>
    <n v="19.73"/>
    <x v="1"/>
  </r>
  <r>
    <s v="WQNOV95"/>
    <d v="1995-11-01T00:00:00"/>
    <s v="E1"/>
    <n v="16.579999999999998"/>
    <n v="16.59"/>
    <x v="1"/>
  </r>
  <r>
    <s v="WQDEC95"/>
    <d v="1995-12-07T00:00:00"/>
    <s v="E1"/>
    <n v="8.82"/>
    <n v="8.89"/>
    <x v="1"/>
  </r>
  <r>
    <s v="WQFEB96"/>
    <d v="1996-02-09T00:00:00"/>
    <s v="E1"/>
    <n v="0.05"/>
    <n v="0.49"/>
    <x v="2"/>
  </r>
  <r>
    <s v="WQMAR96"/>
    <d v="1996-03-05T00:00:00"/>
    <s v="E1"/>
    <n v="0.92"/>
    <n v="0.63"/>
    <x v="2"/>
  </r>
  <r>
    <s v="WQAPR96"/>
    <d v="1996-04-03T00:00:00"/>
    <s v="E1"/>
    <n v="3.44"/>
    <n v="2.2200000000000002"/>
    <x v="2"/>
  </r>
  <r>
    <s v="WQMAY96"/>
    <d v="1996-05-13T00:00:00"/>
    <s v="E1"/>
    <n v="10.01"/>
    <n v="7.88"/>
    <x v="2"/>
  </r>
  <r>
    <s v="WQJUN96"/>
    <d v="1996-06-03T00:00:00"/>
    <s v="E1"/>
    <n v="14.43"/>
    <n v="9.57"/>
    <x v="2"/>
  </r>
  <r>
    <s v="HYJUN96"/>
    <d v="1996-06-27T00:00:00"/>
    <s v="E1"/>
    <n v="18.98"/>
    <n v="12.54"/>
    <x v="2"/>
  </r>
  <r>
    <s v="WQJUL96"/>
    <d v="1996-07-09T00:00:00"/>
    <s v="E1"/>
    <n v="18.59"/>
    <n v="15.43"/>
    <x v="2"/>
  </r>
  <r>
    <s v="HYJUL96"/>
    <d v="1996-07-25T00:00:00"/>
    <s v="E1"/>
    <n v="20.55"/>
    <n v="17.95"/>
    <x v="2"/>
  </r>
  <r>
    <s v="WQAUG96"/>
    <d v="1996-08-08T00:00:00"/>
    <s v="E1"/>
    <n v="22.27"/>
    <n v="18.899999999999999"/>
    <x v="2"/>
  </r>
  <r>
    <s v="HYAUG96"/>
    <d v="1996-08-22T00:00:00"/>
    <s v="E1"/>
    <n v="22.85"/>
    <n v="19.41"/>
    <x v="2"/>
  </r>
  <r>
    <s v="WQSEP96"/>
    <d v="1996-09-06T00:00:00"/>
    <s v="E1"/>
    <n v="23.16"/>
    <n v="20.63"/>
    <x v="2"/>
  </r>
  <r>
    <s v="WQOCT96"/>
    <d v="1996-10-04T00:00:00"/>
    <s v="E1"/>
    <n v="19.149999999999999"/>
    <n v="19.57"/>
    <x v="2"/>
  </r>
  <r>
    <s v="WQNOV96"/>
    <d v="1996-11-05T00:00:00"/>
    <s v="E1"/>
    <n v="14"/>
    <n v="14.09"/>
    <x v="2"/>
  </r>
  <r>
    <s v="WQDEC96"/>
    <d v="1996-12-10T00:00:00"/>
    <s v="E1"/>
    <n v="7.15"/>
    <n v="8.4700000000000006"/>
    <x v="2"/>
  </r>
  <r>
    <s v="WQFEB97"/>
    <d v="1997-02-04T00:00:00"/>
    <s v="E1"/>
    <n v="2.02"/>
    <n v="2.2799999999999998"/>
    <x v="3"/>
  </r>
  <r>
    <s v="WQMAR97"/>
    <d v="1997-03-04T00:00:00"/>
    <s v="E1"/>
    <n v="3"/>
    <n v="3"/>
    <x v="3"/>
  </r>
  <r>
    <s v="WQAPR97"/>
    <d v="1997-04-02T00:00:00"/>
    <s v="E1"/>
    <n v="4.54"/>
    <n v="4.2"/>
    <x v="3"/>
  </r>
  <r>
    <s v="WQMAY97"/>
    <d v="1997-05-08T00:00:00"/>
    <s v="E1"/>
    <n v="8.7799999999999994"/>
    <n v="8.2899999999999991"/>
    <x v="3"/>
  </r>
  <r>
    <s v="WQJUN97"/>
    <d v="1997-06-05T00:00:00"/>
    <s v="E1"/>
    <n v="13.01"/>
    <n v="11.86"/>
    <x v="3"/>
  </r>
  <r>
    <s v="HYJUN97"/>
    <d v="1997-06-27T00:00:00"/>
    <s v="E1"/>
    <n v="18.440000000000001"/>
    <m/>
    <x v="3"/>
  </r>
  <r>
    <s v="HYJUL97"/>
    <d v="1997-07-23T00:00:00"/>
    <s v="E1"/>
    <n v="20.12"/>
    <m/>
    <x v="3"/>
  </r>
  <r>
    <s v="WQAUG97"/>
    <d v="1997-08-04T00:00:00"/>
    <s v="E1"/>
    <n v="22.07"/>
    <n v="18.61"/>
    <x v="3"/>
  </r>
  <r>
    <s v="HYAUG97"/>
    <d v="1997-08-22T00:00:00"/>
    <s v="E1"/>
    <n v="21.22"/>
    <n v="20.39"/>
    <x v="3"/>
  </r>
  <r>
    <s v="WQSEP97"/>
    <d v="1997-09-05T00:00:00"/>
    <s v="E1"/>
    <n v="21.6"/>
    <n v="20.93"/>
    <x v="3"/>
  </r>
  <r>
    <s v="WQOCT97"/>
    <d v="1997-10-07T00:00:00"/>
    <s v="E1"/>
    <n v="19"/>
    <n v="19.03"/>
    <x v="3"/>
  </r>
  <r>
    <s v="WQNOV97"/>
    <d v="1997-11-04T00:00:00"/>
    <s v="E1"/>
    <n v="14.76"/>
    <n v="14.89"/>
    <x v="3"/>
  </r>
  <r>
    <s v="WQDEC97"/>
    <d v="1997-12-09T00:00:00"/>
    <s v="E1"/>
    <m/>
    <m/>
    <x v="3"/>
  </r>
  <r>
    <s v="WQJAN98"/>
    <d v="1998-01-08T00:00:00"/>
    <s v="E1"/>
    <n v="5.07"/>
    <n v="5.05"/>
    <x v="4"/>
  </r>
  <r>
    <s v="WQFEB98"/>
    <d v="1998-02-02T00:00:00"/>
    <s v="E1"/>
    <m/>
    <m/>
    <x v="4"/>
  </r>
  <r>
    <s v="WQMAR98"/>
    <d v="1998-03-03T00:00:00"/>
    <s v="E1"/>
    <n v="4.21"/>
    <n v="3.92"/>
    <x v="4"/>
  </r>
  <r>
    <s v="WQAPR98"/>
    <d v="1998-04-15T00:00:00"/>
    <s v="E1"/>
    <n v="7.97"/>
    <n v="6.11"/>
    <x v="4"/>
  </r>
  <r>
    <s v="WQJUN98"/>
    <d v="1998-06-01T00:00:00"/>
    <s v="E1"/>
    <n v="16.18"/>
    <n v="11.45"/>
    <x v="4"/>
  </r>
  <r>
    <s v="HYJUN98"/>
    <d v="1998-06-26T00:00:00"/>
    <s v="E1"/>
    <n v="19.809999999999999"/>
    <n v="14.72"/>
    <x v="4"/>
  </r>
  <r>
    <s v="WQJUL98"/>
    <d v="1998-07-09T00:00:00"/>
    <s v="E1"/>
    <n v="20.84"/>
    <n v="15.73"/>
    <x v="4"/>
  </r>
  <r>
    <s v="HYJUL98"/>
    <d v="1998-07-23T00:00:00"/>
    <s v="E1"/>
    <n v="21.55"/>
    <n v="17.11"/>
    <x v="4"/>
  </r>
  <r>
    <s v="WQAUG98"/>
    <d v="1998-08-04T00:00:00"/>
    <s v="E1"/>
    <n v="22.26"/>
    <n v="18.82"/>
    <x v="4"/>
  </r>
  <r>
    <s v="HYAUG98"/>
    <d v="1998-08-18T00:00:00"/>
    <s v="E1"/>
    <n v="23.12"/>
    <n v="20.41"/>
    <x v="4"/>
  </r>
  <r>
    <s v="WQSEP98"/>
    <d v="1998-09-03T00:00:00"/>
    <s v="E1"/>
    <n v="23.32"/>
    <n v="21.03"/>
    <x v="4"/>
  </r>
  <r>
    <s v="HYSEP98"/>
    <d v="1998-09-16T00:00:00"/>
    <s v="E1"/>
    <n v="22.1"/>
    <m/>
    <x v="4"/>
  </r>
  <r>
    <s v="WQOCT98"/>
    <d v="1998-10-07T00:00:00"/>
    <s v="E1"/>
    <n v="19.510000000000002"/>
    <n v="20.059999999999999"/>
    <x v="4"/>
  </r>
  <r>
    <s v="WQNOV98"/>
    <d v="1998-11-06T00:00:00"/>
    <s v="E1"/>
    <n v="14.51"/>
    <n v="14.56"/>
    <x v="4"/>
  </r>
  <r>
    <s v="WQDEC98"/>
    <d v="1998-12-03T00:00:00"/>
    <s v="E1"/>
    <n v="10.81"/>
    <n v="10.81"/>
    <x v="4"/>
  </r>
  <r>
    <s v="WQJAN99"/>
    <d v="1999-01-08T00:00:00"/>
    <s v="E1"/>
    <n v="5.0999999999999996"/>
    <n v="5.2"/>
    <x v="5"/>
  </r>
  <r>
    <s v="WQFEB99"/>
    <d v="1999-02-03T00:00:00"/>
    <s v="E1"/>
    <n v="3.12"/>
    <n v="3.27"/>
    <x v="5"/>
  </r>
  <r>
    <s v="WQMAR99"/>
    <d v="1999-03-09T00:00:00"/>
    <s v="E1"/>
    <n v="2.9"/>
    <n v="3.02"/>
    <x v="5"/>
  </r>
  <r>
    <s v="WQAPR99"/>
    <d v="1999-04-08T00:00:00"/>
    <s v="E1"/>
    <n v="6.61"/>
    <n v="4.4400000000000004"/>
    <x v="5"/>
  </r>
  <r>
    <s v="WQMAY99"/>
    <d v="1999-05-07T00:00:00"/>
    <s v="E1"/>
    <n v="11.03"/>
    <n v="7.97"/>
    <x v="5"/>
  </r>
  <r>
    <s v="WQJUN99"/>
    <d v="1999-06-01T00:00:00"/>
    <s v="E1"/>
    <n v="18.43"/>
    <n v="10.84"/>
    <x v="5"/>
  </r>
  <r>
    <s v="HYJUN99"/>
    <d v="1999-06-25T00:00:00"/>
    <s v="E1"/>
    <n v="18.86"/>
    <n v="14.53"/>
    <x v="5"/>
  </r>
  <r>
    <s v="WQJUL99"/>
    <d v="1999-07-08T00:00:00"/>
    <s v="E1"/>
    <n v="20.56"/>
    <n v="17.54"/>
    <x v="5"/>
  </r>
  <r>
    <s v="HYJUL99"/>
    <d v="1999-07-22T00:00:00"/>
    <s v="E1"/>
    <n v="22.23"/>
    <n v="18.87"/>
    <x v="5"/>
  </r>
  <r>
    <s v="WQAUG99"/>
    <d v="1999-08-05T00:00:00"/>
    <s v="E1"/>
    <n v="23.67"/>
    <n v="20.25"/>
    <x v="5"/>
  </r>
  <r>
    <s v="HYAUG99"/>
    <d v="1999-08-19T00:00:00"/>
    <s v="E1"/>
    <n v="23.39"/>
    <n v="21.28"/>
    <x v="5"/>
  </r>
  <r>
    <s v="WQSEP99"/>
    <d v="1999-09-01T00:00:00"/>
    <s v="E1"/>
    <n v="22.12"/>
    <n v="21.96"/>
    <x v="5"/>
  </r>
  <r>
    <s v="WQOCT99"/>
    <d v="1999-09-29T00:00:00"/>
    <s v="E1"/>
    <n v="20.87"/>
    <n v="20.83"/>
    <x v="5"/>
  </r>
  <r>
    <s v="WQNOV99"/>
    <d v="1999-11-02T00:00:00"/>
    <s v="E1"/>
    <n v="15.89"/>
    <n v="16.43"/>
    <x v="5"/>
  </r>
  <r>
    <s v="WQDEC99"/>
    <d v="1999-12-09T00:00:00"/>
    <s v="E1"/>
    <n v="9.7100000000000009"/>
    <n v="10.14"/>
    <x v="5"/>
  </r>
  <r>
    <s v="WQJAN00"/>
    <d v="2000-01-07T00:00:00"/>
    <s v="E1"/>
    <n v="5.96"/>
    <n v="6.14"/>
    <x v="6"/>
  </r>
  <r>
    <s v="WQFEB00"/>
    <d v="2000-02-04T00:00:00"/>
    <s v="E1"/>
    <n v="0.49"/>
    <n v="1.1499999999999999"/>
    <x v="6"/>
  </r>
  <r>
    <s v="WQMAR00"/>
    <d v="2000-03-15T00:00:00"/>
    <s v="E1"/>
    <n v="3.67"/>
    <n v="2.75"/>
    <x v="6"/>
  </r>
  <r>
    <s v="WQAPR00"/>
    <d v="2000-04-10T00:00:00"/>
    <s v="E1"/>
    <n v="6.13"/>
    <n v="5.84"/>
    <x v="6"/>
  </r>
  <r>
    <s v="WQMAY00"/>
    <d v="2000-05-02T00:00:00"/>
    <s v="E1"/>
    <n v="9.52"/>
    <n v="7.29"/>
    <x v="6"/>
  </r>
  <r>
    <s v="WQJUN00"/>
    <d v="2000-06-02T00:00:00"/>
    <s v="E1"/>
    <n v="15.89"/>
    <n v="11.24"/>
    <x v="6"/>
  </r>
  <r>
    <s v="HYJUN00"/>
    <d v="2000-06-23T00:00:00"/>
    <s v="E1"/>
    <n v="18.690000000000001"/>
    <m/>
    <x v="6"/>
  </r>
  <r>
    <s v="WQJUL00"/>
    <d v="2000-07-07T00:00:00"/>
    <s v="E1"/>
    <n v="20.32"/>
    <n v="15.9"/>
    <x v="6"/>
  </r>
  <r>
    <s v="HYJUL00"/>
    <d v="2000-07-21T00:00:00"/>
    <s v="E1"/>
    <n v="21.02"/>
    <n v="17.05"/>
    <x v="6"/>
  </r>
  <r>
    <s v="WQAUG00"/>
    <d v="2000-08-03T00:00:00"/>
    <s v="E1"/>
    <n v="21.39"/>
    <n v="19.09"/>
    <x v="6"/>
  </r>
  <r>
    <s v="HYAUG00"/>
    <d v="2000-08-17T00:00:00"/>
    <s v="E1"/>
    <n v="21.92"/>
    <n v="20.13"/>
    <x v="6"/>
  </r>
  <r>
    <s v="WQSEP00"/>
    <d v="2000-09-01T00:00:00"/>
    <s v="E1"/>
    <n v="22.18"/>
    <n v="20.86"/>
    <x v="6"/>
  </r>
  <r>
    <s v="WQOCT00"/>
    <d v="2000-10-02T00:00:00"/>
    <s v="E1"/>
    <n v="19.59"/>
    <n v="19.66"/>
    <x v="6"/>
  </r>
  <r>
    <s v="WQNOV00"/>
    <d v="2000-11-13T00:00:00"/>
    <s v="E1"/>
    <n v="13.39"/>
    <n v="13.51"/>
    <x v="6"/>
  </r>
  <r>
    <s v="WQDEC00"/>
    <d v="2000-12-05T00:00:00"/>
    <s v="E1"/>
    <n v="8.6300000000000008"/>
    <n v="8.64"/>
    <x v="6"/>
  </r>
  <r>
    <s v="WQJAN01"/>
    <d v="2001-01-12T00:00:00"/>
    <s v="E1"/>
    <n v="2.11"/>
    <n v="2.29"/>
    <x v="7"/>
  </r>
  <r>
    <s v="WQFEB01"/>
    <d v="2001-02-08T00:00:00"/>
    <s v="E1"/>
    <n v="1.76"/>
    <n v="1.83"/>
    <x v="7"/>
  </r>
  <r>
    <s v="WQMAR01"/>
    <d v="2001-03-08T00:00:00"/>
    <s v="E1"/>
    <n v="1.62"/>
    <n v="1.66"/>
    <x v="7"/>
  </r>
  <r>
    <s v="WQAPR01"/>
    <d v="2001-04-05T00:00:00"/>
    <s v="E1"/>
    <n v="4.8099999999999996"/>
    <n v="3.19"/>
    <x v="7"/>
  </r>
  <r>
    <s v="WQMAY01"/>
    <d v="2001-05-02T00:00:00"/>
    <s v="E1"/>
    <m/>
    <m/>
    <x v="7"/>
  </r>
  <r>
    <s v="WQJUN01"/>
    <d v="2001-06-05T00:00:00"/>
    <s v="E1"/>
    <n v="15.51"/>
    <n v="11.31"/>
    <x v="7"/>
  </r>
  <r>
    <s v="HYJUN01"/>
    <d v="2001-06-22T00:00:00"/>
    <s v="E1"/>
    <n v="19.63"/>
    <n v="12.48"/>
    <x v="7"/>
  </r>
  <r>
    <s v="WQJUL01"/>
    <d v="2001-07-11T00:00:00"/>
    <s v="E1"/>
    <n v="19.600000000000001"/>
    <n v="15.35"/>
    <x v="7"/>
  </r>
  <r>
    <s v="HYJUL01"/>
    <d v="2001-07-26T00:00:00"/>
    <s v="E1"/>
    <n v="21.16"/>
    <n v="18.760000000000002"/>
    <x v="7"/>
  </r>
  <r>
    <s v="WQAUG01"/>
    <d v="2001-08-06T00:00:00"/>
    <s v="E1"/>
    <n v="21.86"/>
    <n v="19.39"/>
    <x v="7"/>
  </r>
  <r>
    <s v="HYAUG01"/>
    <d v="2001-08-20T00:00:00"/>
    <s v="E1"/>
    <n v="23.02"/>
    <n v="20.63"/>
    <x v="7"/>
  </r>
  <r>
    <s v="WQSEP01"/>
    <d v="2001-09-05T00:00:00"/>
    <s v="E1"/>
    <n v="22.58"/>
    <n v="21.23"/>
    <x v="7"/>
  </r>
  <r>
    <s v="WQOCT01"/>
    <d v="2001-10-03T00:00:00"/>
    <s v="E1"/>
    <n v="19.82"/>
    <n v="19.46"/>
    <x v="7"/>
  </r>
  <r>
    <s v="WQNOV01"/>
    <d v="2001-11-14T00:00:00"/>
    <s v="E1"/>
    <n v="13.48"/>
    <n v="13.42"/>
    <x v="7"/>
  </r>
  <r>
    <s v="WQDEC01"/>
    <d v="2001-12-06T00:00:00"/>
    <s v="E1"/>
    <n v="11.95"/>
    <n v="12.15"/>
    <x v="7"/>
  </r>
  <r>
    <s v="WQJAN02"/>
    <d v="2002-01-14T00:00:00"/>
    <s v="E1"/>
    <n v="5.37"/>
    <n v="5.58"/>
    <x v="8"/>
  </r>
  <r>
    <s v="WQFEB02"/>
    <d v="2002-02-07T00:00:00"/>
    <s v="E1"/>
    <n v="4.32"/>
    <n v="4.41"/>
    <x v="8"/>
  </r>
  <r>
    <s v="WQMAR02"/>
    <d v="2002-03-01T00:00:00"/>
    <s v="E1"/>
    <n v="4.53"/>
    <n v="4.4400000000000004"/>
    <x v="8"/>
  </r>
  <r>
    <s v="WQAPR02"/>
    <d v="2002-04-05T00:00:00"/>
    <s v="E1"/>
    <n v="6.3"/>
    <n v="5.54"/>
    <x v="8"/>
  </r>
  <r>
    <s v="WQMAY02"/>
    <d v="2002-05-09T00:00:00"/>
    <s v="E1"/>
    <n v="11.31"/>
    <n v="8.99"/>
    <x v="8"/>
  </r>
  <r>
    <s v="WQJUN02"/>
    <d v="2002-06-10T00:00:00"/>
    <s v="E1"/>
    <n v="16.87"/>
    <n v="12.51"/>
    <x v="8"/>
  </r>
  <r>
    <s v="HYJUN02"/>
    <d v="2002-06-26T00:00:00"/>
    <s v="E1"/>
    <n v="19.850000000000001"/>
    <n v="14.56"/>
    <x v="8"/>
  </r>
  <r>
    <s v="WQJUL02"/>
    <d v="2002-07-10T00:00:00"/>
    <s v="E1"/>
    <n v="22.17"/>
    <n v="15.7"/>
    <x v="8"/>
  </r>
  <r>
    <s v="HYJUL02"/>
    <d v="2002-07-24T00:00:00"/>
    <s v="E1"/>
    <n v="22.38"/>
    <n v="18.46"/>
    <x v="8"/>
  </r>
  <r>
    <s v="WQAUG02"/>
    <d v="2002-08-08T00:00:00"/>
    <s v="E1"/>
    <n v="22.72"/>
    <n v="19.8"/>
    <x v="8"/>
  </r>
  <r>
    <s v="HYAUG02"/>
    <d v="2002-08-23T00:00:00"/>
    <s v="E1"/>
    <n v="23.5"/>
    <n v="21.79"/>
    <x v="8"/>
  </r>
  <r>
    <s v="WQSEP02"/>
    <d v="2002-09-13T00:00:00"/>
    <s v="E1"/>
    <n v="21.62"/>
    <n v="21.81"/>
    <x v="8"/>
  </r>
  <r>
    <s v="WQOCT02"/>
    <d v="2002-10-10T00:00:00"/>
    <s v="E1"/>
    <n v="20.399999999999999"/>
    <n v="20.46"/>
    <x v="8"/>
  </r>
  <r>
    <s v="WQNOV02"/>
    <d v="2002-11-14T00:00:00"/>
    <s v="E1"/>
    <n v="12.88"/>
    <n v="13.47"/>
    <x v="8"/>
  </r>
  <r>
    <s v="WQDEC02"/>
    <d v="2002-12-13T00:00:00"/>
    <s v="E1"/>
    <n v="6.82"/>
    <n v="6.85"/>
    <x v="8"/>
  </r>
  <r>
    <s v="WQFEB03"/>
    <d v="2003-02-06T00:00:00"/>
    <s v="E1"/>
    <n v="0.36"/>
    <n v="0.62"/>
    <x v="9"/>
  </r>
  <r>
    <s v="WQMAR03"/>
    <d v="2003-03-11T00:00:00"/>
    <s v="E1"/>
    <n v="-0.24"/>
    <n v="-0.23"/>
    <x v="9"/>
  </r>
  <r>
    <s v="WQAPR03"/>
    <d v="2003-04-02T00:00:00"/>
    <s v="E1"/>
    <n v="4.24"/>
    <n v="2.3199999999999998"/>
    <x v="9"/>
  </r>
  <r>
    <s v="WQMAY03"/>
    <d v="2003-05-07T00:00:00"/>
    <s v="E1"/>
    <n v="9.74"/>
    <n v="5.83"/>
    <x v="9"/>
  </r>
  <r>
    <s v="WQJUN03"/>
    <d v="2003-06-05T00:00:00"/>
    <s v="E1"/>
    <n v="13.42"/>
    <n v="9.41"/>
    <x v="9"/>
  </r>
  <r>
    <s v="HYJUN03"/>
    <d v="2003-06-19T00:00:00"/>
    <s v="E1"/>
    <n v="16.34"/>
    <n v="11.2"/>
    <x v="9"/>
  </r>
  <r>
    <s v="WQJUL03"/>
    <d v="2003-07-09T00:00:00"/>
    <s v="E1"/>
    <n v="19.57"/>
    <n v="13"/>
    <x v="9"/>
  </r>
  <r>
    <s v="HYJUL03"/>
    <d v="2003-07-25T00:00:00"/>
    <s v="E1"/>
    <n v="19.93"/>
    <n v="15.75"/>
    <x v="9"/>
  </r>
  <r>
    <s v="WQAUG03"/>
    <d v="2003-08-08T00:00:00"/>
    <s v="E1"/>
    <n v="21.61"/>
    <n v="18.52"/>
    <x v="9"/>
  </r>
  <r>
    <s v="HYAUG03"/>
    <d v="2003-08-21T00:00:00"/>
    <s v="E1"/>
    <n v="24.16"/>
    <n v="19.13"/>
    <x v="9"/>
  </r>
  <r>
    <s v="WQSEP03"/>
    <d v="2003-09-05T00:00:00"/>
    <s v="E1"/>
    <n v="20.84"/>
    <n v="20.28"/>
    <x v="9"/>
  </r>
  <r>
    <s v="WQOCT03"/>
    <d v="2003-10-07T00:00:00"/>
    <s v="E1"/>
    <n v="18.96"/>
    <n v="19.07"/>
    <x v="9"/>
  </r>
  <r>
    <s v="WQNOV03"/>
    <d v="2003-11-06T00:00:00"/>
    <s v="E1"/>
    <n v="15.11"/>
    <n v="15.18"/>
    <x v="9"/>
  </r>
  <r>
    <s v="WQDEC03"/>
    <d v="2003-12-10T00:00:00"/>
    <s v="E1"/>
    <n v="7.67"/>
    <n v="7.8"/>
    <x v="9"/>
  </r>
  <r>
    <s v="WQFEB04"/>
    <d v="2004-02-02T00:00:00"/>
    <s v="E1"/>
    <n v="-0.53"/>
    <n v="-0.52"/>
    <x v="10"/>
  </r>
  <r>
    <s v="WQMAR04"/>
    <d v="2004-03-02T00:00:00"/>
    <s v="E1"/>
    <n v="0.78"/>
    <n v="0.46"/>
    <x v="10"/>
  </r>
  <r>
    <s v="WQAPR04"/>
    <d v="2004-04-12T00:00:00"/>
    <s v="E1"/>
    <n v="5.47"/>
    <n v="3.57"/>
    <x v="10"/>
  </r>
  <r>
    <s v="WQMAY04"/>
    <d v="2004-05-07T00:00:00"/>
    <s v="E1"/>
    <n v="9.1199999999999992"/>
    <n v="6.35"/>
    <x v="10"/>
  </r>
  <r>
    <s v="WQJUN04"/>
    <d v="2004-06-03T00:00:00"/>
    <s v="E1"/>
    <n v="15.96"/>
    <n v="10.119999999999999"/>
    <x v="10"/>
  </r>
  <r>
    <s v="HYJUN04"/>
    <d v="2004-06-28T00:00:00"/>
    <s v="E1"/>
    <n v="17.66"/>
    <n v="14.27"/>
    <x v="10"/>
  </r>
  <r>
    <s v="WQJUL04"/>
    <d v="2004-07-07T00:00:00"/>
    <s v="E1"/>
    <n v="20.03"/>
    <n v="15.64"/>
    <x v="10"/>
  </r>
  <r>
    <s v="HYJUL04"/>
    <d v="2004-07-21T00:00:00"/>
    <s v="E1"/>
    <n v="21.78"/>
    <n v="16.920000000000002"/>
    <x v="10"/>
  </r>
  <r>
    <s v="WQAUG04"/>
    <d v="2004-08-06T00:00:00"/>
    <s v="E1"/>
    <n v="21.23"/>
    <n v="18.66"/>
    <x v="10"/>
  </r>
  <r>
    <s v="HYAUG04"/>
    <d v="2004-08-20T00:00:00"/>
    <s v="E1"/>
    <n v="22.2"/>
    <n v="19.73"/>
    <x v="10"/>
  </r>
  <r>
    <s v="WQSEP04"/>
    <d v="2004-09-01T00:00:00"/>
    <s v="E1"/>
    <n v="22.85"/>
    <n v="20.89"/>
    <x v="10"/>
  </r>
  <r>
    <s v="WQOCT04"/>
    <d v="2004-10-08T00:00:00"/>
    <s v="E1"/>
    <n v="19.87"/>
    <n v="20.25"/>
    <x v="10"/>
  </r>
  <r>
    <s v="WQDEC04"/>
    <d v="2004-12-15T00:00:00"/>
    <s v="E1"/>
    <n v="8.6300000000000008"/>
    <n v="8.65"/>
    <x v="10"/>
  </r>
  <r>
    <s v="WQJAN05"/>
    <d v="2005-01-11T00:00:00"/>
    <s v="E1"/>
    <n v="4.53"/>
    <n v="4.9400000000000004"/>
    <x v="11"/>
  </r>
  <r>
    <s v="WQFEB05"/>
    <d v="2005-02-01T00:00:00"/>
    <s v="E1"/>
    <n v="0.67"/>
    <n v="1.47"/>
    <x v="11"/>
  </r>
  <r>
    <s v="WQMAR05"/>
    <d v="2005-03-11T00:00:00"/>
    <s v="E1"/>
    <n v="0.86"/>
    <n v="1.06"/>
    <x v="11"/>
  </r>
  <r>
    <s v="WQAPR05"/>
    <d v="2005-04-08T00:00:00"/>
    <s v="E1"/>
    <n v="5.5"/>
    <n v="2.86"/>
    <x v="11"/>
  </r>
  <r>
    <s v="WQMAY05"/>
    <d v="2005-05-06T00:00:00"/>
    <s v="E1"/>
    <n v="10.23"/>
    <n v="6.09"/>
    <x v="11"/>
  </r>
  <r>
    <s v="WQJUN05"/>
    <d v="2005-06-08T00:00:00"/>
    <s v="E1"/>
    <n v="16.399999999999999"/>
    <n v="10.89"/>
    <x v="11"/>
  </r>
  <r>
    <s v="WQJUL05"/>
    <d v="2005-07-12T00:00:00"/>
    <s v="E1"/>
    <n v="21.2"/>
    <n v="15.57"/>
    <x v="11"/>
  </r>
  <r>
    <s v="HYJUL05"/>
    <d v="2005-07-19T00:00:00"/>
    <s v="E1"/>
    <n v="23.66"/>
    <n v="15.7"/>
    <x v="11"/>
  </r>
  <r>
    <s v="WQAUG05"/>
    <d v="2005-08-04T00:00:00"/>
    <s v="E1"/>
    <n v="24.75"/>
    <n v="18.23"/>
    <x v="11"/>
  </r>
  <r>
    <s v="HYAUG05"/>
    <d v="2005-08-19T00:00:00"/>
    <s v="E1"/>
    <n v="23.1"/>
    <n v="20"/>
    <x v="11"/>
  </r>
  <r>
    <s v="WQSEP05"/>
    <d v="2005-09-02T00:00:00"/>
    <s v="E1"/>
    <n v="23.01"/>
    <n v="21.14"/>
    <x v="11"/>
  </r>
  <r>
    <s v="WQOCT05"/>
    <d v="2005-10-11T00:00:00"/>
    <s v="E1"/>
    <n v="20.92"/>
    <n v="21.15"/>
    <x v="11"/>
  </r>
  <r>
    <s v="WQNOV05"/>
    <d v="2005-11-15T00:00:00"/>
    <s v="E1"/>
    <n v="13.27"/>
    <n v="13.72"/>
    <x v="11"/>
  </r>
  <r>
    <s v="WQDEC05"/>
    <d v="2005-12-08T00:00:00"/>
    <s v="E1"/>
    <n v="8.3699999999999992"/>
    <n v="8.6199999999999992"/>
    <x v="11"/>
  </r>
  <r>
    <s v="WQMAR06"/>
    <d v="2006-03-07T00:00:00"/>
    <s v="E1"/>
    <n v="2.5"/>
    <n v="2.25"/>
    <x v="12"/>
  </r>
  <r>
    <s v="WQAPR06"/>
    <d v="2006-04-12T00:00:00"/>
    <s v="E1"/>
    <n v="6.78"/>
    <n v="4.8099999999999996"/>
    <x v="12"/>
  </r>
  <r>
    <s v="WQMAY06"/>
    <d v="2006-05-04T00:00:00"/>
    <s v="E1"/>
    <n v="10.54"/>
    <n v="7.77"/>
    <x v="12"/>
  </r>
  <r>
    <s v="WQJUN06"/>
    <d v="2006-06-09T00:00:00"/>
    <s v="E1"/>
    <n v="16.11"/>
    <n v="11.39"/>
    <x v="12"/>
  </r>
  <r>
    <s v="HYJUN06"/>
    <d v="2006-06-23T00:00:00"/>
    <s v="E1"/>
    <n v="18.25"/>
    <n v="13.82"/>
    <x v="12"/>
  </r>
  <r>
    <s v="WQJUL06"/>
    <d v="2006-07-07T00:00:00"/>
    <s v="E1"/>
    <n v="20.11"/>
    <n v="15.57"/>
    <x v="12"/>
  </r>
  <r>
    <s v="HYJUL06"/>
    <d v="2006-07-18T00:00:00"/>
    <s v="E1"/>
    <n v="22.42"/>
    <n v="16.97"/>
    <x v="12"/>
  </r>
  <r>
    <s v="WQAUG06"/>
    <d v="2006-08-03T00:00:00"/>
    <s v="E1"/>
    <n v="24.65"/>
    <n v="18.18"/>
    <x v="12"/>
  </r>
  <r>
    <s v="HYAUG06"/>
    <d v="2006-08-18T00:00:00"/>
    <s v="E1"/>
    <n v="22.95"/>
    <n v="21.01"/>
    <x v="12"/>
  </r>
  <r>
    <s v="WQSEP06"/>
    <d v="2006-08-30T00:00:00"/>
    <s v="E1"/>
    <n v="21.67"/>
    <n v="21.73"/>
    <x v="12"/>
  </r>
  <r>
    <s v="WQOCT06"/>
    <d v="2006-10-17T00:00:00"/>
    <s v="E1"/>
    <n v="17.71"/>
    <n v="17.989999999999998"/>
    <x v="12"/>
  </r>
  <r>
    <s v="WQNOV06"/>
    <d v="2006-11-07T00:00:00"/>
    <s v="E1"/>
    <n v="13.59"/>
    <n v="13.78"/>
    <x v="12"/>
  </r>
  <r>
    <s v="WQDEC06"/>
    <d v="2006-12-11T00:00:00"/>
    <s v="E1"/>
    <n v="9.15"/>
    <n v="9.6999999999999993"/>
    <x v="12"/>
  </r>
  <r>
    <s v="WQJAN07"/>
    <d v="2007-01-18T00:00:00"/>
    <s v="E1"/>
    <n v="6.29"/>
    <n v="6.75"/>
    <x v="13"/>
  </r>
  <r>
    <s v="WQFEB07"/>
    <d v="2007-02-13T00:00:00"/>
    <s v="E1"/>
    <n v="1.45"/>
    <n v="1.84"/>
    <x v="13"/>
  </r>
  <r>
    <s v="WQMAR07"/>
    <d v="2007-03-07T00:00:00"/>
    <s v="E1"/>
    <m/>
    <m/>
    <x v="13"/>
  </r>
  <r>
    <s v="WQAPR07"/>
    <d v="2007-04-04T00:00:00"/>
    <s v="E1"/>
    <n v="4.67"/>
    <n v="2.31"/>
    <x v="13"/>
  </r>
  <r>
    <s v="WQMAY07"/>
    <d v="2007-05-09T00:00:00"/>
    <s v="E1"/>
    <n v="11.53"/>
    <n v="5.87"/>
    <x v="13"/>
  </r>
  <r>
    <s v="WQJUN07"/>
    <d v="2007-06-07T00:00:00"/>
    <s v="E1"/>
    <n v="14.87"/>
    <n v="10.1"/>
    <x v="13"/>
  </r>
  <r>
    <s v="HYJUN07"/>
    <d v="2007-06-21T00:00:00"/>
    <s v="E1"/>
    <n v="18.079999999999998"/>
    <n v="12.64"/>
    <x v="13"/>
  </r>
  <r>
    <s v="WQJUL07"/>
    <d v="2007-07-11T00:00:00"/>
    <s v="E1"/>
    <n v="19.98"/>
    <n v="16.25"/>
    <x v="13"/>
  </r>
  <r>
    <s v="HYJUL07"/>
    <d v="2007-07-20T00:00:00"/>
    <s v="E1"/>
    <n v="21.42"/>
    <n v="17.559999999999999"/>
    <x v="13"/>
  </r>
  <r>
    <s v="WQAUG07"/>
    <d v="2007-07-31T00:00:00"/>
    <s v="E1"/>
    <n v="23.24"/>
    <n v="18.190000000000001"/>
    <x v="13"/>
  </r>
  <r>
    <s v="HYAUG07"/>
    <d v="2007-08-15T00:00:00"/>
    <s v="E1"/>
    <n v="22.22"/>
    <n v="19.71"/>
    <x v="13"/>
  </r>
  <r>
    <s v="WQSEP07"/>
    <d v="2007-08-30T00:00:00"/>
    <s v="E1"/>
    <n v="22.1"/>
    <n v="20.73"/>
    <x v="13"/>
  </r>
  <r>
    <s v="WQOCT07"/>
    <d v="2007-10-04T00:00:00"/>
    <s v="E1"/>
    <n v="21.28"/>
    <n v="21.09"/>
    <x v="13"/>
  </r>
  <r>
    <s v="WQNOV07"/>
    <d v="2007-11-09T00:00:00"/>
    <s v="E1"/>
    <n v="15.21"/>
    <n v="15.65"/>
    <x v="13"/>
  </r>
  <r>
    <s v="WQDEC07"/>
    <d v="2007-12-10T00:00:00"/>
    <s v="E1"/>
    <n v="8.1199999999999992"/>
    <n v="8.7100000000000009"/>
    <x v="13"/>
  </r>
  <r>
    <s v="WQJAN08"/>
    <d v="2008-01-08T00:00:00"/>
    <s v="E1"/>
    <n v="5"/>
    <n v="5.07"/>
    <x v="14"/>
  </r>
  <r>
    <s v="WQFEB08"/>
    <d v="2008-02-07T00:00:00"/>
    <s v="E1"/>
    <n v="3.21"/>
    <n v="3.19"/>
    <x v="14"/>
  </r>
  <r>
    <s v="WQMAR08"/>
    <d v="2008-03-06T00:00:00"/>
    <s v="E1"/>
    <n v="3.08"/>
    <n v="2.65"/>
    <x v="14"/>
  </r>
  <r>
    <s v="WQAPR08"/>
    <d v="2008-04-09T00:00:00"/>
    <s v="E1"/>
    <n v="5.59"/>
    <n v="5.46"/>
    <x v="14"/>
  </r>
  <r>
    <s v="WQMAY08"/>
    <d v="2008-05-06T00:00:00"/>
    <s v="E1"/>
    <n v="10.67"/>
    <n v="9.23"/>
    <x v="14"/>
  </r>
  <r>
    <s v="WQJUN08"/>
    <d v="2008-06-05T00:00:00"/>
    <s v="E1"/>
    <n v="15.57"/>
    <n v="11.37"/>
    <x v="14"/>
  </r>
  <r>
    <s v="HYJUN08"/>
    <d v="2008-06-17T00:00:00"/>
    <s v="E1"/>
    <n v="19.27"/>
    <n v="12.22"/>
    <x v="14"/>
  </r>
  <r>
    <s v="WQJUL08"/>
    <d v="2008-07-02T00:00:00"/>
    <s v="E1"/>
    <n v="20.399999999999999"/>
    <n v="14.4"/>
    <x v="14"/>
  </r>
  <r>
    <s v="WQAUG08"/>
    <d v="2008-08-05T00:00:00"/>
    <s v="E1"/>
    <n v="23.44"/>
    <n v="18.95"/>
    <x v="14"/>
  </r>
  <r>
    <s v="HYAUG08"/>
    <d v="2008-08-20T00:00:00"/>
    <s v="E1"/>
    <n v="22.39"/>
    <n v="20.32"/>
    <x v="14"/>
  </r>
  <r>
    <s v="WQSEP08"/>
    <d v="2008-09-03T00:00:00"/>
    <s v="E1"/>
    <n v="22.76"/>
    <n v="21.29"/>
    <x v="14"/>
  </r>
  <r>
    <s v="HYSEP08"/>
    <d v="2008-09-16T00:00:00"/>
    <s v="E1"/>
    <n v="22.19"/>
    <n v="21.08"/>
    <x v="14"/>
  </r>
  <r>
    <s v="WQOCT08"/>
    <d v="2008-10-08T00:00:00"/>
    <s v="E1"/>
    <n v="19.16"/>
    <n v="19.29"/>
    <x v="14"/>
  </r>
  <r>
    <s v="WQNOV08"/>
    <d v="2008-11-12T00:00:00"/>
    <s v="E1"/>
    <n v="13.98"/>
    <n v="13.97"/>
    <x v="14"/>
  </r>
  <r>
    <s v="WQDEC08"/>
    <d v="2008-12-18T00:00:00"/>
    <s v="E1"/>
    <n v="7.16"/>
    <n v="7.38"/>
    <x v="14"/>
  </r>
  <r>
    <s v="WQJAN09"/>
    <d v="2009-01-13T00:00:00"/>
    <s v="E1"/>
    <n v="2.38"/>
    <n v="3.22"/>
    <x v="15"/>
  </r>
  <r>
    <s v="WQFEB09"/>
    <d v="2009-02-06T00:00:00"/>
    <s v="E1"/>
    <n v="0.68"/>
    <n v="0.94"/>
    <x v="15"/>
  </r>
  <r>
    <s v="WQMAR09"/>
    <d v="2009-03-05T00:00:00"/>
    <s v="E1"/>
    <n v="1.3"/>
    <n v="1.48"/>
    <x v="15"/>
  </r>
  <r>
    <s v="WQAPR09"/>
    <d v="2009-04-02T00:00:00"/>
    <s v="E1"/>
    <n v="4.21"/>
    <n v="3.25"/>
    <x v="15"/>
  </r>
  <r>
    <s v="WQMAY09"/>
    <d v="2009-04-30T00:00:00"/>
    <s v="E1"/>
    <n v="9.7100000000000009"/>
    <n v="6.81"/>
    <x v="15"/>
  </r>
  <r>
    <s v="WQJUN09"/>
    <d v="2009-06-08T00:00:00"/>
    <s v="E1"/>
    <n v="16.11"/>
    <n v="11.39"/>
    <x v="15"/>
  </r>
  <r>
    <s v="HYJUN09"/>
    <d v="2009-06-23T00:00:00"/>
    <s v="E1"/>
    <n v="17.32"/>
    <n v="12.83"/>
    <x v="15"/>
  </r>
  <r>
    <s v="WQJUL09"/>
    <d v="2009-07-09T00:00:00"/>
    <s v="E1"/>
    <n v="20"/>
    <n v="14.98"/>
    <x v="15"/>
  </r>
  <r>
    <s v="HYJUL09"/>
    <d v="2009-07-21T00:00:00"/>
    <s v="E1"/>
    <n v="21.26"/>
    <n v="15.47"/>
    <x v="15"/>
  </r>
  <r>
    <s v="WQAUG09"/>
    <d v="2009-08-04T00:00:00"/>
    <s v="E1"/>
    <n v="22.76"/>
    <n v="18.16"/>
    <x v="15"/>
  </r>
  <r>
    <s v="HYAUG09"/>
    <d v="2009-08-18T00:00:00"/>
    <s v="E1"/>
    <n v="23.89"/>
    <n v="19.05"/>
    <x v="15"/>
  </r>
  <r>
    <s v="WQSEP09"/>
    <d v="2009-09-02T00:00:00"/>
    <s v="E1"/>
    <n v="22.2"/>
    <n v="20.420000000000002"/>
    <x v="15"/>
  </r>
  <r>
    <s v="WQOCT09"/>
    <d v="2009-10-08T00:00:00"/>
    <s v="E1"/>
    <n v="18.79"/>
    <n v="19.11"/>
    <x v="15"/>
  </r>
  <r>
    <s v="WQNOV09"/>
    <d v="2009-11-05T00:00:00"/>
    <s v="E1"/>
    <n v="13.89"/>
    <n v="14.5"/>
    <x v="15"/>
  </r>
  <r>
    <s v="WQDEC09"/>
    <d v="2009-12-07T00:00:00"/>
    <s v="E1"/>
    <n v="10.55"/>
    <n v="10.67"/>
    <x v="15"/>
  </r>
  <r>
    <s v="WQJAN10"/>
    <d v="2010-01-08T00:00:00"/>
    <s v="E1"/>
    <n v="2.72"/>
    <n v="3.35"/>
    <x v="16"/>
  </r>
  <r>
    <s v="WQFEB10"/>
    <d v="2010-02-09T00:00:00"/>
    <s v="E1"/>
    <n v="1.04"/>
    <n v="1.46"/>
    <x v="16"/>
  </r>
  <r>
    <s v="WQMAR10"/>
    <d v="2010-03-05T00:00:00"/>
    <s v="E1"/>
    <n v="2.13"/>
    <n v="1.79"/>
    <x v="16"/>
  </r>
  <r>
    <s v="WQAPR10"/>
    <d v="2010-04-01T00:00:00"/>
    <s v="E1"/>
    <n v="6.07"/>
    <n v="4.49"/>
    <x v="16"/>
  </r>
  <r>
    <s v="WQMAY10"/>
    <d v="2010-05-05T00:00:00"/>
    <s v="E1"/>
    <n v="11.19"/>
    <n v="8.2200000000000006"/>
    <x v="16"/>
  </r>
  <r>
    <s v="WQJUN10"/>
    <d v="2010-05-27T00:00:00"/>
    <s v="E1"/>
    <n v="16.13"/>
    <n v="10.74"/>
    <x v="16"/>
  </r>
  <r>
    <s v="HYJUN10"/>
    <d v="2010-06-18T00:00:00"/>
    <s v="E1"/>
    <n v="17.350000000000001"/>
    <n v="13.42"/>
    <x v="16"/>
  </r>
  <r>
    <s v="WQJUL10"/>
    <d v="2010-07-09T00:00:00"/>
    <s v="E1"/>
    <n v="21.66"/>
    <n v="15.71"/>
    <x v="16"/>
  </r>
  <r>
    <s v="HYJUL10"/>
    <d v="2010-07-23T00:00:00"/>
    <s v="E1"/>
    <n v="22.61"/>
    <n v="19.07"/>
    <x v="16"/>
  </r>
  <r>
    <s v="WQAUG10"/>
    <d v="2010-08-04T00:00:00"/>
    <s v="E1"/>
    <n v="22.9"/>
    <n v="19.86"/>
    <x v="16"/>
  </r>
  <r>
    <s v="HYAUG10"/>
    <d v="2010-08-17T00:00:00"/>
    <s v="E1"/>
    <n v="23.57"/>
    <n v="21.7"/>
    <x v="16"/>
  </r>
  <r>
    <s v="WQSEP10"/>
    <d v="2010-09-01T00:00:00"/>
    <s v="E1"/>
    <n v="24.02"/>
    <n v="22.05"/>
    <x v="16"/>
  </r>
  <r>
    <s v="WQOCT10"/>
    <d v="2010-10-12T00:00:00"/>
    <s v="E1"/>
    <n v="19.03"/>
    <n v="19.059999999999999"/>
    <x v="16"/>
  </r>
  <r>
    <s v="WQNOV10"/>
    <d v="2010-11-05T00:00:00"/>
    <s v="E1"/>
    <n v="14.81"/>
    <n v="15"/>
    <x v="16"/>
  </r>
  <r>
    <s v="WQDEC10"/>
    <d v="2010-12-03T00:00:00"/>
    <s v="E1"/>
    <n v="9.6300000000000008"/>
    <n v="10.4"/>
    <x v="16"/>
  </r>
  <r>
    <s v="WQJAN11"/>
    <d v="2011-01-04T00:00:00"/>
    <s v="E1"/>
    <n v="3.55"/>
    <n v="3.7"/>
    <x v="17"/>
  </r>
  <r>
    <s v="WQFEB11"/>
    <d v="2011-02-07T00:00:00"/>
    <s v="E1"/>
    <n v="1.1299999999999999"/>
    <n v="0.88"/>
    <x v="17"/>
  </r>
  <r>
    <s v="WQMAR11"/>
    <d v="2011-03-15T00:00:00"/>
    <s v="E1"/>
    <n v="3.29"/>
    <n v="2.2400000000000002"/>
    <x v="17"/>
  </r>
  <r>
    <s v="WQAPR11"/>
    <d v="2011-04-08T00:00:00"/>
    <s v="E1"/>
    <n v="4.75"/>
    <n v="3.92"/>
    <x v="17"/>
  </r>
  <r>
    <s v="WQMAY11"/>
    <d v="2011-05-03T00:00:00"/>
    <s v="E1"/>
    <n v="11.13"/>
    <n v="6.79"/>
    <x v="17"/>
  </r>
  <r>
    <s v="WQJUN11"/>
    <d v="2011-06-06T00:00:00"/>
    <s v="E1"/>
    <n v="16.329999999999998"/>
    <n v="11.08"/>
    <x v="17"/>
  </r>
  <r>
    <s v="HYJUN11"/>
    <d v="2011-06-16T00:00:00"/>
    <s v="E1"/>
    <n v="17.899999999999999"/>
    <n v="12.54"/>
    <x v="17"/>
  </r>
  <r>
    <s v="WQJUL11"/>
    <d v="2011-07-07T00:00:00"/>
    <s v="E1"/>
    <n v="20.88"/>
    <n v="15.35"/>
    <x v="17"/>
  </r>
  <r>
    <s v="HYJUL11"/>
    <d v="2011-07-19T00:00:00"/>
    <s v="E1"/>
    <n v="21.3"/>
    <n v="17.260000000000002"/>
    <x v="17"/>
  </r>
  <r>
    <s v="WQAUG11"/>
    <d v="2011-08-02T00:00:00"/>
    <s v="E1"/>
    <n v="23.1"/>
    <n v="20.32"/>
    <x v="17"/>
  </r>
  <r>
    <s v="HYAUG11"/>
    <d v="2011-08-16T00:00:00"/>
    <s v="E1"/>
    <n v="22.52"/>
    <n v="20.74"/>
    <x v="17"/>
  </r>
  <r>
    <s v="WQSEP11"/>
    <d v="2011-09-01T00:00:00"/>
    <s v="E1"/>
    <n v="23.68"/>
    <n v="21.87"/>
    <x v="17"/>
  </r>
  <r>
    <s v="WQOCT11"/>
    <d v="2011-10-07T00:00:00"/>
    <s v="E1"/>
    <n v="19.84"/>
    <n v="20.85"/>
    <x v="17"/>
  </r>
  <r>
    <s v="WQNOV11"/>
    <d v="2011-11-09T00:00:00"/>
    <s v="E1"/>
    <n v="14.01"/>
    <n v="14.55"/>
    <x v="17"/>
  </r>
  <r>
    <s v="WQDEC11"/>
    <d v="2011-12-01T00:00:00"/>
    <s v="E1"/>
    <n v="11.79"/>
    <n v="12.06"/>
    <x v="17"/>
  </r>
  <r>
    <s v="WQJAN12"/>
    <d v="2012-01-11T00:00:00"/>
    <s v="E1"/>
    <n v="6.35"/>
    <n v="6.97"/>
    <x v="18"/>
  </r>
  <r>
    <s v="WQFEB12"/>
    <d v="2012-02-07T00:00:00"/>
    <s v="E1"/>
    <n v="4.47"/>
    <n v="5.16"/>
    <x v="18"/>
  </r>
  <r>
    <s v="WQMAR12"/>
    <d v="2012-03-06T00:00:00"/>
    <s v="E1"/>
    <n v="4.51"/>
    <n v="4.93"/>
    <x v="18"/>
  </r>
  <r>
    <s v="WQAPR12"/>
    <d v="2012-04-04T00:00:00"/>
    <s v="E1"/>
    <n v="8.09"/>
    <n v="6.82"/>
    <x v="18"/>
  </r>
  <r>
    <s v="WQMAY12"/>
    <d v="2012-05-02T00:00:00"/>
    <s v="E1"/>
    <n v="10.93"/>
    <n v="9.8800000000000008"/>
    <x v="18"/>
  </r>
  <r>
    <s v="WQJUN12"/>
    <d v="2012-05-31T00:00:00"/>
    <s v="E1"/>
    <n v="19.22"/>
    <n v="12.25"/>
    <x v="18"/>
  </r>
  <r>
    <s v="WQJUL12"/>
    <d v="2012-06-28T00:00:00"/>
    <s v="E1"/>
    <n v="20.329999999999998"/>
    <n v="15.65"/>
    <x v="18"/>
  </r>
  <r>
    <s v="HYJUL12"/>
    <d v="2012-07-17T00:00:00"/>
    <s v="E1"/>
    <n v="23.22"/>
    <n v="18.920000000000002"/>
    <x v="18"/>
  </r>
  <r>
    <s v="WQAUG12"/>
    <d v="2012-08-01T00:00:00"/>
    <s v="E1"/>
    <n v="22.98"/>
    <n v="20.69"/>
    <x v="18"/>
  </r>
  <r>
    <s v="HYAUG12"/>
    <d v="2012-08-15T00:00:00"/>
    <s v="E1"/>
    <n v="24.69"/>
    <n v="21.81"/>
    <x v="18"/>
  </r>
  <r>
    <s v="WQSEP12"/>
    <d v="2012-08-30T00:00:00"/>
    <s v="E1"/>
    <n v="23.98"/>
    <n v="22.67"/>
    <x v="18"/>
  </r>
  <r>
    <s v="HYSEP12"/>
    <d v="2012-09-17T00:00:00"/>
    <s v="E1"/>
    <n v="22.85"/>
    <n v="22.94"/>
    <x v="18"/>
  </r>
  <r>
    <s v="WQOCT12"/>
    <d v="2012-10-02T00:00:00"/>
    <s v="E1"/>
    <n v="21.18"/>
    <n v="21.12"/>
    <x v="18"/>
  </r>
  <r>
    <s v="WQNOV12"/>
    <d v="2012-11-15T00:00:00"/>
    <s v="E1"/>
    <n v="12.62"/>
    <n v="12.63"/>
    <x v="18"/>
  </r>
  <r>
    <s v="WQDEC12"/>
    <d v="2012-12-05T00:00:00"/>
    <s v="E1"/>
    <n v="9.4499999999999993"/>
    <n v="9.9700000000000006"/>
    <x v="18"/>
  </r>
  <r>
    <s v="WQJAN13"/>
    <d v="2013-01-10T00:00:00"/>
    <s v="E1"/>
    <n v="5.23"/>
    <n v="5.29"/>
    <x v="19"/>
  </r>
  <r>
    <s v="WQFEB13"/>
    <d v="2013-02-05T00:00:00"/>
    <s v="E1"/>
    <n v="2.59"/>
    <n v="2.77"/>
    <x v="19"/>
  </r>
  <r>
    <s v="WQMAR13"/>
    <d v="2013-03-12T00:00:00"/>
    <s v="E1"/>
    <n v="2.86"/>
    <n v="2.44"/>
    <x v="19"/>
  </r>
  <r>
    <s v="WQAPR13"/>
    <d v="2013-04-05T00:00:00"/>
    <s v="E1"/>
    <n v="4.34"/>
    <n v="3.98"/>
    <x v="19"/>
  </r>
  <r>
    <s v="WQMAY13"/>
    <d v="2013-04-30T00:00:00"/>
    <s v="E1"/>
    <n v="9.75"/>
    <n v="7.54"/>
    <x v="19"/>
  </r>
  <r>
    <s v="WQJUN13"/>
    <d v="2013-06-04T00:00:00"/>
    <s v="E1"/>
    <n v="15.64"/>
    <n v="11.77"/>
    <x v="19"/>
  </r>
  <r>
    <s v="HYJUN13"/>
    <d v="2013-06-21T00:00:00"/>
    <s v="E1"/>
    <n v="19.45"/>
    <n v="13.88"/>
    <x v="19"/>
  </r>
  <r>
    <s v="WQJUL13"/>
    <d v="2013-07-03T00:00:00"/>
    <s v="E1"/>
    <n v="21.66"/>
    <n v="15.45"/>
    <x v="19"/>
  </r>
  <r>
    <s v="HYJUL13"/>
    <d v="2013-07-16T00:00:00"/>
    <s v="E1"/>
    <n v="23.46"/>
    <n v="17.010000000000002"/>
    <x v="19"/>
  </r>
  <r>
    <s v="WQAUG13"/>
    <d v="2013-07-30T00:00:00"/>
    <s v="E1"/>
    <n v="22.31"/>
    <n v="19.170000000000002"/>
    <x v="19"/>
  </r>
  <r>
    <s v="HYAUG13"/>
    <d v="2013-08-13T00:00:00"/>
    <s v="E1"/>
    <n v="22.35"/>
    <n v="20.190000000000001"/>
    <x v="19"/>
  </r>
  <r>
    <s v="WQSEP13"/>
    <d v="2013-08-29T00:00:00"/>
    <s v="E1"/>
    <n v="22.95"/>
    <n v="21.61"/>
    <x v="19"/>
  </r>
  <r>
    <s v="HYSEP13"/>
    <d v="2013-09-09T00:00:00"/>
    <s v="E1"/>
    <n v="22.2"/>
    <n v="21.61"/>
    <x v="19"/>
  </r>
  <r>
    <s v="WQOCT13"/>
    <d v="2013-10-02T00:00:00"/>
    <s v="E1"/>
    <n v="20.58"/>
    <n v="20.16"/>
    <x v="19"/>
  </r>
  <r>
    <s v="WQNOV13"/>
    <d v="2013-11-06T00:00:00"/>
    <s v="E1"/>
    <n v="15.05"/>
    <n v="15.48"/>
    <x v="19"/>
  </r>
  <r>
    <s v="WQDEC13"/>
    <d v="2013-12-09T00:00:00"/>
    <s v="E1"/>
    <n v="8.56"/>
    <n v="8.51"/>
    <x v="19"/>
  </r>
  <r>
    <s v="WQJAN14"/>
    <d v="2014-01-10T00:00:00"/>
    <s v="E1"/>
    <n v="2.35"/>
    <n v="3.18"/>
    <x v="20"/>
  </r>
  <r>
    <s v="WQFEB14"/>
    <d v="2014-02-04T00:00:00"/>
    <s v="E1"/>
    <n v="0.78"/>
    <n v="0.87"/>
    <x v="20"/>
  </r>
  <r>
    <s v="WQMAR14"/>
    <d v="2014-03-04T00:00:00"/>
    <s v="E1"/>
    <n v="0.3"/>
    <n v="0.22"/>
    <x v="20"/>
  </r>
  <r>
    <s v="WQAPR14"/>
    <d v="2014-04-03T00:00:00"/>
    <s v="E1"/>
    <n v="3.12"/>
    <n v="1.76"/>
    <x v="20"/>
  </r>
  <r>
    <s v="WQMAY14"/>
    <d v="2014-05-07T00:00:00"/>
    <s v="E1"/>
    <n v="11.38"/>
    <n v="7.06"/>
    <x v="20"/>
  </r>
  <r>
    <s v="WQJUN14"/>
    <d v="2014-06-04T00:00:00"/>
    <s v="E1"/>
    <n v="16.32"/>
    <n v="10.26"/>
    <x v="20"/>
  </r>
  <r>
    <s v="WQJUL14"/>
    <d v="2014-07-01T00:00:00"/>
    <s v="E1"/>
    <n v="21.03"/>
    <n v="14.15"/>
    <x v="20"/>
  </r>
  <r>
    <s v="HYJUL14"/>
    <d v="2014-07-15T00:00:00"/>
    <s v="E1"/>
    <n v="19.649999999999999"/>
    <n v="16.57"/>
    <x v="20"/>
  </r>
  <r>
    <s v="WQAUG14"/>
    <d v="2014-08-05T00:00:00"/>
    <s v="E1"/>
    <n v="22.68"/>
    <n v="19.41"/>
    <x v="20"/>
  </r>
  <r>
    <s v="HYAUG14"/>
    <d v="2014-08-18T00:00:00"/>
    <s v="E1"/>
    <n v="22.01"/>
    <n v="21.06"/>
    <x v="20"/>
  </r>
  <r>
    <s v="WQSEP14"/>
    <d v="2014-09-03T00:00:00"/>
    <s v="E1"/>
    <n v="22.96"/>
    <n v="21.75"/>
    <x v="20"/>
  </r>
  <r>
    <s v="HYSEP14"/>
    <d v="2014-09-15T00:00:00"/>
    <s v="E1"/>
    <n v="22.03"/>
    <n v="21.77"/>
    <x v="20"/>
  </r>
  <r>
    <s v="WQOCT14"/>
    <d v="2014-10-03T00:00:00"/>
    <s v="E1"/>
    <n v="20.350000000000001"/>
    <n v="20.45"/>
    <x v="20"/>
  </r>
  <r>
    <s v="WQNOV14"/>
    <d v="2014-11-10T00:00:00"/>
    <s v="E1"/>
    <n v="14.33"/>
    <n v="14.23"/>
    <x v="20"/>
  </r>
  <r>
    <s v="WQDEC14"/>
    <d v="2014-12-12T00:00:00"/>
    <s v="E1"/>
    <n v="7.1"/>
    <n v="7.54"/>
    <x v="20"/>
  </r>
  <r>
    <s v="WQJAN15"/>
    <d v="2015-01-15T00:00:00"/>
    <s v="E1"/>
    <n v="2.78"/>
    <n v="3.87"/>
    <x v="21"/>
  </r>
  <r>
    <s v="WQFEB15"/>
    <d v="2015-02-06T00:00:00"/>
    <s v="E1"/>
    <n v="0.74"/>
    <n v="0.87"/>
    <x v="21"/>
  </r>
  <r>
    <s v="WQMAR15"/>
    <d v="2015-03-09T00:00:00"/>
    <s v="E1"/>
    <n v="-0.96"/>
    <n v="-1.1200000000000001"/>
    <x v="21"/>
  </r>
  <r>
    <s v="WQAPR15"/>
    <d v="2015-03-31T00:00:00"/>
    <s v="E1"/>
    <n v="1.27"/>
    <n v="0.65"/>
    <x v="21"/>
  </r>
  <r>
    <s v="WQMAY15"/>
    <d v="2015-05-01T00:00:00"/>
    <s v="E1"/>
    <n v="8.35"/>
    <n v="4.87"/>
    <x v="21"/>
  </r>
  <r>
    <s v="WQJUN15"/>
    <d v="2015-06-01T00:00:00"/>
    <s v="E1"/>
    <n v="12.97"/>
    <n v="9.4499999999999993"/>
    <x v="21"/>
  </r>
  <r>
    <s v="HYJUN15"/>
    <d v="2015-06-19T00:00:00"/>
    <s v="E1"/>
    <n v="18.21"/>
    <n v="12.7"/>
    <x v="21"/>
  </r>
  <r>
    <s v="WQJUL15"/>
    <d v="2015-07-08T00:00:00"/>
    <s v="E1"/>
    <n v="20.55"/>
    <n v="15.44"/>
    <x v="21"/>
  </r>
  <r>
    <s v="HYJUL15"/>
    <d v="2015-07-21T00:00:00"/>
    <s v="E1"/>
    <n v="23.25"/>
    <n v="17.239999999999998"/>
    <x v="21"/>
  </r>
  <r>
    <s v="WQAUG15"/>
    <d v="2015-08-05T00:00:00"/>
    <s v="E1"/>
    <n v="21.74"/>
    <n v="19.78"/>
    <x v="21"/>
  </r>
  <r>
    <s v="HYAUG15"/>
    <d v="2015-08-18T00:00:00"/>
    <s v="E1"/>
    <n v="23.83"/>
    <n v="20.97"/>
    <x v="21"/>
  </r>
  <r>
    <s v="WQSEP15"/>
    <d v="2015-09-01T00:00:00"/>
    <s v="E1"/>
    <n v="24.78"/>
    <n v="22.49"/>
    <x v="21"/>
  </r>
  <r>
    <s v="HYSEP15"/>
    <d v="2015-09-16T00:00:00"/>
    <s v="E1"/>
    <n v="23.31"/>
    <n v="23.1"/>
    <x v="21"/>
  </r>
  <r>
    <s v="WQOCT15"/>
    <d v="2015-10-09T00:00:00"/>
    <s v="E1"/>
    <n v="19.260000000000002"/>
    <n v="19.57"/>
    <x v="21"/>
  </r>
  <r>
    <s v="WQNOV15"/>
    <d v="2015-11-09T00:00:00"/>
    <s v="E1"/>
    <n v="15.63"/>
    <n v="15.88"/>
    <x v="21"/>
  </r>
  <r>
    <s v="WQDEC15"/>
    <d v="2015-12-14T00:00:00"/>
    <s v="E1"/>
    <n v="10.97"/>
    <n v="11.21"/>
    <x v="21"/>
  </r>
  <r>
    <s v="WQJAN16"/>
    <d v="2016-01-12T00:00:00"/>
    <s v="E1"/>
    <n v="7.29"/>
    <n v="7.34"/>
    <x v="22"/>
  </r>
  <r>
    <s v="WQFEB16"/>
    <d v="2016-02-02T00:00:00"/>
    <s v="E1"/>
    <n v="3.94"/>
    <n v="4.41"/>
    <x v="22"/>
  </r>
  <r>
    <s v="WQMAR16"/>
    <d v="2016-03-09T00:00:00"/>
    <s v="E1"/>
    <n v="4.1399999999999997"/>
    <n v="3.37"/>
    <x v="22"/>
  </r>
  <r>
    <s v="WQAPR16"/>
    <d v="2016-04-06T00:00:00"/>
    <s v="E1"/>
    <n v="6.14"/>
    <n v="6"/>
    <x v="22"/>
  </r>
  <r>
    <s v="WQMAY16"/>
    <d v="2016-05-12T00:00:00"/>
    <s v="E1"/>
    <n v="14.17"/>
    <n v="9.39"/>
    <x v="22"/>
  </r>
  <r>
    <s v="WQJUN16"/>
    <d v="2016-06-14T00:00:00"/>
    <s v="E1"/>
    <n v="15.73"/>
    <n v="13.14"/>
    <x v="22"/>
  </r>
  <r>
    <s v="HYJUN16"/>
    <d v="2016-06-20T00:00:00"/>
    <s v="E1"/>
    <n v="18.57"/>
    <n v="14.2"/>
    <x v="22"/>
  </r>
  <r>
    <s v="WQJUL16"/>
    <d v="2016-07-07T00:00:00"/>
    <s v="E1"/>
    <n v="20.3"/>
    <n v="16.43"/>
    <x v="22"/>
  </r>
  <r>
    <s v="HYJUL16"/>
    <d v="2016-07-19T00:00:00"/>
    <s v="E1"/>
    <n v="23.88"/>
    <m/>
    <x v="22"/>
  </r>
  <r>
    <s v="WQAUG16"/>
    <d v="2016-08-04T00:00:00"/>
    <s v="E1"/>
    <n v="22.83"/>
    <n v="20.23"/>
    <x v="22"/>
  </r>
  <r>
    <s v="HYAUG16"/>
    <d v="2016-08-16T00:00:00"/>
    <s v="E1"/>
    <n v="26.19"/>
    <n v="21.33"/>
    <x v="22"/>
  </r>
  <r>
    <s v="WQSEP16"/>
    <d v="2016-08-30T00:00:00"/>
    <s v="E1"/>
    <n v="25.03"/>
    <n v="22.86"/>
    <x v="22"/>
  </r>
  <r>
    <s v="HYSEP16"/>
    <d v="2016-09-13T00:00:00"/>
    <s v="E1"/>
    <n v="23.39"/>
    <n v="23.03"/>
    <x v="22"/>
  </r>
  <r>
    <s v="WQOCT16"/>
    <d v="2016-10-06T00:00:00"/>
    <s v="E1"/>
    <n v="20.21"/>
    <n v="20.16"/>
    <x v="22"/>
  </r>
  <r>
    <s v="WQNOV16"/>
    <d v="2016-11-08T00:00:00"/>
    <s v="E1"/>
    <n v="15.3"/>
    <n v="15.44"/>
    <x v="22"/>
  </r>
  <r>
    <s v="WQDEC16"/>
    <d v="2016-12-06T00:00:00"/>
    <s v="E1"/>
    <n v="10.29"/>
    <n v="10.29"/>
    <x v="22"/>
  </r>
  <r>
    <s v="WQJAN17"/>
    <d v="2017-01-06T00:00:00"/>
    <s v="E1"/>
    <n v="5.57"/>
    <n v="5.66"/>
    <x v="23"/>
  </r>
  <r>
    <s v="WQFEB17"/>
    <d v="2017-02-14T00:00:00"/>
    <s v="E1"/>
    <n v="2.85"/>
    <n v="3.04"/>
    <x v="23"/>
  </r>
  <r>
    <s v="WQMAR17"/>
    <d v="2017-03-08T00:00:00"/>
    <s v="E1"/>
    <n v="3.67"/>
    <n v="3.25"/>
    <x v="23"/>
  </r>
  <r>
    <s v="WQAPR17"/>
    <d v="2017-04-05T00:00:00"/>
    <s v="E1"/>
    <n v="4.92"/>
    <n v="3.47"/>
    <x v="23"/>
  </r>
  <r>
    <s v="WQMAY17"/>
    <d v="2017-05-04T00:00:00"/>
    <s v="E1"/>
    <n v="10.6"/>
    <n v="7.4"/>
    <x v="23"/>
  </r>
  <r>
    <s v="WQJUN17"/>
    <d v="2017-06-07T00:00:00"/>
    <s v="E1"/>
    <n v="14.92"/>
    <n v="11.86"/>
    <x v="23"/>
  </r>
  <r>
    <s v="HYJUN17"/>
    <d v="2017-06-20T00:00:00"/>
    <s v="E1"/>
    <n v="18.760000000000002"/>
    <n v="12.73"/>
    <x v="23"/>
  </r>
  <r>
    <s v="WQJUL17"/>
    <d v="2017-07-07T00:00:00"/>
    <s v="E1"/>
    <n v="21.24"/>
    <n v="16.04"/>
    <x v="23"/>
  </r>
  <r>
    <s v="HYJUL17"/>
    <d v="2017-07-19T00:00:00"/>
    <s v="E1"/>
    <n v="23.6"/>
    <n v="17.440000000000001"/>
    <x v="23"/>
  </r>
  <r>
    <s v="WQAUG17"/>
    <d v="2017-08-02T00:00:00"/>
    <s v="E1"/>
    <n v="23.54"/>
    <n v="19.59"/>
    <x v="23"/>
  </r>
  <r>
    <s v="HYAUG17"/>
    <d v="2017-08-16T00:00:00"/>
    <s v="E1"/>
    <n v="22.95"/>
    <n v="20.91"/>
    <x v="23"/>
  </r>
  <r>
    <s v="WQSEP17"/>
    <d v="2017-08-31T00:00:00"/>
    <s v="E1"/>
    <n v="22.07"/>
    <n v="21.93"/>
    <x v="23"/>
  </r>
  <r>
    <s v="WQOCT17"/>
    <d v="2017-10-10T00:00:00"/>
    <s v="E1"/>
    <n v="21.59"/>
    <n v="20.74"/>
    <x v="23"/>
  </r>
  <r>
    <s v="WQNOV17"/>
    <d v="2017-11-14T00:00:00"/>
    <s v="E1"/>
    <n v="14.88"/>
    <n v="14.76"/>
    <x v="23"/>
  </r>
  <r>
    <s v="WQDEC17"/>
    <d v="2017-11-30T00:00:00"/>
    <s v="E1"/>
    <n v="11.46"/>
    <n v="11.51"/>
    <x v="23"/>
  </r>
  <r>
    <s v="WQJAN18"/>
    <d v="2018-01-11T00:00:00"/>
    <s v="E1"/>
    <n v="2.11"/>
    <n v="2.02"/>
    <x v="24"/>
  </r>
  <r>
    <s v="WQFEB18"/>
    <d v="2018-02-06T00:00:00"/>
    <s v="E1"/>
    <n v="1.29"/>
    <n v="1.49"/>
    <x v="24"/>
  </r>
  <r>
    <s v="WQMAR18"/>
    <d v="2018-03-19T00:00:00"/>
    <s v="E1"/>
    <n v="3.22"/>
    <n v="2.93"/>
    <x v="24"/>
  </r>
  <r>
    <s v="WQAPR18"/>
    <d v="2018-04-10T00:00:00"/>
    <s v="E1"/>
    <n v="4.4000000000000004"/>
    <n v="3.95"/>
    <x v="24"/>
  </r>
  <r>
    <s v="WQMAY18"/>
    <d v="2018-05-02T00:00:00"/>
    <s v="E1"/>
    <n v="9.7799999999999994"/>
    <n v="6.04"/>
    <x v="24"/>
  </r>
  <r>
    <s v="WQJUN18"/>
    <d v="2018-06-01T00:00:00"/>
    <s v="E1"/>
    <n v="14.93"/>
    <n v="9.57"/>
    <x v="24"/>
  </r>
  <r>
    <s v="HYJUN18"/>
    <d v="2018-06-12T00:00:00"/>
    <s v="E1"/>
    <n v="17.170000000000002"/>
    <n v="10.67"/>
    <x v="24"/>
  </r>
  <r>
    <s v="WQJUL18"/>
    <d v="2018-07-03T00:00:00"/>
    <s v="E1"/>
    <n v="22.77"/>
    <n v="14.55"/>
    <x v="24"/>
  </r>
  <r>
    <s v="HYJUL18"/>
    <d v="2018-07-17T00:00:00"/>
    <s v="E1"/>
    <n v="21"/>
    <n v="16.96"/>
    <x v="24"/>
  </r>
  <r>
    <s v="WQAUG18"/>
    <d v="2018-07-31T00:00:00"/>
    <s v="E1"/>
    <n v="23.23"/>
    <n v="18.73"/>
    <x v="24"/>
  </r>
  <r>
    <s v="HYAUG18"/>
    <d v="2018-08-14T00:00:00"/>
    <s v="E1"/>
    <n v="23.7"/>
    <n v="20.78"/>
    <x v="24"/>
  </r>
  <r>
    <s v="WQSEP18"/>
    <d v="2018-08-28T00:00:00"/>
    <s v="E1"/>
    <n v="24.48"/>
    <n v="22.08"/>
    <x v="24"/>
  </r>
  <r>
    <s v="HYSEP18"/>
    <d v="2018-09-12T00:00:00"/>
    <s v="E1"/>
    <n v="23.01"/>
    <n v="22.44"/>
    <x v="24"/>
  </r>
  <r>
    <s v="WQOCT18"/>
    <d v="2018-10-03T00:00:00"/>
    <s v="E1"/>
    <n v="21.91"/>
    <n v="21.77"/>
    <x v="24"/>
  </r>
  <r>
    <s v="WQNOV18"/>
    <d v="2018-11-07T00:00:00"/>
    <s v="E1"/>
    <n v="14.16"/>
    <n v="14.88"/>
    <x v="24"/>
  </r>
  <r>
    <s v="WQDEC18"/>
    <d v="2018-12-04T00:00:00"/>
    <s v="E1"/>
    <n v="8.56"/>
    <n v="9.2200000000000006"/>
    <x v="24"/>
  </r>
  <r>
    <s v="WQJAN19"/>
    <d v="2019-01-07T00:00:00"/>
    <s v="E1"/>
    <n v="5.12"/>
    <n v="6.01"/>
    <x v="25"/>
  </r>
  <r>
    <s v="WQFEB19"/>
    <d v="2019-02-06T00:00:00"/>
    <s v="E1"/>
    <n v="1.8"/>
    <n v="2.09"/>
    <x v="25"/>
  </r>
  <r>
    <s v="WQMAR19"/>
    <d v="2019-03-07T00:00:00"/>
    <s v="E1"/>
    <n v="1.59"/>
    <n v="1.86"/>
    <x v="25"/>
  </r>
  <r>
    <s v="WQAPR19"/>
    <d v="2019-04-03T00:00:00"/>
    <s v="E1"/>
    <n v="4.62"/>
    <n v="3.63"/>
    <x v="25"/>
  </r>
  <r>
    <s v="WQMAY19"/>
    <d v="2019-05-08T00:00:00"/>
    <s v="E1"/>
    <n v="11.64"/>
    <n v="8.52"/>
    <x v="25"/>
  </r>
  <r>
    <s v="WQJUN19"/>
    <d v="2019-05-31T00:00:00"/>
    <s v="E1"/>
    <n v="15.28"/>
    <n v="10.44"/>
    <x v="25"/>
  </r>
  <r>
    <s v="HYJUN19"/>
    <d v="2019-06-12T00:00:00"/>
    <s v="E1"/>
    <n v="16.63"/>
    <n v="12.27"/>
    <x v="25"/>
  </r>
  <r>
    <s v="WQJUL19"/>
    <d v="2019-07-02T00:00:00"/>
    <s v="E1"/>
    <n v="20.52"/>
    <n v="15.75"/>
    <x v="25"/>
  </r>
  <r>
    <s v="HYJUL19"/>
    <d v="2019-07-16T00:00:00"/>
    <s v="E1"/>
    <n v="21.79"/>
    <n v="16.63"/>
    <x v="25"/>
  </r>
  <r>
    <s v="WQAUG19"/>
    <d v="2019-08-01T00:00:00"/>
    <s v="E1"/>
    <n v="23.62"/>
    <n v="19.05"/>
    <x v="25"/>
  </r>
  <r>
    <s v="HYAUG19"/>
    <d v="2019-08-13T00:00:00"/>
    <s v="E1"/>
    <n v="22.59"/>
    <n v="20.53"/>
    <x v="25"/>
  </r>
  <r>
    <s v="WQSEP19"/>
    <d v="2019-08-29T00:00:00"/>
    <s v="E1"/>
    <n v="22.48"/>
    <n v="21.41"/>
    <x v="25"/>
  </r>
  <r>
    <s v="HYSEP19"/>
    <d v="2019-09-10T00:00:00"/>
    <s v="E1"/>
    <n v="22.01"/>
    <n v="21.89"/>
    <x v="25"/>
  </r>
  <r>
    <s v="WQOCT19"/>
    <d v="2019-10-02T00:00:00"/>
    <s v="E1"/>
    <n v="21.35"/>
    <n v="21.09"/>
    <x v="25"/>
  </r>
  <r>
    <s v="WQNOV19"/>
    <d v="2019-11-06T00:00:00"/>
    <s v="E1"/>
    <n v="15.25"/>
    <n v="15.97"/>
    <x v="25"/>
  </r>
  <r>
    <s v="WQDEC19"/>
    <d v="2019-12-16T00:00:00"/>
    <s v="E1"/>
    <n v="7.17"/>
    <n v="7.32"/>
    <x v="25"/>
  </r>
  <r>
    <s v="WQJAN20"/>
    <d v="2020-01-09T00:00:00"/>
    <s v="E1"/>
    <n v="4.76"/>
    <n v="5"/>
    <x v="26"/>
  </r>
  <r>
    <s v="WQFEB20"/>
    <d v="2020-02-11T00:00:00"/>
    <s v="E1"/>
    <n v="4.0199999999999996"/>
    <n v="4.09"/>
    <x v="26"/>
  </r>
  <r>
    <s v="WQMAR20"/>
    <d v="2020-03-11T00:00:00"/>
    <s v="E1"/>
    <n v="4.63"/>
    <n v="4.22"/>
    <x v="26"/>
  </r>
  <r>
    <s v="WQJUN20"/>
    <d v="2020-06-17T00:00:00"/>
    <s v="E1"/>
    <n v="18.73"/>
    <n v="12.87"/>
    <x v="26"/>
  </r>
  <r>
    <s v="WQJUL20"/>
    <d v="2020-07-08T00:00:00"/>
    <s v="E1"/>
    <n v="22.26"/>
    <n v="15.67"/>
    <x v="26"/>
  </r>
  <r>
    <s v="HYJUL20"/>
    <d v="2020-07-21T00:00:00"/>
    <s v="E1"/>
    <n v="24.47"/>
    <n v="17.22"/>
    <x v="26"/>
  </r>
  <r>
    <s v="WQAUG20"/>
    <d v="2020-08-11T00:00:00"/>
    <s v="E1"/>
    <n v="24.62"/>
    <n v="21.11"/>
    <x v="26"/>
  </r>
  <r>
    <s v="HYAUG20"/>
    <d v="2020-08-26T00:00:00"/>
    <s v="E1"/>
    <n v="23.86"/>
    <n v="22.61"/>
    <x v="26"/>
  </r>
  <r>
    <s v="WQSEP20"/>
    <d v="2020-09-08T00:00:00"/>
    <s v="E1"/>
    <n v="23.53"/>
    <n v="23.03"/>
    <x v="26"/>
  </r>
  <r>
    <s v="WQOCT20"/>
    <d v="2020-10-15T00:00:00"/>
    <s v="E1"/>
    <n v="18.600000000000001"/>
    <n v="18.75"/>
    <x v="26"/>
  </r>
  <r>
    <s v="WQNOV20"/>
    <d v="2020-11-04T00:00:00"/>
    <s v="E1"/>
    <n v="14.64"/>
    <n v="15.38"/>
    <x v="26"/>
  </r>
  <r>
    <s v="WQMAR21"/>
    <d v="2021-03-09T00:00:00"/>
    <s v="E1"/>
    <n v="2.12"/>
    <n v="2.29"/>
    <x v="27"/>
  </r>
  <r>
    <s v="WQAPR21"/>
    <d v="2021-04-08T00:00:00"/>
    <s v="E1"/>
    <n v="6.83"/>
    <n v="4.5199999999999996"/>
    <x v="27"/>
  </r>
  <r>
    <s v="WQMAY21"/>
    <d v="2021-05-04T00:00:00"/>
    <s v="E1"/>
    <n v="9.7799999999999994"/>
    <n v="8.48"/>
    <x v="27"/>
  </r>
  <r>
    <s v="WQJUN21"/>
    <d v="2021-06-09T00:00:00"/>
    <s v="E1"/>
    <n v="17.27"/>
    <n v="12.35"/>
    <x v="27"/>
  </r>
  <r>
    <s v="HYJUN21"/>
    <d v="2021-06-21T00:00:00"/>
    <s v="E1"/>
    <n v="19.670000000000002"/>
    <n v="13.49"/>
    <x v="27"/>
  </r>
  <r>
    <s v="WQJUL21"/>
    <d v="2021-07-12T00:00:00"/>
    <s v="E1"/>
    <n v="22"/>
    <n v="16.170000000000002"/>
    <x v="27"/>
  </r>
  <r>
    <s v="HYJUL21"/>
    <d v="2021-07-20T00:00:00"/>
    <s v="E1"/>
    <n v="22.98"/>
    <n v="17.940000000000001"/>
    <x v="27"/>
  </r>
  <r>
    <s v="WQAUG21"/>
    <d v="2021-08-04T00:00:00"/>
    <s v="E1"/>
    <n v="22.47"/>
    <n v="19.149999999999999"/>
    <x v="27"/>
  </r>
  <r>
    <s v="HYAUG21"/>
    <d v="2021-08-17T00:00:00"/>
    <s v="E1"/>
    <n v="23.51"/>
    <n v="20.14"/>
    <x v="27"/>
  </r>
  <r>
    <s v="WQSEP21"/>
    <d v="2021-08-31T00:00:00"/>
    <s v="E1"/>
    <n v="24.33"/>
    <n v="21.87"/>
    <x v="27"/>
  </r>
  <r>
    <s v="HYSEP21"/>
    <d v="2021-09-14T00:00:00"/>
    <s v="E1"/>
    <n v="22.76"/>
    <n v="22.41"/>
    <x v="27"/>
  </r>
  <r>
    <s v="WQOCT21"/>
    <d v="2021-10-05T00:00:00"/>
    <s v="E1"/>
    <n v="21.31"/>
    <n v="21.25"/>
    <x v="27"/>
  </r>
  <r>
    <s v="WQNOV21"/>
    <d v="2021-11-09T00:00:00"/>
    <s v="E1"/>
    <n v="16.149999999999999"/>
    <n v="16.32"/>
    <x v="27"/>
  </r>
  <r>
    <s v="WQDEC21"/>
    <d v="2021-12-08T00:00:00"/>
    <s v="E1"/>
    <n v="10.23"/>
    <n v="10.4"/>
    <x v="27"/>
  </r>
  <r>
    <s v="WQFEB22"/>
    <d v="2022-02-02T00:00:00"/>
    <s v="E1"/>
    <n v="2.72"/>
    <n v="2.74"/>
    <x v="28"/>
  </r>
  <r>
    <s v="CHFEB22"/>
    <d v="2022-02-15T00:00:00"/>
    <s v="E1"/>
    <n v="2.39"/>
    <n v="2.71"/>
    <x v="28"/>
  </r>
  <r>
    <s v="WQMAR22"/>
    <d v="2022-03-07T00:00:00"/>
    <s v="E1"/>
    <n v="3.28"/>
    <n v="2.99"/>
    <x v="28"/>
  </r>
  <r>
    <s v="WQAPR22"/>
    <d v="2022-04-05T00:00:00"/>
    <s v="E1"/>
    <n v="5.9"/>
    <n v="4.72"/>
    <x v="28"/>
  </r>
  <r>
    <s v="WQMAY22"/>
    <d v="2022-05-06T00:00:00"/>
    <s v="E1"/>
    <n v="10.36"/>
    <n v="8.35"/>
    <x v="28"/>
  </r>
  <r>
    <s v="WQJUN22"/>
    <d v="2022-06-06T00:00:00"/>
    <s v="E1"/>
    <n v="17.22"/>
    <n v="11.28"/>
    <x v="28"/>
  </r>
  <r>
    <s v="HYJUN22"/>
    <d v="2022-06-14T00:00:00"/>
    <s v="E1"/>
    <n v="19.45"/>
    <n v="13.23"/>
    <x v="28"/>
  </r>
  <r>
    <s v="WQJUL22"/>
    <d v="2022-07-07T00:00:00"/>
    <s v="E1"/>
    <n v="21.26"/>
    <n v="16.38"/>
    <x v="28"/>
  </r>
  <r>
    <s v="HYJUL22"/>
    <d v="2022-07-19T00:00:00"/>
    <s v="E1"/>
    <n v="22.99"/>
    <n v="18.329999999999998"/>
    <x v="28"/>
  </r>
  <r>
    <s v="WQAUG22"/>
    <d v="2022-08-03T00:00:00"/>
    <s v="E1"/>
    <n v="23.74"/>
    <n v="19.13"/>
    <x v="28"/>
  </r>
  <r>
    <s v="HYAUG22"/>
    <d v="2022-08-18T00:00:00"/>
    <s v="E1"/>
    <n v="22.67"/>
    <n v="21.61"/>
    <x v="28"/>
  </r>
  <r>
    <s v="WQSEP22"/>
    <d v="2022-09-02T00:00:00"/>
    <s v="E1"/>
    <n v="23.66"/>
    <n v="22.48"/>
    <x v="28"/>
  </r>
  <r>
    <s v="HYSEP22"/>
    <d v="2022-09-13T00:00:00"/>
    <s v="E1"/>
    <n v="23.53"/>
    <n v="23.04"/>
    <x v="28"/>
  </r>
  <r>
    <s v="WQOCT22"/>
    <d v="2022-10-07T00:00:00"/>
    <s v="E1"/>
    <n v="18.809999999999999"/>
    <n v="18.54"/>
    <x v="28"/>
  </r>
  <r>
    <s v="WQNOV22"/>
    <d v="2022-11-10T00:00:00"/>
    <s v="E1"/>
    <n v="16.11"/>
    <n v="16.16"/>
    <x v="28"/>
  </r>
  <r>
    <s v="WQDEC22"/>
    <d v="2022-12-06T00:00:00"/>
    <s v="E1"/>
    <n v="10.71"/>
    <n v="10.7"/>
    <x v="28"/>
  </r>
  <r>
    <s v="WQJAN23"/>
    <d v="2023-01-06T00:00:00"/>
    <s v="E1"/>
    <n v="6.13"/>
    <n v="6.05"/>
    <x v="29"/>
  </r>
  <r>
    <s v="WQFEB23"/>
    <d v="2023-02-08T00:00:00"/>
    <s v="E1"/>
    <n v="4.25"/>
    <n v="4.38"/>
    <x v="29"/>
  </r>
  <r>
    <s v="WQAPR23"/>
    <d v="2023-04-18T00:00:00"/>
    <s v="E1"/>
    <n v="8.92"/>
    <n v="6.68"/>
    <x v="29"/>
  </r>
  <r>
    <s v="WQMAY23"/>
    <d v="2023-05-05T00:00:00"/>
    <s v="E1"/>
    <n v="10.94"/>
    <n v="9.7200000000000006"/>
    <x v="29"/>
  </r>
  <r>
    <s v="WQJUN23"/>
    <d v="2023-06-02T00:00:00"/>
    <s v="E1"/>
    <n v="17.239999999999998"/>
    <n v="11.37"/>
    <x v="29"/>
  </r>
  <r>
    <s v="WQJUL23"/>
    <d v="2023-07-07T00:00:00"/>
    <s v="E1"/>
    <n v="23.07"/>
    <n v="16.23"/>
    <x v="29"/>
  </r>
  <r>
    <s v="HYJUL23"/>
    <d v="2023-07-18T00:00:00"/>
    <s v="E1"/>
    <n v="25.36"/>
    <n v="17.600000000000001"/>
    <x v="29"/>
  </r>
  <r>
    <s v="WQAUG23"/>
    <d v="2023-08-03T00:00:00"/>
    <s v="E1"/>
    <n v="23.33"/>
    <n v="19.510000000000002"/>
    <x v="29"/>
  </r>
  <r>
    <s v="HYAUG23"/>
    <d v="2023-08-16T00:00:00"/>
    <s v="E1"/>
    <n v="22.85"/>
    <n v="20.95"/>
    <x v="29"/>
  </r>
  <r>
    <s v="WQSEP23"/>
    <d v="2023-09-06T00:00:00"/>
    <s v="E1"/>
    <n v="24.23"/>
    <n v="21.82"/>
    <x v="29"/>
  </r>
  <r>
    <s v="WQOCT23"/>
    <d v="2023-10-06T00:00:00"/>
    <s v="E1"/>
    <n v="20.010000000000002"/>
    <n v="19.63"/>
    <x v="29"/>
  </r>
  <r>
    <s v="WQNOV23"/>
    <d v="2023-11-09T00:00:00"/>
    <s v="E1"/>
    <n v="15.04"/>
    <n v="15.09"/>
    <x v="29"/>
  </r>
  <r>
    <s v="WQDEC23"/>
    <d v="2023-12-07T00:00:00"/>
    <s v="E1"/>
    <n v="9.85"/>
    <n v="10.71"/>
    <x v="29"/>
  </r>
  <r>
    <s v="WQJAN24"/>
    <d v="2024-01-04T00:00:00"/>
    <s v="E1"/>
    <n v="6.81"/>
    <n v="8.09"/>
    <x v="30"/>
  </r>
  <r>
    <s v="WQFEB24"/>
    <d v="2024-02-07T00:00:00"/>
    <s v="E1"/>
    <n v="3.73"/>
    <n v="4.46"/>
    <x v="30"/>
  </r>
  <r>
    <s v="CHFEB24"/>
    <d v="2024-02-22T00:00:00"/>
    <s v="E1"/>
    <n v="3.61"/>
    <n v="3.8"/>
    <x v="30"/>
  </r>
  <r>
    <s v="WQMAR24"/>
    <d v="2024-03-06T00:00:00"/>
    <s v="E1"/>
    <n v="4.58"/>
    <n v="4.18"/>
    <x v="30"/>
  </r>
  <r>
    <s v="CHMAR24"/>
    <d v="2024-03-18T00:00:00"/>
    <s v="E1"/>
    <n v="6.71"/>
    <n v="5.04"/>
    <x v="30"/>
  </r>
  <r>
    <s v="WQAPR24"/>
    <d v="2024-04-08T00:00:00"/>
    <s v="E1"/>
    <n v="6.63"/>
    <n v="6.11"/>
    <x v="30"/>
  </r>
  <r>
    <s v="WQMAY24"/>
    <d v="2024-05-06T00:00:00"/>
    <s v="E1"/>
    <n v="11.47"/>
    <n v="8.08"/>
    <x v="30"/>
  </r>
  <r>
    <s v="WQJUN24"/>
    <d v="2024-06-03T00:00:00"/>
    <s v="E1"/>
    <n v="18.010000000000002"/>
    <n v="11.89"/>
    <x v="30"/>
  </r>
  <r>
    <s v="HYJUN24"/>
    <d v="2024-06-17T00:00:00"/>
    <s v="E1"/>
    <n v="18.600000000000001"/>
    <n v="13.76"/>
    <x v="30"/>
  </r>
  <r>
    <s v="WQJUL24"/>
    <d v="2024-07-03T00:00:00"/>
    <s v="E1"/>
    <n v="20.62"/>
    <n v="16.079999999999998"/>
    <x v="30"/>
  </r>
  <r>
    <s v="HYJUL24"/>
    <d v="2024-07-16T00:00:00"/>
    <s v="E1"/>
    <n v="23.58"/>
    <n v="18.100000000000001"/>
    <x v="30"/>
  </r>
  <r>
    <s v="WQAUG24"/>
    <d v="2024-08-01T00:00:00"/>
    <s v="E1"/>
    <n v="23.74"/>
    <n v="19.34"/>
    <x v="30"/>
  </r>
  <r>
    <s v="HYAUG24"/>
    <d v="2024-08-13T00:00:00"/>
    <s v="E1"/>
    <n v="22.74"/>
    <n v="20.09"/>
    <x v="30"/>
  </r>
  <r>
    <s v="WQSEP24"/>
    <d v="2024-08-28T00:00:00"/>
    <s v="E1"/>
    <n v="23.25"/>
    <n v="21.55"/>
    <x v="30"/>
  </r>
  <r>
    <s v="WQOCT24"/>
    <d v="2024-10-04T00:00:00"/>
    <s v="E1"/>
    <n v="20.52"/>
    <n v="20.61"/>
    <x v="30"/>
  </r>
  <r>
    <m/>
    <m/>
    <m/>
    <m/>
    <m/>
    <x v="3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6">
  <r>
    <s v="HYJUN94"/>
    <d v="1994-06-21T00:00:00"/>
    <s v="15"/>
    <n v="18.25"/>
    <m/>
    <x v="0"/>
  </r>
  <r>
    <s v="WQJUL94"/>
    <d v="1994-07-06T00:00:00"/>
    <s v="15"/>
    <n v="18.940000000000001"/>
    <m/>
    <x v="0"/>
  </r>
  <r>
    <s v="HYJUL94"/>
    <d v="1994-07-20T00:00:00"/>
    <s v="15"/>
    <n v="21.94"/>
    <m/>
    <x v="0"/>
  </r>
  <r>
    <s v="WQAUG94"/>
    <d v="1994-08-03T00:00:00"/>
    <s v="15"/>
    <n v="23.78"/>
    <m/>
    <x v="0"/>
  </r>
  <r>
    <s v="HYAUG94"/>
    <d v="1994-08-16T00:00:00"/>
    <s v="15"/>
    <n v="22.2"/>
    <m/>
    <x v="0"/>
  </r>
  <r>
    <s v="WQSEP94"/>
    <d v="1994-08-31T00:00:00"/>
    <s v="15"/>
    <n v="22.46"/>
    <m/>
    <x v="0"/>
  </r>
  <r>
    <s v="WQDEC94"/>
    <d v="1994-12-05T00:00:00"/>
    <s v="15"/>
    <n v="9.4499999999999993"/>
    <n v="9.43"/>
    <x v="0"/>
  </r>
  <r>
    <s v="WQJAN95"/>
    <d v="1995-01-04T00:00:00"/>
    <s v="15"/>
    <n v="5.24"/>
    <n v="5.23"/>
    <x v="1"/>
  </r>
  <r>
    <s v="WQFEB95"/>
    <d v="1995-02-08T00:00:00"/>
    <s v="15"/>
    <n v="1.2"/>
    <n v="1.2"/>
    <x v="1"/>
  </r>
  <r>
    <s v="WQMAR95"/>
    <d v="1995-03-08T00:00:00"/>
    <s v="15"/>
    <n v="2.2000000000000002"/>
    <n v="1.83"/>
    <x v="1"/>
  </r>
  <r>
    <s v="WQAPR95"/>
    <d v="1995-04-06T00:00:00"/>
    <s v="15"/>
    <n v="4.87"/>
    <n v="4.82"/>
    <x v="1"/>
  </r>
  <r>
    <s v="WQMAY95"/>
    <d v="1995-05-10T00:00:00"/>
    <s v="15"/>
    <n v="11.04"/>
    <n v="10.32"/>
    <x v="1"/>
  </r>
  <r>
    <s v="WQJUN95"/>
    <d v="1995-06-06T00:00:00"/>
    <s v="15"/>
    <n v="15.95"/>
    <n v="12.46"/>
    <x v="1"/>
  </r>
  <r>
    <s v="HYJUN95"/>
    <d v="1995-06-27T00:00:00"/>
    <s v="15"/>
    <n v="16.420000000000002"/>
    <m/>
    <x v="1"/>
  </r>
  <r>
    <s v="WQJUL95"/>
    <d v="1995-07-07T00:00:00"/>
    <s v="15"/>
    <n v="20.260000000000002"/>
    <n v="17.93"/>
    <x v="1"/>
  </r>
  <r>
    <s v="HYJUL95"/>
    <d v="1995-07-19T00:00:00"/>
    <s v="15"/>
    <n v="21.69"/>
    <n v="18.66"/>
    <x v="1"/>
  </r>
  <r>
    <s v="WQAUG95"/>
    <d v="1995-08-02T00:00:00"/>
    <s v="15"/>
    <n v="23.38"/>
    <n v="22.05"/>
    <x v="1"/>
  </r>
  <r>
    <s v="HYAUG95"/>
    <d v="1995-08-15T00:00:00"/>
    <s v="15"/>
    <n v="23.05"/>
    <n v="21.89"/>
    <x v="1"/>
  </r>
  <r>
    <s v="WQSEP95"/>
    <d v="1995-09-11T00:00:00"/>
    <s v="15"/>
    <n v="22.06"/>
    <n v="21.45"/>
    <x v="1"/>
  </r>
  <r>
    <s v="WQOCT95"/>
    <d v="1995-10-04T00:00:00"/>
    <s v="15"/>
    <n v="19.41"/>
    <n v="19.68"/>
    <x v="1"/>
  </r>
  <r>
    <s v="WQNOV95"/>
    <d v="1995-11-01T00:00:00"/>
    <s v="15"/>
    <n v="16.11"/>
    <n v="16.13"/>
    <x v="1"/>
  </r>
  <r>
    <s v="WQDEC95"/>
    <d v="1995-12-06T00:00:00"/>
    <s v="15"/>
    <n v="8.09"/>
    <n v="8.1"/>
    <x v="1"/>
  </r>
  <r>
    <s v="WQFEB96"/>
    <d v="1996-02-09T00:00:00"/>
    <s v="15"/>
    <n v="-0.13"/>
    <n v="-0.15"/>
    <x v="2"/>
  </r>
  <r>
    <s v="WQMAR96"/>
    <d v="1996-03-06T00:00:00"/>
    <s v="15"/>
    <n v="0.91"/>
    <n v="0.9"/>
    <x v="2"/>
  </r>
  <r>
    <s v="WQAPR96"/>
    <d v="1996-04-03T00:00:00"/>
    <s v="15"/>
    <n v="3.78"/>
    <n v="3.6"/>
    <x v="2"/>
  </r>
  <r>
    <s v="WQMAY96"/>
    <d v="1996-05-13T00:00:00"/>
    <s v="15"/>
    <n v="10.14"/>
    <n v="9.9600000000000009"/>
    <x v="2"/>
  </r>
  <r>
    <s v="WQJUN96"/>
    <d v="1996-06-03T00:00:00"/>
    <s v="15"/>
    <n v="14.15"/>
    <n v="12.41"/>
    <x v="2"/>
  </r>
  <r>
    <s v="HYJUN96"/>
    <d v="1996-06-27T00:00:00"/>
    <s v="15"/>
    <n v="19.18"/>
    <n v="16.600000000000001"/>
    <x v="2"/>
  </r>
  <r>
    <s v="WQJUL96"/>
    <d v="1996-07-09T00:00:00"/>
    <s v="15"/>
    <n v="17.88"/>
    <n v="16.2"/>
    <x v="2"/>
  </r>
  <r>
    <s v="HYJUL96"/>
    <d v="1996-07-25T00:00:00"/>
    <s v="15"/>
    <n v="20.350000000000001"/>
    <n v="17.829999999999998"/>
    <x v="2"/>
  </r>
  <r>
    <s v="WQAUG96"/>
    <d v="1996-08-08T00:00:00"/>
    <s v="15"/>
    <n v="22.07"/>
    <n v="19.489999999999998"/>
    <x v="2"/>
  </r>
  <r>
    <s v="HYAUG96"/>
    <d v="1996-08-22T00:00:00"/>
    <s v="15"/>
    <n v="22.29"/>
    <n v="21.08"/>
    <x v="2"/>
  </r>
  <r>
    <s v="WQSEP96"/>
    <d v="1996-09-06T00:00:00"/>
    <s v="15"/>
    <n v="23.55"/>
    <m/>
    <x v="2"/>
  </r>
  <r>
    <s v="WQOCT96"/>
    <d v="1996-10-04T00:00:00"/>
    <s v="15"/>
    <n v="17.489999999999998"/>
    <n v="17.28"/>
    <x v="2"/>
  </r>
  <r>
    <s v="WQNOV96"/>
    <d v="1996-11-05T00:00:00"/>
    <s v="15"/>
    <n v="13.27"/>
    <n v="13.24"/>
    <x v="2"/>
  </r>
  <r>
    <s v="WQDEC96"/>
    <d v="1996-12-10T00:00:00"/>
    <s v="15"/>
    <n v="7.56"/>
    <n v="7.64"/>
    <x v="2"/>
  </r>
  <r>
    <s v="WQFEB97"/>
    <d v="1997-02-04T00:00:00"/>
    <s v="15"/>
    <n v="2.04"/>
    <n v="1.98"/>
    <x v="3"/>
  </r>
  <r>
    <s v="WQMAR97"/>
    <d v="1997-03-04T00:00:00"/>
    <s v="15"/>
    <n v="3.24"/>
    <n v="3.03"/>
    <x v="3"/>
  </r>
  <r>
    <s v="WQAPR97"/>
    <d v="1997-04-02T00:00:00"/>
    <s v="15"/>
    <n v="5.01"/>
    <n v="4.74"/>
    <x v="3"/>
  </r>
  <r>
    <s v="WQMAY97"/>
    <d v="1997-05-08T00:00:00"/>
    <s v="15"/>
    <n v="9.6999999999999993"/>
    <n v="8.98"/>
    <x v="3"/>
  </r>
  <r>
    <s v="WQJUN97"/>
    <d v="1997-06-05T00:00:00"/>
    <s v="15"/>
    <n v="12.94"/>
    <n v="12.34"/>
    <x v="3"/>
  </r>
  <r>
    <s v="HYJUN97"/>
    <d v="1997-06-30T00:00:00"/>
    <s v="15"/>
    <n v="18.329999999999998"/>
    <m/>
    <x v="3"/>
  </r>
  <r>
    <s v="HYJUL97"/>
    <d v="1997-07-23T00:00:00"/>
    <s v="15"/>
    <n v="21.11"/>
    <m/>
    <x v="3"/>
  </r>
  <r>
    <s v="WQAUG97"/>
    <d v="1997-08-04T00:00:00"/>
    <s v="15"/>
    <n v="22.77"/>
    <n v="19.75"/>
    <x v="3"/>
  </r>
  <r>
    <s v="HYAUG97"/>
    <d v="1997-08-22T00:00:00"/>
    <s v="15"/>
    <n v="20.93"/>
    <n v="20.88"/>
    <x v="3"/>
  </r>
  <r>
    <s v="WQSEP97"/>
    <d v="1997-09-05T00:00:00"/>
    <s v="15"/>
    <n v="21.31"/>
    <m/>
    <x v="3"/>
  </r>
  <r>
    <s v="WQOCT97"/>
    <d v="1997-10-07T00:00:00"/>
    <s v="15"/>
    <n v="19.32"/>
    <n v="18.48"/>
    <x v="3"/>
  </r>
  <r>
    <s v="WQNOV97"/>
    <d v="1997-11-04T00:00:00"/>
    <s v="15"/>
    <n v="14.2"/>
    <n v="14.13"/>
    <x v="3"/>
  </r>
  <r>
    <s v="WQDEC97"/>
    <d v="1997-12-09T00:00:00"/>
    <s v="15"/>
    <n v="7.08"/>
    <n v="7.26"/>
    <x v="3"/>
  </r>
  <r>
    <s v="WQJAN98"/>
    <d v="1998-01-08T00:00:00"/>
    <s v="15"/>
    <n v="5.34"/>
    <n v="4.83"/>
    <x v="4"/>
  </r>
  <r>
    <s v="WQFEB98"/>
    <d v="1998-02-02T00:00:00"/>
    <s v="15"/>
    <m/>
    <m/>
    <x v="4"/>
  </r>
  <r>
    <s v="WQMAR98"/>
    <d v="1998-03-03T00:00:00"/>
    <s v="15"/>
    <n v="4.76"/>
    <n v="4.28"/>
    <x v="4"/>
  </r>
  <r>
    <s v="WQAPR98"/>
    <d v="1998-04-15T00:00:00"/>
    <s v="15"/>
    <n v="7.98"/>
    <n v="7.31"/>
    <x v="4"/>
  </r>
  <r>
    <s v="WQMAY98"/>
    <d v="1998-05-08T00:00:00"/>
    <s v="15"/>
    <n v="12.1951"/>
    <n v="10.019500000000001"/>
    <x v="4"/>
  </r>
  <r>
    <s v="WQJUN98"/>
    <d v="1998-06-01T00:00:00"/>
    <s v="15"/>
    <n v="15.68"/>
    <n v="14.22"/>
    <x v="4"/>
  </r>
  <r>
    <s v="HYJUN98"/>
    <d v="1998-06-26T00:00:00"/>
    <s v="15"/>
    <n v="20.57"/>
    <n v="18.53"/>
    <x v="4"/>
  </r>
  <r>
    <s v="WQJUL98"/>
    <d v="1998-07-09T00:00:00"/>
    <s v="15"/>
    <n v="19.79"/>
    <n v="17.600000000000001"/>
    <x v="4"/>
  </r>
  <r>
    <s v="HYJUL98"/>
    <d v="1998-07-23T00:00:00"/>
    <s v="15"/>
    <n v="23.02"/>
    <n v="19.54"/>
    <x v="4"/>
  </r>
  <r>
    <s v="WQAUG98"/>
    <d v="1998-08-04T00:00:00"/>
    <s v="15"/>
    <n v="25.7"/>
    <n v="20.76"/>
    <x v="4"/>
  </r>
  <r>
    <s v="HYAUG98"/>
    <d v="1998-08-18T00:00:00"/>
    <s v="15"/>
    <n v="23.15"/>
    <n v="21.47"/>
    <x v="4"/>
  </r>
  <r>
    <s v="WQSEP98"/>
    <d v="1998-09-03T00:00:00"/>
    <s v="15"/>
    <n v="23.09"/>
    <n v="22.4"/>
    <x v="4"/>
  </r>
  <r>
    <s v="HYSEP98"/>
    <d v="1998-09-16T00:00:00"/>
    <s v="15"/>
    <n v="22.52"/>
    <m/>
    <x v="4"/>
  </r>
  <r>
    <s v="WQOCT98"/>
    <d v="1998-10-07T00:00:00"/>
    <s v="15"/>
    <n v="19.13"/>
    <n v="19.149999999999999"/>
    <x v="4"/>
  </r>
  <r>
    <s v="WQNOV98"/>
    <d v="1998-11-06T00:00:00"/>
    <s v="15"/>
    <n v="13.11"/>
    <n v="12.78"/>
    <x v="4"/>
  </r>
  <r>
    <s v="WQDEC98"/>
    <d v="1998-12-03T00:00:00"/>
    <s v="15"/>
    <n v="10.64"/>
    <n v="10.61"/>
    <x v="4"/>
  </r>
  <r>
    <s v="WQJAN99"/>
    <d v="1999-01-08T00:00:00"/>
    <s v="15"/>
    <n v="3.7"/>
    <n v="4"/>
    <x v="5"/>
  </r>
  <r>
    <s v="WQFEB99"/>
    <d v="1999-02-03T00:00:00"/>
    <s v="15"/>
    <n v="3.2"/>
    <n v="3.15"/>
    <x v="5"/>
  </r>
  <r>
    <s v="WQMAR99"/>
    <d v="1999-03-05T00:00:00"/>
    <s v="15"/>
    <n v="3.37"/>
    <n v="3.12"/>
    <x v="5"/>
  </r>
  <r>
    <s v="WQAPR99"/>
    <d v="1999-04-08T00:00:00"/>
    <s v="15"/>
    <n v="7.27"/>
    <n v="6.56"/>
    <x v="5"/>
  </r>
  <r>
    <s v="WQMAY99"/>
    <d v="1999-05-07T00:00:00"/>
    <s v="15"/>
    <n v="10.29"/>
    <n v="9.1999999999999993"/>
    <x v="5"/>
  </r>
  <r>
    <s v="WQJUN99"/>
    <d v="1999-06-01T00:00:00"/>
    <s v="15"/>
    <n v="16.97"/>
    <n v="13.48"/>
    <x v="5"/>
  </r>
  <r>
    <s v="HYJUN99"/>
    <d v="1999-06-25T00:00:00"/>
    <s v="15"/>
    <n v="19.04"/>
    <n v="17.78"/>
    <x v="5"/>
  </r>
  <r>
    <s v="WQJUL99"/>
    <d v="1999-07-08T00:00:00"/>
    <s v="15"/>
    <n v="22.72"/>
    <n v="21.04"/>
    <x v="5"/>
  </r>
  <r>
    <s v="HYJUL99"/>
    <d v="1999-07-22T00:00:00"/>
    <s v="15"/>
    <n v="21.63"/>
    <n v="19.32"/>
    <x v="5"/>
  </r>
  <r>
    <s v="WQAUG99"/>
    <d v="1999-08-05T00:00:00"/>
    <s v="15"/>
    <n v="23.78"/>
    <n v="20.88"/>
    <x v="5"/>
  </r>
  <r>
    <s v="HYAUG99"/>
    <d v="1999-08-19T00:00:00"/>
    <s v="15"/>
    <n v="23.64"/>
    <n v="23.27"/>
    <x v="5"/>
  </r>
  <r>
    <s v="WQSEP99"/>
    <d v="1999-09-02T00:00:00"/>
    <s v="15"/>
    <n v="21.97"/>
    <n v="21.97"/>
    <x v="5"/>
  </r>
  <r>
    <s v="WQOCT99"/>
    <d v="1999-09-29T00:00:00"/>
    <s v="15"/>
    <n v="20.54"/>
    <n v="20.329999999999998"/>
    <x v="5"/>
  </r>
  <r>
    <s v="WQNOV99"/>
    <d v="1999-11-02T00:00:00"/>
    <s v="15"/>
    <n v="15.62"/>
    <n v="15.6"/>
    <x v="5"/>
  </r>
  <r>
    <s v="WQDEC99"/>
    <d v="1999-12-08T00:00:00"/>
    <s v="15"/>
    <n v="9.58"/>
    <n v="9.51"/>
    <x v="5"/>
  </r>
  <r>
    <s v="WQJAN00"/>
    <d v="2000-01-07T00:00:00"/>
    <s v="15"/>
    <n v="5.5"/>
    <n v="5.74"/>
    <x v="6"/>
  </r>
  <r>
    <s v="WQFEB00"/>
    <d v="2000-02-04T00:00:00"/>
    <s v="15"/>
    <n v="0.39"/>
    <n v="0.39"/>
    <x v="6"/>
  </r>
  <r>
    <s v="WQAPR00"/>
    <d v="2000-04-07T00:00:00"/>
    <s v="15"/>
    <n v="6.66"/>
    <n v="6.41"/>
    <x v="6"/>
  </r>
  <r>
    <s v="WQMAY00"/>
    <d v="2000-05-02T00:00:00"/>
    <s v="15"/>
    <n v="9.6"/>
    <n v="9.27"/>
    <x v="6"/>
  </r>
  <r>
    <s v="WQJUN00"/>
    <d v="2000-06-02T00:00:00"/>
    <s v="15"/>
    <n v="15.92"/>
    <n v="13.49"/>
    <x v="6"/>
  </r>
  <r>
    <s v="HYJUN00"/>
    <d v="2000-06-23T00:00:00"/>
    <s v="15"/>
    <n v="19.02"/>
    <n v="17.87"/>
    <x v="6"/>
  </r>
  <r>
    <s v="WQJUL00"/>
    <d v="2000-07-07T00:00:00"/>
    <s v="15"/>
    <n v="20.75"/>
    <n v="17.37"/>
    <x v="6"/>
  </r>
  <r>
    <s v="HYJUL00"/>
    <d v="2000-07-21T00:00:00"/>
    <s v="15"/>
    <n v="21.35"/>
    <n v="19.510000000000002"/>
    <x v="6"/>
  </r>
  <r>
    <s v="WQAUG00"/>
    <d v="2000-08-03T00:00:00"/>
    <s v="15"/>
    <n v="21.26"/>
    <n v="20.77"/>
    <x v="6"/>
  </r>
  <r>
    <s v="HYAUG00"/>
    <d v="2000-08-17T00:00:00"/>
    <s v="15"/>
    <n v="21.92"/>
    <n v="21.56"/>
    <x v="6"/>
  </r>
  <r>
    <s v="WQSEP00"/>
    <d v="2000-09-01T00:00:00"/>
    <s v="15"/>
    <n v="22.37"/>
    <n v="21.19"/>
    <x v="6"/>
  </r>
  <r>
    <s v="WQOCT00"/>
    <d v="2000-10-02T00:00:00"/>
    <s v="15"/>
    <n v="18.88"/>
    <n v="18.899999999999999"/>
    <x v="6"/>
  </r>
  <r>
    <s v="WQNOV00"/>
    <d v="2000-11-13T00:00:00"/>
    <s v="15"/>
    <n v="12.78"/>
    <n v="13.05"/>
    <x v="6"/>
  </r>
  <r>
    <s v="WQDEC00"/>
    <d v="2000-12-05T00:00:00"/>
    <s v="15"/>
    <n v="7.15"/>
    <n v="7.27"/>
    <x v="6"/>
  </r>
  <r>
    <s v="WQJAN01"/>
    <d v="2001-01-12T00:00:00"/>
    <s v="15"/>
    <n v="1.55"/>
    <n v="1.51"/>
    <x v="7"/>
  </r>
  <r>
    <s v="WQFEB01"/>
    <d v="2001-02-08T00:00:00"/>
    <s v="15"/>
    <n v="1.91"/>
    <n v="1.79"/>
    <x v="7"/>
  </r>
  <r>
    <s v="WQMAR01"/>
    <d v="2001-03-02T00:00:00"/>
    <s v="15"/>
    <n v="1.87"/>
    <n v="1.84"/>
    <x v="7"/>
  </r>
  <r>
    <s v="WQAPR01"/>
    <d v="2001-04-05T00:00:00"/>
    <s v="15"/>
    <n v="5.12"/>
    <n v="4.55"/>
    <x v="7"/>
  </r>
  <r>
    <s v="WQMAY01"/>
    <d v="2001-05-02T00:00:00"/>
    <s v="15"/>
    <m/>
    <m/>
    <x v="7"/>
  </r>
  <r>
    <s v="WQJUN01"/>
    <d v="2001-06-05T00:00:00"/>
    <s v="15"/>
    <n v="15"/>
    <n v="14.11"/>
    <x v="7"/>
  </r>
  <r>
    <s v="HYJUN01"/>
    <d v="2001-06-22T00:00:00"/>
    <s v="15"/>
    <n v="18.52"/>
    <n v="14.63"/>
    <x v="7"/>
  </r>
  <r>
    <s v="WQJUL01"/>
    <d v="2001-07-11T00:00:00"/>
    <s v="15"/>
    <n v="20.64"/>
    <n v="19.88"/>
    <x v="7"/>
  </r>
  <r>
    <s v="HYJUL01"/>
    <d v="2001-07-26T00:00:00"/>
    <s v="15"/>
    <n v="22.22"/>
    <n v="19.84"/>
    <x v="7"/>
  </r>
  <r>
    <s v="WQAUG01"/>
    <d v="2001-08-06T00:00:00"/>
    <s v="15"/>
    <n v="22.63"/>
    <n v="20.260000000000002"/>
    <x v="7"/>
  </r>
  <r>
    <s v="HYAUG01"/>
    <d v="2001-08-20T00:00:00"/>
    <s v="15"/>
    <n v="22.82"/>
    <n v="21.52"/>
    <x v="7"/>
  </r>
  <r>
    <s v="WQSEP01"/>
    <d v="2001-09-05T00:00:00"/>
    <s v="15"/>
    <n v="22.7"/>
    <n v="22.64"/>
    <x v="7"/>
  </r>
  <r>
    <s v="WQOCT01"/>
    <d v="2001-10-03T00:00:00"/>
    <s v="15"/>
    <n v="19"/>
    <n v="18.809999999999999"/>
    <x v="7"/>
  </r>
  <r>
    <s v="WQNOV01"/>
    <d v="2001-11-14T00:00:00"/>
    <s v="15"/>
    <n v="12.5"/>
    <n v="12.43"/>
    <x v="7"/>
  </r>
  <r>
    <s v="WQDEC01"/>
    <d v="2001-12-06T00:00:00"/>
    <s v="15"/>
    <n v="12.07"/>
    <n v="12.03"/>
    <x v="7"/>
  </r>
  <r>
    <s v="WQJAN02"/>
    <d v="2002-01-14T00:00:00"/>
    <s v="15"/>
    <n v="5.01"/>
    <n v="5.03"/>
    <x v="8"/>
  </r>
  <r>
    <s v="WQFEB02"/>
    <d v="2002-02-07T00:00:00"/>
    <s v="15"/>
    <n v="4.0999999999999996"/>
    <n v="4.1399999999999997"/>
    <x v="8"/>
  </r>
  <r>
    <s v="WQMAR02"/>
    <d v="2002-03-01T00:00:00"/>
    <s v="15"/>
    <n v="4.46"/>
    <n v="4.3600000000000003"/>
    <x v="8"/>
  </r>
  <r>
    <s v="WQAPR02"/>
    <d v="2002-04-05T00:00:00"/>
    <s v="15"/>
    <n v="6.94"/>
    <n v="6.78"/>
    <x v="8"/>
  </r>
  <r>
    <s v="WQMAY02"/>
    <d v="2002-05-09T00:00:00"/>
    <s v="15"/>
    <n v="11.89"/>
    <n v="10.65"/>
    <x v="8"/>
  </r>
  <r>
    <s v="WQJUN02"/>
    <d v="2002-06-10T00:00:00"/>
    <s v="15"/>
    <n v="16.690000000000001"/>
    <n v="15.79"/>
    <x v="8"/>
  </r>
  <r>
    <s v="WQJUL02"/>
    <d v="2002-07-10T00:00:00"/>
    <s v="15"/>
    <n v="22.5"/>
    <n v="18.600000000000001"/>
    <x v="8"/>
  </r>
  <r>
    <s v="HYJUL02"/>
    <d v="2002-07-25T00:00:00"/>
    <s v="15"/>
    <n v="21.33"/>
    <n v="19.12"/>
    <x v="8"/>
  </r>
  <r>
    <s v="WQAUG02"/>
    <d v="2002-08-08T00:00:00"/>
    <s v="15"/>
    <n v="23.43"/>
    <n v="23.31"/>
    <x v="8"/>
  </r>
  <r>
    <s v="HYAUG02"/>
    <d v="2002-08-23T00:00:00"/>
    <s v="15"/>
    <n v="23.27"/>
    <n v="23.14"/>
    <x v="8"/>
  </r>
  <r>
    <s v="WQSEP02"/>
    <d v="2002-09-13T00:00:00"/>
    <s v="15"/>
    <n v="21.47"/>
    <n v="21.37"/>
    <x v="8"/>
  </r>
  <r>
    <s v="WQOCT02"/>
    <d v="2002-10-10T00:00:00"/>
    <s v="15"/>
    <n v="19.899999999999999"/>
    <n v="19.899999999999999"/>
    <x v="8"/>
  </r>
  <r>
    <s v="WQNOV02"/>
    <d v="2002-11-14T00:00:00"/>
    <s v="15"/>
    <n v="12.37"/>
    <n v="12.4"/>
    <x v="8"/>
  </r>
  <r>
    <s v="WQDEC02"/>
    <d v="2002-12-13T00:00:00"/>
    <s v="15"/>
    <n v="5.19"/>
    <n v="5.42"/>
    <x v="8"/>
  </r>
  <r>
    <s v="WQFEB03"/>
    <d v="2003-02-06T00:00:00"/>
    <s v="15"/>
    <n v="0.41"/>
    <n v="0.31"/>
    <x v="9"/>
  </r>
  <r>
    <s v="WQMAR03"/>
    <d v="2003-03-11T00:00:00"/>
    <s v="15"/>
    <n v="-7.0000000000000007E-2"/>
    <n v="-0.23"/>
    <x v="9"/>
  </r>
  <r>
    <s v="WQAPR03"/>
    <d v="2003-04-02T00:00:00"/>
    <s v="15"/>
    <n v="4.2300000000000004"/>
    <n v="3.94"/>
    <x v="9"/>
  </r>
  <r>
    <s v="WQMAY03"/>
    <d v="2003-05-07T00:00:00"/>
    <s v="15"/>
    <n v="10.17"/>
    <n v="7.6"/>
    <x v="9"/>
  </r>
  <r>
    <s v="WQJUN03"/>
    <d v="2003-06-04T00:00:00"/>
    <s v="15"/>
    <n v="13.64"/>
    <n v="12.36"/>
    <x v="9"/>
  </r>
  <r>
    <s v="HYJUN03"/>
    <d v="2003-06-19T00:00:00"/>
    <s v="15"/>
    <n v="15.27"/>
    <n v="13.81"/>
    <x v="9"/>
  </r>
  <r>
    <s v="WQJUL03"/>
    <d v="2003-07-09T00:00:00"/>
    <s v="15"/>
    <n v="21.23"/>
    <n v="16.25"/>
    <x v="9"/>
  </r>
  <r>
    <s v="HYJUL03"/>
    <d v="2003-07-25T00:00:00"/>
    <s v="15"/>
    <n v="19.079999999999998"/>
    <n v="16.2"/>
    <x v="9"/>
  </r>
  <r>
    <s v="WQAUG03"/>
    <d v="2003-08-05T00:00:00"/>
    <s v="15"/>
    <n v="20.54"/>
    <n v="19.239999999999998"/>
    <x v="9"/>
  </r>
  <r>
    <s v="HYAUG03"/>
    <d v="2003-08-21T00:00:00"/>
    <s v="15"/>
    <n v="23.23"/>
    <n v="21.72"/>
    <x v="9"/>
  </r>
  <r>
    <s v="WQSEP03"/>
    <d v="2003-09-05T00:00:00"/>
    <s v="15"/>
    <n v="21.05"/>
    <n v="20.59"/>
    <x v="9"/>
  </r>
  <r>
    <s v="WQOCT03"/>
    <d v="2003-10-07T00:00:00"/>
    <s v="15"/>
    <n v="18.399999999999999"/>
    <n v="18.27"/>
    <x v="9"/>
  </r>
  <r>
    <s v="WQNOV03"/>
    <d v="2003-11-06T00:00:00"/>
    <s v="15"/>
    <n v="15.03"/>
    <n v="15.02"/>
    <x v="9"/>
  </r>
  <r>
    <s v="WQDEC03"/>
    <d v="2003-12-10T00:00:00"/>
    <s v="15"/>
    <n v="4.5199999999999996"/>
    <n v="6.58"/>
    <x v="9"/>
  </r>
  <r>
    <s v="WQJAN04"/>
    <d v="2004-01-13T00:00:00"/>
    <s v="15"/>
    <n v="1.95"/>
    <n v="2.06"/>
    <x v="10"/>
  </r>
  <r>
    <s v="WQFEB04"/>
    <d v="2004-02-03T00:00:00"/>
    <s v="15"/>
    <n v="-1.05"/>
    <n v="-1.1100000000000001"/>
    <x v="10"/>
  </r>
  <r>
    <s v="WQMAR04"/>
    <d v="2004-03-02T00:00:00"/>
    <s v="15"/>
    <n v="1.72"/>
    <n v="0.66"/>
    <x v="10"/>
  </r>
  <r>
    <s v="WQAPR04"/>
    <d v="2004-04-12T00:00:00"/>
    <s v="15"/>
    <n v="5.76"/>
    <n v="5.0999999999999996"/>
    <x v="10"/>
  </r>
  <r>
    <s v="WQMAY04"/>
    <d v="2004-05-07T00:00:00"/>
    <s v="15"/>
    <n v="10.15"/>
    <n v="8.94"/>
    <x v="10"/>
  </r>
  <r>
    <s v="WQJUN04"/>
    <d v="2004-06-03T00:00:00"/>
    <s v="15"/>
    <n v="16.21"/>
    <n v="14.06"/>
    <x v="10"/>
  </r>
  <r>
    <s v="HYJUN04"/>
    <d v="2004-06-28T00:00:00"/>
    <s v="15"/>
    <n v="19.66"/>
    <n v="16.149999999999999"/>
    <x v="10"/>
  </r>
  <r>
    <s v="WQJUL04"/>
    <d v="2004-07-07T00:00:00"/>
    <s v="15"/>
    <n v="20.13"/>
    <n v="17.18"/>
    <x v="10"/>
  </r>
  <r>
    <s v="HYJUL04"/>
    <d v="2004-07-21T00:00:00"/>
    <s v="15"/>
    <n v="22.4"/>
    <n v="20.100000000000001"/>
    <x v="10"/>
  </r>
  <r>
    <s v="WQAUG04"/>
    <d v="2004-08-06T00:00:00"/>
    <s v="15"/>
    <n v="22.08"/>
    <n v="22"/>
    <x v="10"/>
  </r>
  <r>
    <s v="HYAUG04"/>
    <d v="2004-08-20T00:00:00"/>
    <s v="15"/>
    <n v="22.69"/>
    <n v="21.11"/>
    <x v="10"/>
  </r>
  <r>
    <s v="WQSEP04"/>
    <d v="2004-09-01T00:00:00"/>
    <s v="15"/>
    <n v="23.16"/>
    <n v="22.75"/>
    <x v="10"/>
  </r>
  <r>
    <s v="WQOCT04"/>
    <d v="2004-10-08T00:00:00"/>
    <s v="15"/>
    <n v="19.55"/>
    <n v="19.600000000000001"/>
    <x v="10"/>
  </r>
  <r>
    <s v="WQDEC04"/>
    <d v="2004-12-15T00:00:00"/>
    <s v="15"/>
    <n v="7.65"/>
    <n v="7.66"/>
    <x v="10"/>
  </r>
  <r>
    <s v="WQJAN05"/>
    <d v="2005-01-11T00:00:00"/>
    <s v="15"/>
    <n v="4.6399999999999997"/>
    <n v="4.6399999999999997"/>
    <x v="11"/>
  </r>
  <r>
    <s v="WQFEB05"/>
    <d v="2005-02-01T00:00:00"/>
    <s v="15"/>
    <n v="-0.66"/>
    <n v="-0.12"/>
    <x v="11"/>
  </r>
  <r>
    <s v="WQMAR05"/>
    <d v="2005-03-11T00:00:00"/>
    <s v="15"/>
    <n v="0.69"/>
    <n v="0.88"/>
    <x v="11"/>
  </r>
  <r>
    <s v="WQAPR05"/>
    <d v="2005-04-08T00:00:00"/>
    <s v="15"/>
    <n v="5.26"/>
    <n v="5.04"/>
    <x v="11"/>
  </r>
  <r>
    <s v="WQMAY05"/>
    <d v="2005-05-06T00:00:00"/>
    <s v="15"/>
    <n v="10.31"/>
    <n v="8.3000000000000007"/>
    <x v="11"/>
  </r>
  <r>
    <s v="WQJUN05"/>
    <d v="2005-06-08T00:00:00"/>
    <s v="15"/>
    <n v="16.920000000000002"/>
    <n v="13.14"/>
    <x v="11"/>
  </r>
  <r>
    <s v="WQJUL05"/>
    <d v="2005-07-12T00:00:00"/>
    <s v="15"/>
    <n v="22.04"/>
    <n v="19.87"/>
    <x v="11"/>
  </r>
  <r>
    <s v="HYJUL05"/>
    <d v="2005-07-19T00:00:00"/>
    <s v="15"/>
    <n v="20.74"/>
    <n v="17.97"/>
    <x v="11"/>
  </r>
  <r>
    <s v="WQAUG05"/>
    <d v="2005-08-04T00:00:00"/>
    <s v="15"/>
    <n v="24.07"/>
    <n v="20.11"/>
    <x v="11"/>
  </r>
  <r>
    <s v="HYAUG05"/>
    <d v="2005-08-19T00:00:00"/>
    <s v="15"/>
    <n v="23.22"/>
    <n v="20.67"/>
    <x v="11"/>
  </r>
  <r>
    <s v="WQSEP05"/>
    <d v="2005-09-02T00:00:00"/>
    <s v="15"/>
    <n v="23.5"/>
    <n v="22.32"/>
    <x v="11"/>
  </r>
  <r>
    <s v="WQOCT05"/>
    <d v="2005-10-11T00:00:00"/>
    <s v="15"/>
    <n v="20.420000000000002"/>
    <n v="20.420000000000002"/>
    <x v="11"/>
  </r>
  <r>
    <s v="WQNOV05"/>
    <d v="2005-11-15T00:00:00"/>
    <s v="15"/>
    <n v="12.71"/>
    <n v="12.8"/>
    <x v="11"/>
  </r>
  <r>
    <s v="WQDEC05"/>
    <d v="2005-12-08T00:00:00"/>
    <s v="15"/>
    <n v="7.34"/>
    <n v="6.68"/>
    <x v="11"/>
  </r>
  <r>
    <s v="WQMAR06"/>
    <d v="2006-03-07T00:00:00"/>
    <s v="15"/>
    <n v="2.54"/>
    <n v="2.13"/>
    <x v="12"/>
  </r>
  <r>
    <s v="WQAPR06"/>
    <d v="2006-04-12T00:00:00"/>
    <s v="15"/>
    <n v="6.81"/>
    <n v="6.15"/>
    <x v="12"/>
  </r>
  <r>
    <s v="WQMAY06"/>
    <d v="2006-05-04T00:00:00"/>
    <s v="15"/>
    <n v="10.63"/>
    <n v="9.7200000000000006"/>
    <x v="12"/>
  </r>
  <r>
    <s v="WQJUN06"/>
    <d v="2006-06-09T00:00:00"/>
    <s v="15"/>
    <n v="16.11"/>
    <n v="15.31"/>
    <x v="12"/>
  </r>
  <r>
    <s v="HYJUN06"/>
    <d v="2006-06-23T00:00:00"/>
    <s v="15"/>
    <n v="17.27"/>
    <n v="15.18"/>
    <x v="12"/>
  </r>
  <r>
    <s v="WQJUL06"/>
    <d v="2006-07-07T00:00:00"/>
    <s v="15"/>
    <n v="20.54"/>
    <n v="15.75"/>
    <x v="12"/>
  </r>
  <r>
    <s v="HYJUL06"/>
    <d v="2006-07-18T00:00:00"/>
    <s v="15"/>
    <n v="23.74"/>
    <n v="17.5"/>
    <x v="12"/>
  </r>
  <r>
    <s v="WQAUG06"/>
    <d v="2006-08-03T00:00:00"/>
    <s v="15"/>
    <n v="26.96"/>
    <n v="20.13"/>
    <x v="12"/>
  </r>
  <r>
    <s v="HYAUG06"/>
    <d v="2006-08-18T00:00:00"/>
    <s v="15"/>
    <n v="23.07"/>
    <n v="21.55"/>
    <x v="12"/>
  </r>
  <r>
    <s v="WQSEP06"/>
    <d v="2006-08-30T00:00:00"/>
    <s v="15"/>
    <n v="21.4"/>
    <n v="21.38"/>
    <x v="12"/>
  </r>
  <r>
    <s v="WQOCT06"/>
    <d v="2006-10-17T00:00:00"/>
    <s v="15"/>
    <n v="16.72"/>
    <n v="16.75"/>
    <x v="12"/>
  </r>
  <r>
    <s v="WQNOV06"/>
    <d v="2006-11-07T00:00:00"/>
    <s v="15"/>
    <n v="13.11"/>
    <n v="12.99"/>
    <x v="12"/>
  </r>
  <r>
    <s v="WQDEC06"/>
    <d v="2006-12-11T00:00:00"/>
    <s v="15"/>
    <n v="8.56"/>
    <n v="8.57"/>
    <x v="12"/>
  </r>
  <r>
    <s v="WQJAN07"/>
    <d v="2007-01-18T00:00:00"/>
    <s v="15"/>
    <n v="5.43"/>
    <n v="5.92"/>
    <x v="13"/>
  </r>
  <r>
    <s v="WQFEB07"/>
    <d v="2007-02-13T00:00:00"/>
    <s v="15"/>
    <n v="0.96"/>
    <n v="1.03"/>
    <x v="13"/>
  </r>
  <r>
    <s v="WQMAR07"/>
    <d v="2007-03-13T00:00:00"/>
    <s v="15"/>
    <n v="1.59"/>
    <n v="1.4"/>
    <x v="13"/>
  </r>
  <r>
    <s v="WQAPR07"/>
    <d v="2007-04-04T00:00:00"/>
    <s v="15"/>
    <n v="3.9"/>
    <n v="3.78"/>
    <x v="13"/>
  </r>
  <r>
    <s v="WQMAY07"/>
    <d v="2007-05-09T00:00:00"/>
    <s v="15"/>
    <n v="10.96"/>
    <n v="7.78"/>
    <x v="13"/>
  </r>
  <r>
    <s v="WQJUN07"/>
    <d v="2007-06-07T00:00:00"/>
    <s v="15"/>
    <n v="14.89"/>
    <n v="14.28"/>
    <x v="13"/>
  </r>
  <r>
    <s v="HYJUN07"/>
    <d v="2007-06-21T00:00:00"/>
    <s v="15"/>
    <n v="18.78"/>
    <n v="17.53"/>
    <x v="13"/>
  </r>
  <r>
    <s v="WQJUL07"/>
    <d v="2007-07-11T00:00:00"/>
    <s v="15"/>
    <n v="18.09"/>
    <n v="15.7"/>
    <x v="13"/>
  </r>
  <r>
    <s v="HYJUL07"/>
    <d v="2007-07-20T00:00:00"/>
    <s v="15"/>
    <n v="20.12"/>
    <n v="19.010000000000002"/>
    <x v="13"/>
  </r>
  <r>
    <s v="WQAUG07"/>
    <d v="2007-07-31T00:00:00"/>
    <s v="15"/>
    <n v="23.3"/>
    <n v="21.2"/>
    <x v="13"/>
  </r>
  <r>
    <s v="HYAUG07"/>
    <d v="2007-08-15T00:00:00"/>
    <s v="15"/>
    <n v="22.71"/>
    <n v="21.71"/>
    <x v="13"/>
  </r>
  <r>
    <s v="WQSEP07"/>
    <d v="2007-08-30T00:00:00"/>
    <s v="15"/>
    <n v="22.43"/>
    <n v="21.43"/>
    <x v="13"/>
  </r>
  <r>
    <s v="WQOCT07"/>
    <d v="2007-10-04T00:00:00"/>
    <s v="15"/>
    <n v="21.09"/>
    <n v="21.06"/>
    <x v="13"/>
  </r>
  <r>
    <s v="WQNOV07"/>
    <d v="2007-11-09T00:00:00"/>
    <s v="15"/>
    <n v="14.15"/>
    <n v="14.15"/>
    <x v="13"/>
  </r>
  <r>
    <s v="WQDEC07"/>
    <d v="2007-12-10T00:00:00"/>
    <s v="15"/>
    <n v="7.06"/>
    <n v="7.7"/>
    <x v="13"/>
  </r>
  <r>
    <s v="WQJAN08"/>
    <d v="2008-01-08T00:00:00"/>
    <s v="15"/>
    <n v="4.41"/>
    <n v="4.03"/>
    <x v="14"/>
  </r>
  <r>
    <s v="WQFEB08"/>
    <d v="2008-02-07T00:00:00"/>
    <s v="15"/>
    <n v="3.4"/>
    <n v="3.32"/>
    <x v="14"/>
  </r>
  <r>
    <s v="WQMAR08"/>
    <d v="2008-03-06T00:00:00"/>
    <s v="15"/>
    <n v="3.75"/>
    <n v="3.26"/>
    <x v="14"/>
  </r>
  <r>
    <s v="WQAPR08"/>
    <d v="2008-04-09T00:00:00"/>
    <s v="15"/>
    <n v="6.49"/>
    <n v="5.9"/>
    <x v="14"/>
  </r>
  <r>
    <s v="WQMAY08"/>
    <d v="2008-05-06T00:00:00"/>
    <s v="15"/>
    <n v="11.5"/>
    <n v="10.87"/>
    <x v="14"/>
  </r>
  <r>
    <s v="WQJUN08"/>
    <d v="2008-06-05T00:00:00"/>
    <s v="15"/>
    <n v="14.94"/>
    <n v="13.15"/>
    <x v="14"/>
  </r>
  <r>
    <s v="HYJUN08"/>
    <d v="2008-06-17T00:00:00"/>
    <s v="15"/>
    <n v="18.46"/>
    <m/>
    <x v="14"/>
  </r>
  <r>
    <s v="WQJUL08"/>
    <d v="2008-07-02T00:00:00"/>
    <s v="15"/>
    <n v="19.670000000000002"/>
    <n v="14.98"/>
    <x v="14"/>
  </r>
  <r>
    <s v="WQAUG08"/>
    <d v="2008-08-05T00:00:00"/>
    <s v="15"/>
    <n v="23.63"/>
    <n v="20.329999999999998"/>
    <x v="14"/>
  </r>
  <r>
    <s v="HYAUG08"/>
    <d v="2008-08-20T00:00:00"/>
    <s v="15"/>
    <n v="23.02"/>
    <n v="22.44"/>
    <x v="14"/>
  </r>
  <r>
    <s v="WQSEP08"/>
    <d v="2008-09-03T00:00:00"/>
    <s v="15"/>
    <n v="22.64"/>
    <n v="22.3"/>
    <x v="14"/>
  </r>
  <r>
    <s v="HYSEP08"/>
    <d v="2008-09-16T00:00:00"/>
    <s v="15"/>
    <n v="22.21"/>
    <n v="22.24"/>
    <x v="14"/>
  </r>
  <r>
    <s v="WQOCT08"/>
    <d v="2008-10-08T00:00:00"/>
    <s v="15"/>
    <n v="18.62"/>
    <n v="18.170000000000002"/>
    <x v="14"/>
  </r>
  <r>
    <s v="WQNOV08"/>
    <d v="2008-11-12T00:00:00"/>
    <s v="15"/>
    <n v="12.93"/>
    <n v="12.89"/>
    <x v="14"/>
  </r>
  <r>
    <s v="WQDEC08"/>
    <d v="2008-12-18T00:00:00"/>
    <s v="15"/>
    <n v="6.71"/>
    <n v="6.84"/>
    <x v="14"/>
  </r>
  <r>
    <s v="WQJAN09"/>
    <d v="2009-01-13T00:00:00"/>
    <s v="15"/>
    <n v="2.12"/>
    <n v="2.64"/>
    <x v="15"/>
  </r>
  <r>
    <s v="WQFEB09"/>
    <d v="2009-02-06T00:00:00"/>
    <s v="15"/>
    <n v="0.15"/>
    <n v="0.17"/>
    <x v="15"/>
  </r>
  <r>
    <s v="WQMAR09"/>
    <d v="2009-03-06T00:00:00"/>
    <s v="15"/>
    <n v="1.35"/>
    <n v="1.23"/>
    <x v="15"/>
  </r>
  <r>
    <s v="WQAPR09"/>
    <d v="2009-04-02T00:00:00"/>
    <s v="15"/>
    <n v="4.34"/>
    <n v="4.1399999999999997"/>
    <x v="15"/>
  </r>
  <r>
    <s v="WQMAY09"/>
    <d v="2009-04-30T00:00:00"/>
    <s v="15"/>
    <n v="10.23"/>
    <n v="9.16"/>
    <x v="15"/>
  </r>
  <r>
    <s v="WQJUN09"/>
    <d v="2009-06-08T00:00:00"/>
    <s v="15"/>
    <n v="15.44"/>
    <n v="14.49"/>
    <x v="15"/>
  </r>
  <r>
    <s v="HYJUN09"/>
    <d v="2009-06-23T00:00:00"/>
    <s v="15"/>
    <n v="17.71"/>
    <n v="15.27"/>
    <x v="15"/>
  </r>
  <r>
    <s v="WQJUL09"/>
    <d v="2009-07-09T00:00:00"/>
    <s v="15"/>
    <n v="20.18"/>
    <n v="16.29"/>
    <x v="15"/>
  </r>
  <r>
    <s v="HYJUL09"/>
    <d v="2009-07-21T00:00:00"/>
    <s v="15"/>
    <n v="20.23"/>
    <n v="17.37"/>
    <x v="15"/>
  </r>
  <r>
    <s v="WQAUG09"/>
    <d v="2009-08-04T00:00:00"/>
    <s v="15"/>
    <n v="23.03"/>
    <n v="20.14"/>
    <x v="15"/>
  </r>
  <r>
    <s v="HYAUG09"/>
    <d v="2009-08-18T00:00:00"/>
    <s v="15"/>
    <n v="23.38"/>
    <n v="22.03"/>
    <x v="15"/>
  </r>
  <r>
    <s v="WQSEP09"/>
    <d v="2009-09-02T00:00:00"/>
    <s v="15"/>
    <n v="22.77"/>
    <n v="21.87"/>
    <x v="15"/>
  </r>
  <r>
    <s v="WQOCT09"/>
    <d v="2009-10-08T00:00:00"/>
    <s v="15"/>
    <n v="18.8"/>
    <n v="18.38"/>
    <x v="15"/>
  </r>
  <r>
    <s v="WQNOV09"/>
    <d v="2009-11-05T00:00:00"/>
    <s v="15"/>
    <n v="13.61"/>
    <n v="13.55"/>
    <x v="15"/>
  </r>
  <r>
    <s v="WQDEC09"/>
    <d v="2009-12-07T00:00:00"/>
    <s v="15"/>
    <n v="8.85"/>
    <n v="9.69"/>
    <x v="15"/>
  </r>
  <r>
    <s v="WQJAN10"/>
    <d v="2010-01-08T00:00:00"/>
    <s v="15"/>
    <n v="2.5299999999999998"/>
    <n v="2.64"/>
    <x v="16"/>
  </r>
  <r>
    <s v="WQFEB10"/>
    <d v="2010-02-09T00:00:00"/>
    <s v="15"/>
    <n v="1.01"/>
    <n v="0.98"/>
    <x v="16"/>
  </r>
  <r>
    <s v="WQMAR10"/>
    <d v="2010-03-05T00:00:00"/>
    <s v="15"/>
    <n v="2.38"/>
    <n v="2.17"/>
    <x v="16"/>
  </r>
  <r>
    <s v="WQAPR10"/>
    <d v="2010-04-01T00:00:00"/>
    <s v="15"/>
    <n v="5.98"/>
    <n v="5.69"/>
    <x v="16"/>
  </r>
  <r>
    <s v="WQMAY10"/>
    <d v="2010-05-05T00:00:00"/>
    <s v="15"/>
    <n v="13.15"/>
    <n v="10.52"/>
    <x v="16"/>
  </r>
  <r>
    <s v="WQJUN10"/>
    <d v="2010-05-27T00:00:00"/>
    <s v="15"/>
    <n v="16.25"/>
    <n v="12.5"/>
    <x v="16"/>
  </r>
  <r>
    <s v="HYJUN10"/>
    <d v="2010-06-18T00:00:00"/>
    <s v="15"/>
    <n v="18.059999999999999"/>
    <n v="16.39"/>
    <x v="16"/>
  </r>
  <r>
    <s v="WQJUL10"/>
    <d v="2010-07-09T00:00:00"/>
    <s v="15"/>
    <n v="22.58"/>
    <n v="17.14"/>
    <x v="16"/>
  </r>
  <r>
    <s v="HYJUL10"/>
    <d v="2010-07-21T00:00:00"/>
    <s v="15"/>
    <n v="24.94"/>
    <n v="20.239999999999998"/>
    <x v="16"/>
  </r>
  <r>
    <s v="WQAUG10"/>
    <d v="2010-08-04T00:00:00"/>
    <s v="15"/>
    <n v="22.19"/>
    <n v="20.68"/>
    <x v="16"/>
  </r>
  <r>
    <s v="HYAUG10"/>
    <d v="2010-08-19T00:00:00"/>
    <s v="15"/>
    <n v="23.4"/>
    <n v="22.62"/>
    <x v="16"/>
  </r>
  <r>
    <s v="WQSEP10"/>
    <d v="2010-09-01T00:00:00"/>
    <s v="15"/>
    <n v="24.65"/>
    <n v="23.04"/>
    <x v="16"/>
  </r>
  <r>
    <s v="WQOCT10"/>
    <d v="2010-10-12T00:00:00"/>
    <s v="15"/>
    <n v="18.809999999999999"/>
    <n v="18.690000000000001"/>
    <x v="16"/>
  </r>
  <r>
    <s v="WQNOV10"/>
    <d v="2010-11-05T00:00:00"/>
    <s v="15"/>
    <n v="14.04"/>
    <n v="14.03"/>
    <x v="16"/>
  </r>
  <r>
    <s v="WQDEC10"/>
    <d v="2010-12-03T00:00:00"/>
    <s v="15"/>
    <n v="9.82"/>
    <n v="9.82"/>
    <x v="16"/>
  </r>
  <r>
    <s v="WQJAN11"/>
    <d v="2011-01-04T00:00:00"/>
    <s v="15"/>
    <n v="2.69"/>
    <n v="2.9"/>
    <x v="17"/>
  </r>
  <r>
    <s v="WQFEB11"/>
    <d v="2011-02-07T00:00:00"/>
    <s v="15"/>
    <n v="0.56000000000000005"/>
    <n v="0.59"/>
    <x v="17"/>
  </r>
  <r>
    <s v="WQMAR11"/>
    <d v="2011-03-15T00:00:00"/>
    <s v="15"/>
    <n v="3.48"/>
    <n v="3.22"/>
    <x v="17"/>
  </r>
  <r>
    <s v="WQAPR11"/>
    <d v="2011-04-08T00:00:00"/>
    <s v="15"/>
    <n v="5.33"/>
    <n v="4.92"/>
    <x v="17"/>
  </r>
  <r>
    <s v="WQMAY11"/>
    <d v="2011-05-04T00:00:00"/>
    <s v="15"/>
    <n v="10.48"/>
    <n v="9.2799999999999994"/>
    <x v="17"/>
  </r>
  <r>
    <s v="WQJUN11"/>
    <d v="2011-06-06T00:00:00"/>
    <s v="15"/>
    <n v="16.72"/>
    <n v="13.65"/>
    <x v="17"/>
  </r>
  <r>
    <s v="HYJUN11"/>
    <d v="2011-06-16T00:00:00"/>
    <s v="15"/>
    <n v="17.45"/>
    <n v="15.31"/>
    <x v="17"/>
  </r>
  <r>
    <s v="WQJUL11"/>
    <d v="2011-07-07T00:00:00"/>
    <s v="15"/>
    <n v="21.33"/>
    <n v="17.89"/>
    <x v="17"/>
  </r>
  <r>
    <s v="HYJUL11"/>
    <d v="2011-07-19T00:00:00"/>
    <s v="15"/>
    <n v="22.36"/>
    <m/>
    <x v="17"/>
  </r>
  <r>
    <s v="WQAUG11"/>
    <d v="2011-08-02T00:00:00"/>
    <s v="15"/>
    <n v="23.59"/>
    <n v="21.29"/>
    <x v="17"/>
  </r>
  <r>
    <s v="HYAUG11"/>
    <d v="2011-08-16T00:00:00"/>
    <s v="15"/>
    <n v="21.65"/>
    <n v="21.51"/>
    <x v="17"/>
  </r>
  <r>
    <s v="WQSEP11"/>
    <d v="2011-09-01T00:00:00"/>
    <s v="15"/>
    <n v="23.13"/>
    <n v="22.15"/>
    <x v="17"/>
  </r>
  <r>
    <s v="WQOCT11"/>
    <d v="2011-10-07T00:00:00"/>
    <s v="15"/>
    <n v="19.440000000000001"/>
    <n v="19.420000000000002"/>
    <x v="17"/>
  </r>
  <r>
    <s v="WQNOV11"/>
    <d v="2011-11-14T00:00:00"/>
    <s v="15"/>
    <n v="12.78"/>
    <n v="12.7"/>
    <x v="17"/>
  </r>
  <r>
    <s v="WQDEC11"/>
    <d v="2011-12-01T00:00:00"/>
    <s v="15"/>
    <n v="11.62"/>
    <n v="11.58"/>
    <x v="17"/>
  </r>
  <r>
    <s v="WQJAN12"/>
    <d v="2012-01-11T00:00:00"/>
    <s v="15"/>
    <n v="6.03"/>
    <n v="6.12"/>
    <x v="18"/>
  </r>
  <r>
    <s v="WQFEB12"/>
    <d v="2012-02-07T00:00:00"/>
    <s v="15"/>
    <n v="4.37"/>
    <n v="4.33"/>
    <x v="18"/>
  </r>
  <r>
    <s v="WQMAR12"/>
    <d v="2012-03-06T00:00:00"/>
    <s v="15"/>
    <n v="4.4000000000000004"/>
    <n v="4.42"/>
    <x v="18"/>
  </r>
  <r>
    <s v="WQAPR12"/>
    <d v="2012-04-04T00:00:00"/>
    <s v="15"/>
    <n v="8.1199999999999992"/>
    <n v="7.85"/>
    <x v="18"/>
  </r>
  <r>
    <s v="WQMAY12"/>
    <d v="2012-05-03T00:00:00"/>
    <s v="15"/>
    <n v="10.9"/>
    <n v="10.42"/>
    <x v="18"/>
  </r>
  <r>
    <s v="WQJUN12"/>
    <d v="2012-05-31T00:00:00"/>
    <s v="15"/>
    <n v="17.760000000000002"/>
    <n v="14.84"/>
    <x v="18"/>
  </r>
  <r>
    <s v="HYJUN12"/>
    <d v="2012-06-12T00:00:00"/>
    <s v="15"/>
    <n v="17.53"/>
    <n v="16.09"/>
    <x v="18"/>
  </r>
  <r>
    <s v="WQJUL12"/>
    <d v="2012-06-28T00:00:00"/>
    <s v="15"/>
    <n v="20.66"/>
    <n v="19.559999999999999"/>
    <x v="18"/>
  </r>
  <r>
    <s v="HYJUL12"/>
    <d v="2012-07-17T00:00:00"/>
    <s v="15"/>
    <n v="24.43"/>
    <n v="19.12"/>
    <x v="18"/>
  </r>
  <r>
    <s v="WQAUG12"/>
    <d v="2012-07-31T00:00:00"/>
    <s v="15"/>
    <n v="22.35"/>
    <n v="20.92"/>
    <x v="18"/>
  </r>
  <r>
    <s v="HYAUG12"/>
    <d v="2012-08-15T00:00:00"/>
    <s v="15"/>
    <n v="25.12"/>
    <n v="22.86"/>
    <x v="18"/>
  </r>
  <r>
    <s v="WQSEP12"/>
    <d v="2012-08-29T00:00:00"/>
    <s v="15"/>
    <n v="24.81"/>
    <n v="23.96"/>
    <x v="18"/>
  </r>
  <r>
    <s v="HYSEP12"/>
    <d v="2012-09-17T00:00:00"/>
    <s v="15"/>
    <n v="22.96"/>
    <n v="22.57"/>
    <x v="18"/>
  </r>
  <r>
    <s v="WQOCT12"/>
    <d v="2012-10-02T00:00:00"/>
    <s v="15"/>
    <n v="20.55"/>
    <n v="20.59"/>
    <x v="18"/>
  </r>
  <r>
    <s v="WQNOV12"/>
    <d v="2012-11-15T00:00:00"/>
    <s v="15"/>
    <n v="11.62"/>
    <n v="11.62"/>
    <x v="18"/>
  </r>
  <r>
    <s v="WQDEC12"/>
    <d v="2012-12-05T00:00:00"/>
    <s v="15"/>
    <n v="8.99"/>
    <n v="8.9700000000000006"/>
    <x v="18"/>
  </r>
  <r>
    <s v="WQJAN13"/>
    <d v="2013-01-11T00:00:00"/>
    <s v="15"/>
    <n v="4.49"/>
    <n v="4.58"/>
    <x v="19"/>
  </r>
  <r>
    <s v="WQFEB13"/>
    <d v="2013-02-05T00:00:00"/>
    <s v="15"/>
    <n v="2.33"/>
    <n v="2.5"/>
    <x v="19"/>
  </r>
  <r>
    <s v="WQMAR13"/>
    <d v="2013-03-12T00:00:00"/>
    <s v="15"/>
    <n v="3.08"/>
    <n v="3"/>
    <x v="19"/>
  </r>
  <r>
    <s v="WQAPR13"/>
    <d v="2013-04-05T00:00:00"/>
    <s v="15"/>
    <n v="4.72"/>
    <n v="4.59"/>
    <x v="19"/>
  </r>
  <r>
    <s v="WQMAY13"/>
    <d v="2013-04-30T00:00:00"/>
    <s v="15"/>
    <n v="9.65"/>
    <n v="9.02"/>
    <x v="19"/>
  </r>
  <r>
    <s v="WQJUN13"/>
    <d v="2013-06-04T00:00:00"/>
    <s v="15"/>
    <n v="16.39"/>
    <n v="15.78"/>
    <x v="19"/>
  </r>
  <r>
    <s v="HYJUN13"/>
    <d v="2013-06-21T00:00:00"/>
    <s v="15"/>
    <n v="19.350000000000001"/>
    <n v="17.510000000000002"/>
    <x v="19"/>
  </r>
  <r>
    <s v="WQJUL13"/>
    <d v="2013-07-03T00:00:00"/>
    <s v="15"/>
    <n v="21"/>
    <n v="17.73"/>
    <x v="19"/>
  </r>
  <r>
    <s v="HYJUL13"/>
    <d v="2013-07-16T00:00:00"/>
    <s v="15"/>
    <n v="24.49"/>
    <n v="20.149999999999999"/>
    <x v="19"/>
  </r>
  <r>
    <s v="WQAUG13"/>
    <d v="2013-07-30T00:00:00"/>
    <s v="15"/>
    <n v="23.12"/>
    <n v="21.66"/>
    <x v="19"/>
  </r>
  <r>
    <s v="HYAUG13"/>
    <d v="2013-08-13T00:00:00"/>
    <s v="15"/>
    <n v="22.59"/>
    <n v="21.58"/>
    <x v="19"/>
  </r>
  <r>
    <s v="WQSEP13"/>
    <d v="2013-08-29T00:00:00"/>
    <s v="15"/>
    <n v="22.76"/>
    <n v="22.04"/>
    <x v="19"/>
  </r>
  <r>
    <s v="HYSEP13"/>
    <d v="2013-09-09T00:00:00"/>
    <s v="15"/>
    <n v="22.64"/>
    <n v="22.28"/>
    <x v="19"/>
  </r>
  <r>
    <s v="WQOCT13"/>
    <d v="2013-10-03T00:00:00"/>
    <s v="15"/>
    <n v="20.39"/>
    <n v="19.809999999999999"/>
    <x v="19"/>
  </r>
  <r>
    <s v="WQNOV13"/>
    <d v="2013-11-06T00:00:00"/>
    <s v="15"/>
    <n v="14.39"/>
    <n v="14.29"/>
    <x v="19"/>
  </r>
  <r>
    <s v="WQDEC13"/>
    <d v="2013-12-09T00:00:00"/>
    <s v="15"/>
    <n v="7.63"/>
    <n v="7.63"/>
    <x v="19"/>
  </r>
  <r>
    <s v="WQJAN14"/>
    <d v="2014-01-10T00:00:00"/>
    <s v="15"/>
    <n v="1.54"/>
    <n v="1.67"/>
    <x v="20"/>
  </r>
  <r>
    <s v="WQFEB14"/>
    <d v="2014-02-04T00:00:00"/>
    <s v="15"/>
    <n v="0.36"/>
    <n v="0.54"/>
    <x v="20"/>
  </r>
  <r>
    <s v="WQMAR14"/>
    <d v="2014-03-04T00:00:00"/>
    <s v="15"/>
    <n v="-0.08"/>
    <n v="0.01"/>
    <x v="20"/>
  </r>
  <r>
    <s v="WQAPR14"/>
    <d v="2014-04-03T00:00:00"/>
    <s v="15"/>
    <n v="2.75"/>
    <n v="2.4500000000000002"/>
    <x v="20"/>
  </r>
  <r>
    <s v="WQMAY14"/>
    <d v="2014-05-08T00:00:00"/>
    <s v="15"/>
    <n v="10.9"/>
    <n v="10.49"/>
    <x v="20"/>
  </r>
  <r>
    <s v="WQJUN14"/>
    <d v="2014-06-04T00:00:00"/>
    <s v="15"/>
    <n v="15.91"/>
    <n v="14.33"/>
    <x v="20"/>
  </r>
  <r>
    <s v="HYJUN14"/>
    <d v="2014-06-19T00:00:00"/>
    <s v="15"/>
    <n v="18.920000000000002"/>
    <n v="17.34"/>
    <x v="20"/>
  </r>
  <r>
    <s v="WQJUL14"/>
    <d v="2014-07-01T00:00:00"/>
    <s v="15"/>
    <n v="20.32"/>
    <n v="18.149999999999999"/>
    <x v="20"/>
  </r>
  <r>
    <s v="HYJUL14"/>
    <d v="2014-07-15T00:00:00"/>
    <s v="15"/>
    <n v="20.07"/>
    <n v="18.7"/>
    <x v="20"/>
  </r>
  <r>
    <s v="WQAUG14"/>
    <d v="2014-08-05T00:00:00"/>
    <s v="15"/>
    <n v="22.64"/>
    <n v="20.12"/>
    <x v="20"/>
  </r>
  <r>
    <s v="HYAUG14"/>
    <d v="2014-08-18T00:00:00"/>
    <s v="15"/>
    <n v="22.36"/>
    <n v="22"/>
    <x v="20"/>
  </r>
  <r>
    <s v="WQSEP14"/>
    <d v="2014-09-03T00:00:00"/>
    <s v="15"/>
    <n v="23.45"/>
    <n v="23.18"/>
    <x v="20"/>
  </r>
  <r>
    <s v="HYSEP14"/>
    <d v="2014-09-15T00:00:00"/>
    <s v="15"/>
    <n v="21.66"/>
    <n v="21.57"/>
    <x v="20"/>
  </r>
  <r>
    <s v="WQOCT14"/>
    <d v="2014-10-03T00:00:00"/>
    <s v="15"/>
    <n v="20.16"/>
    <n v="20.14"/>
    <x v="20"/>
  </r>
  <r>
    <s v="WQNOV14"/>
    <d v="2014-11-12T00:00:00"/>
    <s v="15"/>
    <n v="13.07"/>
    <n v="13"/>
    <x v="20"/>
  </r>
  <r>
    <s v="WQDEC14"/>
    <d v="2014-12-12T00:00:00"/>
    <s v="15"/>
    <n v="6.64"/>
    <n v="6.59"/>
    <x v="20"/>
  </r>
  <r>
    <s v="WQJAN15"/>
    <d v="2015-01-15T00:00:00"/>
    <s v="15"/>
    <n v="2.19"/>
    <n v="2.19"/>
    <x v="21"/>
  </r>
  <r>
    <s v="WQFEB15"/>
    <d v="2015-02-06T00:00:00"/>
    <s v="15"/>
    <n v="7.0000000000000007E-2"/>
    <n v="0.05"/>
    <x v="21"/>
  </r>
  <r>
    <s v="WQMAR15"/>
    <d v="2015-03-09T00:00:00"/>
    <s v="15"/>
    <n v="-0.56999999999999995"/>
    <n v="-0.78"/>
    <x v="21"/>
  </r>
  <r>
    <s v="WQAPR15"/>
    <d v="2015-03-31T00:00:00"/>
    <s v="15"/>
    <n v="1.53"/>
    <n v="1.47"/>
    <x v="21"/>
  </r>
  <r>
    <s v="WQMAY15"/>
    <d v="2015-05-04T00:00:00"/>
    <s v="15"/>
    <n v="8.6199999999999992"/>
    <n v="6.38"/>
    <x v="21"/>
  </r>
  <r>
    <s v="WQJUN15"/>
    <d v="2015-06-05T00:00:00"/>
    <s v="15"/>
    <n v="13.22"/>
    <n v="12.55"/>
    <x v="21"/>
  </r>
  <r>
    <s v="HYJUN15"/>
    <d v="2015-06-19T00:00:00"/>
    <s v="15"/>
    <n v="16.46"/>
    <n v="14.75"/>
    <x v="21"/>
  </r>
  <r>
    <s v="WQJUL15"/>
    <d v="2015-07-08T00:00:00"/>
    <s v="15"/>
    <n v="20.74"/>
    <n v="18.920000000000002"/>
    <x v="21"/>
  </r>
  <r>
    <s v="HYJUL15"/>
    <d v="2015-07-21T00:00:00"/>
    <s v="15"/>
    <n v="24.78"/>
    <n v="20.76"/>
    <x v="21"/>
  </r>
  <r>
    <s v="WQAUG15"/>
    <d v="2015-08-04T00:00:00"/>
    <s v="15"/>
    <n v="22.56"/>
    <n v="21.01"/>
    <x v="21"/>
  </r>
  <r>
    <s v="HYAUG15"/>
    <d v="2015-08-18T00:00:00"/>
    <s v="15"/>
    <n v="23.62"/>
    <n v="21.61"/>
    <x v="21"/>
  </r>
  <r>
    <s v="WQSEP15"/>
    <d v="2015-09-02T00:00:00"/>
    <s v="15"/>
    <n v="23.84"/>
    <n v="23.32"/>
    <x v="21"/>
  </r>
  <r>
    <s v="HYSEP15"/>
    <d v="2015-09-16T00:00:00"/>
    <s v="15"/>
    <n v="23.12"/>
    <n v="22.63"/>
    <x v="21"/>
  </r>
  <r>
    <s v="WQOCT15"/>
    <d v="2015-10-09T00:00:00"/>
    <s v="15"/>
    <n v="19.149999999999999"/>
    <n v="19.14"/>
    <x v="21"/>
  </r>
  <r>
    <s v="WQNOV15"/>
    <d v="2015-11-10T00:00:00"/>
    <s v="15"/>
    <n v="15.01"/>
    <n v="15.01"/>
    <x v="21"/>
  </r>
  <r>
    <s v="WQDEC15"/>
    <d v="2015-12-14T00:00:00"/>
    <s v="15"/>
    <n v="10.79"/>
    <n v="10.5"/>
    <x v="21"/>
  </r>
  <r>
    <s v="WQJAN16"/>
    <d v="2016-01-08T00:00:00"/>
    <s v="15"/>
    <n v="6.48"/>
    <n v="6.47"/>
    <x v="22"/>
  </r>
  <r>
    <s v="WQFEB16"/>
    <d v="2016-02-02T00:00:00"/>
    <s v="15"/>
    <n v="3.94"/>
    <n v="3.9"/>
    <x v="22"/>
  </r>
  <r>
    <s v="WQMAR16"/>
    <d v="2016-03-09T00:00:00"/>
    <s v="15"/>
    <n v="4.33"/>
    <n v="3.66"/>
    <x v="22"/>
  </r>
  <r>
    <s v="WQAPR16"/>
    <d v="2016-04-06T00:00:00"/>
    <s v="15"/>
    <n v="6.18"/>
    <n v="6.34"/>
    <x v="22"/>
  </r>
  <r>
    <s v="WQMAY16"/>
    <d v="2016-05-18T00:00:00"/>
    <s v="15"/>
    <n v="12.2"/>
    <n v="12.05"/>
    <x v="22"/>
  </r>
  <r>
    <s v="WQJUN16"/>
    <d v="2016-06-14T00:00:00"/>
    <s v="15"/>
    <n v="16.98"/>
    <n v="16.23"/>
    <x v="22"/>
  </r>
  <r>
    <s v="HYJUN16"/>
    <d v="2016-06-20T00:00:00"/>
    <s v="15"/>
    <n v="18.559999999999999"/>
    <n v="15.5"/>
    <x v="22"/>
  </r>
  <r>
    <s v="WQJUL16"/>
    <d v="2016-07-07T00:00:00"/>
    <s v="15"/>
    <n v="21.06"/>
    <n v="18.3"/>
    <x v="22"/>
  </r>
  <r>
    <s v="HYJUL16"/>
    <d v="2016-07-19T00:00:00"/>
    <s v="15"/>
    <n v="24.17"/>
    <n v="20.83"/>
    <x v="22"/>
  </r>
  <r>
    <s v="WQAUG16"/>
    <d v="2016-08-04T00:00:00"/>
    <s v="15"/>
    <n v="22.38"/>
    <n v="21.48"/>
    <x v="22"/>
  </r>
  <r>
    <s v="HYAUG16"/>
    <d v="2016-08-16T00:00:00"/>
    <s v="15"/>
    <n v="26.93"/>
    <n v="22.92"/>
    <x v="22"/>
  </r>
  <r>
    <s v="WQSEP16"/>
    <d v="2016-08-31T00:00:00"/>
    <s v="15"/>
    <n v="24.89"/>
    <n v="23.7"/>
    <x v="22"/>
  </r>
  <r>
    <s v="HYSEP16"/>
    <d v="2016-09-13T00:00:00"/>
    <s v="15"/>
    <n v="23.42"/>
    <n v="23.4"/>
    <x v="22"/>
  </r>
  <r>
    <s v="WQOCT16"/>
    <d v="2016-10-06T00:00:00"/>
    <s v="15"/>
    <n v="20.350000000000001"/>
    <n v="20.3"/>
    <x v="22"/>
  </r>
  <r>
    <s v="WQNOV16"/>
    <d v="2016-11-08T00:00:00"/>
    <s v="15"/>
    <n v="14.04"/>
    <n v="13.74"/>
    <x v="22"/>
  </r>
  <r>
    <s v="WQDEC16"/>
    <d v="2016-12-06T00:00:00"/>
    <s v="15"/>
    <n v="9.4600000000000009"/>
    <n v="9.41"/>
    <x v="22"/>
  </r>
  <r>
    <s v="WQJAN17"/>
    <d v="2017-01-06T00:00:00"/>
    <s v="15"/>
    <n v="4.82"/>
    <n v="4.66"/>
    <x v="23"/>
  </r>
  <r>
    <s v="WQFEB17"/>
    <d v="2017-02-14T00:00:00"/>
    <s v="15"/>
    <n v="2.64"/>
    <n v="2.59"/>
    <x v="23"/>
  </r>
  <r>
    <s v="WQMAR17"/>
    <d v="2017-03-08T00:00:00"/>
    <s v="15"/>
    <n v="3.78"/>
    <n v="3.67"/>
    <x v="23"/>
  </r>
  <r>
    <s v="WQAPR17"/>
    <d v="2017-04-05T00:00:00"/>
    <s v="15"/>
    <n v="5.01"/>
    <n v="4.47"/>
    <x v="23"/>
  </r>
  <r>
    <s v="WQMAY17"/>
    <d v="2017-05-04T00:00:00"/>
    <s v="15"/>
    <n v="11.41"/>
    <n v="11.26"/>
    <x v="23"/>
  </r>
  <r>
    <s v="WQJUN17"/>
    <d v="2017-06-08T00:00:00"/>
    <s v="15"/>
    <n v="15.61"/>
    <n v="14.53"/>
    <x v="23"/>
  </r>
  <r>
    <s v="HYJUN17"/>
    <d v="2017-06-20T00:00:00"/>
    <s v="15"/>
    <n v="18.32"/>
    <n v="15.83"/>
    <x v="23"/>
  </r>
  <r>
    <s v="WQJUL17"/>
    <d v="2017-07-07T00:00:00"/>
    <s v="15"/>
    <n v="20.2"/>
    <n v="17.03"/>
    <x v="23"/>
  </r>
  <r>
    <s v="HYJUL17"/>
    <d v="2017-07-19T00:00:00"/>
    <s v="15"/>
    <n v="22.76"/>
    <n v="19.82"/>
    <x v="23"/>
  </r>
  <r>
    <s v="WQAUG17"/>
    <d v="2017-08-02T00:00:00"/>
    <s v="15"/>
    <n v="23.13"/>
    <n v="21.33"/>
    <x v="23"/>
  </r>
  <r>
    <s v="HYAUG17"/>
    <d v="2017-08-16T00:00:00"/>
    <s v="15"/>
    <n v="22.68"/>
    <n v="21.75"/>
    <x v="23"/>
  </r>
  <r>
    <s v="WQSEP17"/>
    <d v="2017-08-31T00:00:00"/>
    <s v="15"/>
    <n v="22.19"/>
    <n v="21.96"/>
    <x v="23"/>
  </r>
  <r>
    <s v="WQOCT17"/>
    <d v="2017-10-11T00:00:00"/>
    <s v="15"/>
    <n v="21.39"/>
    <n v="21.15"/>
    <x v="23"/>
  </r>
  <r>
    <s v="WQNOV17"/>
    <d v="2017-11-14T00:00:00"/>
    <s v="15"/>
    <n v="14.01"/>
    <n v="13.97"/>
    <x v="23"/>
  </r>
  <r>
    <s v="WQDEC17"/>
    <d v="2017-12-01T00:00:00"/>
    <s v="15"/>
    <n v="10.38"/>
    <n v="10.39"/>
    <x v="23"/>
  </r>
  <r>
    <s v="WQJAN18"/>
    <d v="2018-01-12T00:00:00"/>
    <s v="15"/>
    <n v="1.31"/>
    <n v="1.27"/>
    <x v="24"/>
  </r>
  <r>
    <s v="WQFEB18"/>
    <d v="2018-02-06T00:00:00"/>
    <s v="15"/>
    <n v="1.2"/>
    <n v="1.28"/>
    <x v="24"/>
  </r>
  <r>
    <s v="WQMAR18"/>
    <d v="2018-03-08T00:00:00"/>
    <s v="15"/>
    <n v="2.87"/>
    <n v="2.71"/>
    <x v="24"/>
  </r>
  <r>
    <s v="WQAPR18"/>
    <d v="2018-04-10T00:00:00"/>
    <s v="15"/>
    <n v="4.83"/>
    <n v="4.71"/>
    <x v="24"/>
  </r>
  <r>
    <s v="WQMAY18"/>
    <d v="2018-05-03T00:00:00"/>
    <s v="15"/>
    <n v="9.76"/>
    <n v="9.11"/>
    <x v="24"/>
  </r>
  <r>
    <s v="WQJUN18"/>
    <d v="2018-06-01T00:00:00"/>
    <s v="15"/>
    <n v="14.63"/>
    <n v="12.1"/>
    <x v="24"/>
  </r>
  <r>
    <s v="HYJUN18"/>
    <d v="2018-06-12T00:00:00"/>
    <s v="15"/>
    <n v="16.05"/>
    <n v="13.76"/>
    <x v="24"/>
  </r>
  <r>
    <s v="WQJUL18"/>
    <d v="2018-07-03T00:00:00"/>
    <s v="15"/>
    <n v="21.57"/>
    <n v="17.21"/>
    <x v="24"/>
  </r>
  <r>
    <s v="HYJUL18"/>
    <d v="2018-07-17T00:00:00"/>
    <s v="15"/>
    <n v="20.78"/>
    <n v="19.68"/>
    <x v="24"/>
  </r>
  <r>
    <s v="WQAUG18"/>
    <d v="2018-07-31T00:00:00"/>
    <s v="15"/>
    <n v="23.33"/>
    <n v="22.51"/>
    <x v="24"/>
  </r>
  <r>
    <s v="HYAUG18"/>
    <d v="2018-08-14T00:00:00"/>
    <s v="15"/>
    <n v="22.92"/>
    <n v="21.64"/>
    <x v="24"/>
  </r>
  <r>
    <s v="WQSEP18"/>
    <d v="2018-08-28T00:00:00"/>
    <s v="15"/>
    <n v="25.04"/>
    <n v="23.64"/>
    <x v="24"/>
  </r>
  <r>
    <s v="HYSEP18"/>
    <d v="2018-09-12T00:00:00"/>
    <s v="15"/>
    <n v="22.81"/>
    <n v="22.42"/>
    <x v="24"/>
  </r>
  <r>
    <s v="WQOCT18"/>
    <d v="2018-10-04T00:00:00"/>
    <s v="15"/>
    <n v="21.44"/>
    <n v="20.97"/>
    <x v="24"/>
  </r>
  <r>
    <s v="WQNOV18"/>
    <d v="2018-11-07T00:00:00"/>
    <s v="15"/>
    <n v="14.45"/>
    <n v="14.43"/>
    <x v="24"/>
  </r>
  <r>
    <s v="WQDEC18"/>
    <d v="2018-12-04T00:00:00"/>
    <s v="15"/>
    <n v="8.07"/>
    <n v="8.09"/>
    <x v="24"/>
  </r>
  <r>
    <s v="WQJAN19"/>
    <d v="2019-01-07T00:00:00"/>
    <s v="15"/>
    <n v="5.1100000000000003"/>
    <n v="5.13"/>
    <x v="25"/>
  </r>
  <r>
    <s v="WQFEB19"/>
    <d v="2019-02-06T00:00:00"/>
    <s v="15"/>
    <n v="1.86"/>
    <n v="1.48"/>
    <x v="25"/>
  </r>
  <r>
    <s v="WQMAR19"/>
    <d v="2019-03-07T00:00:00"/>
    <s v="15"/>
    <n v="1.37"/>
    <n v="1.35"/>
    <x v="25"/>
  </r>
  <r>
    <s v="WQAPR19"/>
    <d v="2019-04-04T00:00:00"/>
    <s v="15"/>
    <n v="5.16"/>
    <n v="5.0999999999999996"/>
    <x v="25"/>
  </r>
  <r>
    <s v="WQMAY19"/>
    <d v="2019-05-08T00:00:00"/>
    <s v="15"/>
    <n v="10.96"/>
    <n v="10.44"/>
    <x v="25"/>
  </r>
  <r>
    <s v="WQJUN19"/>
    <d v="2019-05-31T00:00:00"/>
    <s v="15"/>
    <n v="15.18"/>
    <n v="12.75"/>
    <x v="25"/>
  </r>
  <r>
    <s v="HYJUN19"/>
    <d v="2019-06-12T00:00:00"/>
    <s v="15"/>
    <n v="16.600000000000001"/>
    <n v="15.71"/>
    <x v="25"/>
  </r>
  <r>
    <s v="WQJUL19"/>
    <d v="2019-07-03T00:00:00"/>
    <s v="15"/>
    <n v="22.15"/>
    <n v="15.95"/>
    <x v="25"/>
  </r>
  <r>
    <s v="HYJUL19"/>
    <d v="2019-07-16T00:00:00"/>
    <s v="15"/>
    <n v="23.35"/>
    <n v="18.12"/>
    <x v="25"/>
  </r>
  <r>
    <s v="WQAUG19"/>
    <d v="2019-08-01T00:00:00"/>
    <s v="15"/>
    <n v="23.13"/>
    <n v="20.02"/>
    <x v="25"/>
  </r>
  <r>
    <s v="HYAUG19"/>
    <d v="2019-08-13T00:00:00"/>
    <s v="15"/>
    <n v="23.19"/>
    <n v="22.96"/>
    <x v="25"/>
  </r>
  <r>
    <s v="WQSEP19"/>
    <d v="2019-08-29T00:00:00"/>
    <s v="15"/>
    <n v="22.61"/>
    <n v="22.28"/>
    <x v="25"/>
  </r>
  <r>
    <s v="HYSEP19"/>
    <d v="2019-09-10T00:00:00"/>
    <s v="15"/>
    <n v="21.97"/>
    <n v="21.85"/>
    <x v="25"/>
  </r>
  <r>
    <s v="WQOCT19"/>
    <d v="2019-10-02T00:00:00"/>
    <s v="15"/>
    <n v="21.41"/>
    <n v="21.38"/>
    <x v="25"/>
  </r>
  <r>
    <s v="WQNOV19"/>
    <d v="2019-11-06T00:00:00"/>
    <s v="15"/>
    <n v="14.73"/>
    <n v="14.71"/>
    <x v="25"/>
  </r>
  <r>
    <s v="WQDEC19"/>
    <d v="2019-12-16T00:00:00"/>
    <s v="15"/>
    <n v="6.86"/>
    <n v="6.87"/>
    <x v="25"/>
  </r>
  <r>
    <s v="WQJAN20"/>
    <d v="2020-01-10T00:00:00"/>
    <s v="15"/>
    <n v="4.33"/>
    <n v="4.32"/>
    <x v="26"/>
  </r>
  <r>
    <s v="WQFEB20"/>
    <d v="2020-02-11T00:00:00"/>
    <s v="15"/>
    <n v="4"/>
    <n v="3.86"/>
    <x v="26"/>
  </r>
  <r>
    <s v="WQMAR20"/>
    <d v="2020-03-11T00:00:00"/>
    <s v="15"/>
    <n v="4.83"/>
    <n v="4.78"/>
    <x v="26"/>
  </r>
  <r>
    <s v="WQJUN20"/>
    <d v="2020-06-17T00:00:00"/>
    <s v="15"/>
    <n v="17.93"/>
    <n v="14.12"/>
    <x v="26"/>
  </r>
  <r>
    <s v="WQJUL20"/>
    <d v="2020-07-08T00:00:00"/>
    <s v="15"/>
    <n v="19.940000000000001"/>
    <n v="17.86"/>
    <x v="26"/>
  </r>
  <r>
    <s v="HYJUL20"/>
    <d v="2020-07-21T00:00:00"/>
    <s v="15"/>
    <n v="24.57"/>
    <n v="20.99"/>
    <x v="26"/>
  </r>
  <r>
    <s v="WQAUG20"/>
    <d v="2020-08-11T00:00:00"/>
    <s v="15"/>
    <n v="24.18"/>
    <n v="22.41"/>
    <x v="26"/>
  </r>
  <r>
    <s v="HYAUG20"/>
    <d v="2020-08-26T00:00:00"/>
    <s v="15"/>
    <n v="24.52"/>
    <n v="24.29"/>
    <x v="26"/>
  </r>
  <r>
    <s v="WQSEP20"/>
    <d v="2020-09-08T00:00:00"/>
    <s v="15"/>
    <n v="23.8"/>
    <n v="23.49"/>
    <x v="26"/>
  </r>
  <r>
    <s v="WQOCT20"/>
    <d v="2020-10-15T00:00:00"/>
    <s v="15"/>
    <n v="18.32"/>
    <n v="18.34"/>
    <x v="26"/>
  </r>
  <r>
    <s v="WQNOV20"/>
    <d v="2020-11-04T00:00:00"/>
    <s v="15"/>
    <n v="13.91"/>
    <n v="13.5"/>
    <x v="26"/>
  </r>
  <r>
    <s v="WQMAR21"/>
    <d v="2021-03-09T00:00:00"/>
    <s v="15"/>
    <n v="2.2999999999999998"/>
    <n v="2.21"/>
    <x v="27"/>
  </r>
  <r>
    <s v="WQAPR21"/>
    <d v="2021-04-08T00:00:00"/>
    <s v="15"/>
    <n v="7.23"/>
    <n v="6.45"/>
    <x v="27"/>
  </r>
  <r>
    <s v="WQMAY21"/>
    <d v="2021-05-04T00:00:00"/>
    <s v="15"/>
    <n v="10.46"/>
    <n v="9.4600000000000009"/>
    <x v="27"/>
  </r>
  <r>
    <s v="WQJUN21"/>
    <d v="2021-06-09T00:00:00"/>
    <s v="15"/>
    <n v="18.22"/>
    <n v="14.95"/>
    <x v="27"/>
  </r>
  <r>
    <s v="HYJUN21"/>
    <d v="2021-06-21T00:00:00"/>
    <s v="15"/>
    <n v="19.670000000000002"/>
    <n v="16.61"/>
    <x v="27"/>
  </r>
  <r>
    <s v="WQJUL21"/>
    <d v="2021-07-12T00:00:00"/>
    <s v="15"/>
    <n v="21.87"/>
    <n v="20.21"/>
    <x v="27"/>
  </r>
  <r>
    <s v="HYJUL21"/>
    <d v="2021-07-20T00:00:00"/>
    <s v="15"/>
    <n v="23.38"/>
    <n v="20.97"/>
    <x v="27"/>
  </r>
  <r>
    <s v="WQAUG21"/>
    <d v="2021-08-04T00:00:00"/>
    <s v="15"/>
    <n v="22.79"/>
    <n v="20.81"/>
    <x v="27"/>
  </r>
  <r>
    <s v="HYAUG21"/>
    <d v="2021-08-17T00:00:00"/>
    <s v="15"/>
    <n v="24.24"/>
    <n v="22.05"/>
    <x v="27"/>
  </r>
  <r>
    <s v="WQSEP21"/>
    <d v="2021-09-01T00:00:00"/>
    <s v="15"/>
    <n v="24.24"/>
    <n v="23.32"/>
    <x v="27"/>
  </r>
  <r>
    <s v="HYSEP21"/>
    <d v="2021-09-14T00:00:00"/>
    <s v="15"/>
    <n v="23.47"/>
    <n v="22.86"/>
    <x v="27"/>
  </r>
  <r>
    <s v="WQOCT21"/>
    <d v="2021-10-06T00:00:00"/>
    <s v="15"/>
    <n v="20.83"/>
    <n v="20.83"/>
    <x v="27"/>
  </r>
  <r>
    <s v="WQNOV21"/>
    <d v="2021-11-09T00:00:00"/>
    <s v="15"/>
    <n v="14.42"/>
    <n v="14.14"/>
    <x v="27"/>
  </r>
  <r>
    <s v="WQDEC21"/>
    <d v="2021-12-08T00:00:00"/>
    <s v="15"/>
    <n v="9.6300000000000008"/>
    <n v="9.68"/>
    <x v="27"/>
  </r>
  <r>
    <s v="WQFEB22"/>
    <d v="2022-02-03T00:00:00"/>
    <s v="15"/>
    <n v="1.85"/>
    <n v="1.72"/>
    <x v="28"/>
  </r>
  <r>
    <s v="WQMAR22"/>
    <d v="2022-03-07T00:00:00"/>
    <s v="15"/>
    <n v="3.8"/>
    <n v="3.45"/>
    <x v="28"/>
  </r>
  <r>
    <s v="WQAPR22"/>
    <d v="2022-04-08T00:00:00"/>
    <s v="15"/>
    <n v="6"/>
    <n v="5.82"/>
    <x v="28"/>
  </r>
  <r>
    <s v="WQMAY22"/>
    <d v="2022-05-06T00:00:00"/>
    <s v="15"/>
    <n v="10.51"/>
    <n v="9.0399999999999991"/>
    <x v="28"/>
  </r>
  <r>
    <s v="WQJUN22"/>
    <d v="2022-06-06T00:00:00"/>
    <s v="15"/>
    <n v="16.59"/>
    <n v="14.41"/>
    <x v="28"/>
  </r>
  <r>
    <s v="HYJUN22"/>
    <d v="2022-06-14T00:00:00"/>
    <s v="15"/>
    <n v="17.54"/>
    <n v="13.71"/>
    <x v="28"/>
  </r>
  <r>
    <s v="WQJUL22"/>
    <d v="2022-07-07T00:00:00"/>
    <s v="15"/>
    <n v="20.3"/>
    <n v="17.39"/>
    <x v="28"/>
  </r>
  <r>
    <s v="HYJUL22"/>
    <d v="2022-07-18T00:00:00"/>
    <s v="15"/>
    <n v="21.53"/>
    <n v="19.41"/>
    <x v="28"/>
  </r>
  <r>
    <s v="WQAUG22"/>
    <d v="2022-08-03T00:00:00"/>
    <s v="15"/>
    <n v="23.74"/>
    <n v="21.38"/>
    <x v="28"/>
  </r>
  <r>
    <s v="HYAUG22"/>
    <d v="2022-08-18T00:00:00"/>
    <s v="15"/>
    <n v="23.12"/>
    <n v="22.72"/>
    <x v="28"/>
  </r>
  <r>
    <s v="WQSEP22"/>
    <d v="2022-09-02T00:00:00"/>
    <s v="15"/>
    <n v="24.23"/>
    <n v="24.18"/>
    <x v="28"/>
  </r>
  <r>
    <s v="WQOCT22"/>
    <d v="2022-10-07T00:00:00"/>
    <s v="15"/>
    <n v="18.75"/>
    <n v="18.510000000000002"/>
    <x v="28"/>
  </r>
  <r>
    <s v="WQNOV22"/>
    <d v="2022-11-10T00:00:00"/>
    <s v="15"/>
    <n v="15.89"/>
    <n v="15.65"/>
    <x v="28"/>
  </r>
  <r>
    <s v="WQDEC22"/>
    <d v="2022-12-06T00:00:00"/>
    <s v="15"/>
    <n v="9.94"/>
    <n v="9.99"/>
    <x v="28"/>
  </r>
  <r>
    <s v="WQJAN23"/>
    <d v="2023-01-06T00:00:00"/>
    <s v="15"/>
    <n v="5.83"/>
    <n v="5.34"/>
    <x v="29"/>
  </r>
  <r>
    <s v="WQFEB23"/>
    <d v="2023-02-08T00:00:00"/>
    <s v="15"/>
    <n v="3.87"/>
    <n v="3.75"/>
    <x v="29"/>
  </r>
  <r>
    <s v="WQAPR23"/>
    <d v="2023-04-18T00:00:00"/>
    <s v="15"/>
    <n v="8.8800000000000008"/>
    <n v="8.86"/>
    <x v="29"/>
  </r>
  <r>
    <s v="WQMAY23"/>
    <d v="2023-05-05T00:00:00"/>
    <s v="15"/>
    <n v="11.06"/>
    <n v="10.88"/>
    <x v="29"/>
  </r>
  <r>
    <s v="WQJUN23"/>
    <d v="2023-06-02T00:00:00"/>
    <s v="15"/>
    <n v="16.95"/>
    <n v="13.74"/>
    <x v="29"/>
  </r>
  <r>
    <s v="HYJUN23"/>
    <d v="2023-06-23T00:00:00"/>
    <s v="15"/>
    <n v="17.399999999999999"/>
    <n v="16.39"/>
    <x v="29"/>
  </r>
  <r>
    <s v="WQJUL23"/>
    <d v="2023-07-07T00:00:00"/>
    <s v="15"/>
    <n v="22.66"/>
    <n v="19.27"/>
    <x v="29"/>
  </r>
  <r>
    <s v="HYJUL23"/>
    <d v="2023-07-18T00:00:00"/>
    <s v="15"/>
    <n v="23.25"/>
    <n v="20.91"/>
    <x v="29"/>
  </r>
  <r>
    <s v="WQAUG23"/>
    <d v="2023-08-03T00:00:00"/>
    <s v="15"/>
    <n v="22.99"/>
    <n v="22"/>
    <x v="29"/>
  </r>
  <r>
    <s v="HYAUG23"/>
    <d v="2023-08-16T00:00:00"/>
    <s v="15"/>
    <n v="22.84"/>
    <n v="21.53"/>
    <x v="29"/>
  </r>
  <r>
    <s v="WQSEP23"/>
    <d v="2023-09-06T00:00:00"/>
    <s v="15"/>
    <n v="25.2"/>
    <n v="22.41"/>
    <x v="29"/>
  </r>
  <r>
    <s v="WQOCT23"/>
    <d v="2023-10-06T00:00:00"/>
    <s v="15"/>
    <n v="20.059999999999999"/>
    <n v="19.22"/>
    <x v="29"/>
  </r>
  <r>
    <s v="WQNOV23"/>
    <d v="2023-11-09T00:00:00"/>
    <s v="15"/>
    <n v="14.17"/>
    <n v="14.17"/>
    <x v="29"/>
  </r>
  <r>
    <s v="WQDEC23"/>
    <d v="2023-12-07T00:00:00"/>
    <s v="15"/>
    <n v="8.77"/>
    <n v="8.7799999999999994"/>
    <x v="29"/>
  </r>
  <r>
    <s v="WQJAN24"/>
    <d v="2024-01-04T00:00:00"/>
    <s v="15"/>
    <n v="6.7"/>
    <n v="6.78"/>
    <x v="30"/>
  </r>
  <r>
    <s v="WQFEB24"/>
    <d v="2024-02-07T00:00:00"/>
    <s v="15"/>
    <n v="3.71"/>
    <n v="3.68"/>
    <x v="30"/>
  </r>
  <r>
    <s v="WQMAR24"/>
    <d v="2024-03-07T00:00:00"/>
    <s v="15"/>
    <n v="5.0999999999999996"/>
    <n v="4.1900000000000004"/>
    <x v="30"/>
  </r>
  <r>
    <s v="WQAPR24"/>
    <d v="2024-04-09T00:00:00"/>
    <s v="15"/>
    <n v="7.14"/>
    <n v="6.56"/>
    <x v="30"/>
  </r>
  <r>
    <s v="WQMAY24"/>
    <d v="2024-05-06T00:00:00"/>
    <s v="15"/>
    <n v="10.7"/>
    <n v="9.75"/>
    <x v="30"/>
  </r>
  <r>
    <s v="WQJUN24"/>
    <d v="2024-06-03T00:00:00"/>
    <s v="15"/>
    <n v="18.32"/>
    <n v="12.5"/>
    <x v="30"/>
  </r>
  <r>
    <s v="WQJUL24"/>
    <d v="2024-07-03T00:00:00"/>
    <s v="15"/>
    <n v="20.65"/>
    <n v="17.420000000000002"/>
    <x v="30"/>
  </r>
  <r>
    <s v="HYJUL24"/>
    <d v="2024-07-16T00:00:00"/>
    <s v="15"/>
    <n v="24.5"/>
    <m/>
    <x v="30"/>
  </r>
  <r>
    <s v="WQAUG24"/>
    <d v="2024-08-01T00:00:00"/>
    <s v="15"/>
    <n v="23.29"/>
    <n v="21.21"/>
    <x v="30"/>
  </r>
  <r>
    <s v="HYAUG24"/>
    <d v="2024-08-13T00:00:00"/>
    <s v="15"/>
    <n v="23.21"/>
    <n v="22.99"/>
    <x v="30"/>
  </r>
  <r>
    <s v="WQSEP24"/>
    <d v="2024-08-28T00:00:00"/>
    <s v="15"/>
    <n v="23.38"/>
    <n v="22.08"/>
    <x v="30"/>
  </r>
  <r>
    <s v="WQOCT24"/>
    <d v="2024-10-04T00:00:00"/>
    <n v="15"/>
    <n v="20.41"/>
    <n v="20.5"/>
    <x v="30"/>
  </r>
  <r>
    <m/>
    <m/>
    <m/>
    <m/>
    <m/>
    <x v="31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s v="HYJUN94"/>
    <d v="1994-06-22T00:00:00"/>
    <s v="09"/>
    <n v="16.39"/>
    <m/>
    <x v="0"/>
  </r>
  <r>
    <s v="WQJUL94"/>
    <d v="1994-07-06T00:00:00"/>
    <s v="09"/>
    <n v="22.7"/>
    <m/>
    <x v="0"/>
  </r>
  <r>
    <s v="HYJUL94"/>
    <d v="1994-07-20T00:00:00"/>
    <s v="09"/>
    <n v="21.28"/>
    <m/>
    <x v="0"/>
  </r>
  <r>
    <s v="WQAUG94"/>
    <d v="1994-08-03T00:00:00"/>
    <s v="09"/>
    <n v="22.7"/>
    <m/>
    <x v="0"/>
  </r>
  <r>
    <s v="HYAUG94"/>
    <d v="1994-08-16T00:00:00"/>
    <s v="09"/>
    <n v="20.69"/>
    <m/>
    <x v="0"/>
  </r>
  <r>
    <s v="WQSEP94"/>
    <d v="1994-08-31T00:00:00"/>
    <s v="09"/>
    <n v="21.49"/>
    <m/>
    <x v="0"/>
  </r>
  <r>
    <s v="WQDEC94"/>
    <d v="1994-12-06T00:00:00"/>
    <s v="09"/>
    <n v="9.52"/>
    <n v="9.7899999999999991"/>
    <x v="0"/>
  </r>
  <r>
    <s v="WQJAN95"/>
    <d v="1995-01-04T00:00:00"/>
    <s v="09"/>
    <n v="4.97"/>
    <n v="5.47"/>
    <x v="1"/>
  </r>
  <r>
    <s v="WQFEB95"/>
    <d v="1995-02-08T00:00:00"/>
    <s v="09"/>
    <n v="0.68159999999999998"/>
    <n v="1.3"/>
    <x v="1"/>
  </r>
  <r>
    <s v="WQMAR95"/>
    <d v="1995-03-10T00:00:00"/>
    <s v="09"/>
    <n v="2.2799999999999998"/>
    <n v="1.9735"/>
    <x v="1"/>
  </r>
  <r>
    <s v="WQAPR95"/>
    <d v="1995-04-07T00:00:00"/>
    <s v="09"/>
    <n v="4.6500000000000004"/>
    <n v="4.6100000000000003"/>
    <x v="1"/>
  </r>
  <r>
    <s v="WQMAY95"/>
    <d v="1995-05-12T00:00:00"/>
    <s v="09"/>
    <n v="9.35"/>
    <n v="9.31"/>
    <x v="1"/>
  </r>
  <r>
    <s v="WQJUN95"/>
    <d v="1995-06-07T00:00:00"/>
    <s v="09"/>
    <n v="17.07"/>
    <n v="16.87"/>
    <x v="1"/>
  </r>
  <r>
    <s v="HYJUN95"/>
    <d v="1995-06-26T00:00:00"/>
    <s v="09"/>
    <n v="18.760000000000002"/>
    <m/>
    <x v="1"/>
  </r>
  <r>
    <s v="WQJUL95"/>
    <d v="1995-07-07T00:00:00"/>
    <s v="09"/>
    <n v="21.18"/>
    <n v="17.86"/>
    <x v="1"/>
  </r>
  <r>
    <s v="HYJUL95"/>
    <d v="1995-07-18T00:00:00"/>
    <s v="09"/>
    <n v="21.54"/>
    <m/>
    <x v="1"/>
  </r>
  <r>
    <s v="WQAUG95"/>
    <d v="1995-08-03T00:00:00"/>
    <s v="09"/>
    <n v="22.78"/>
    <m/>
    <x v="1"/>
  </r>
  <r>
    <s v="HYAUG95"/>
    <d v="1995-08-14T00:00:00"/>
    <s v="09"/>
    <n v="23.47"/>
    <m/>
    <x v="1"/>
  </r>
  <r>
    <s v="WQSEP95"/>
    <d v="1995-09-05T00:00:00"/>
    <s v="09"/>
    <n v="22.67"/>
    <n v="22.6447"/>
    <x v="1"/>
  </r>
  <r>
    <s v="WQOCT95"/>
    <d v="1995-10-04T00:00:00"/>
    <s v="09"/>
    <n v="19.36"/>
    <n v="19.355399999999999"/>
    <x v="1"/>
  </r>
  <r>
    <s v="WQNOV95"/>
    <d v="1995-11-01T00:00:00"/>
    <s v="09"/>
    <n v="14.41"/>
    <n v="14.39"/>
    <x v="1"/>
  </r>
  <r>
    <s v="WQDEC95"/>
    <d v="1995-12-07T00:00:00"/>
    <s v="09"/>
    <n v="6.53"/>
    <n v="6.55"/>
    <x v="1"/>
  </r>
  <r>
    <s v="WQFEB96"/>
    <d v="1996-02-08T00:00:00"/>
    <s v="09"/>
    <n v="-0.35"/>
    <n v="-0.36"/>
    <x v="2"/>
  </r>
  <r>
    <s v="WQMAR96"/>
    <d v="1996-03-05T00:00:00"/>
    <s v="09"/>
    <n v="0.52"/>
    <n v="0.52"/>
    <x v="2"/>
  </r>
  <r>
    <s v="WQAPR96"/>
    <d v="1996-04-04T00:00:00"/>
    <s v="09"/>
    <m/>
    <m/>
    <x v="2"/>
  </r>
  <r>
    <s v="WQMAY96"/>
    <d v="1996-05-13T00:00:00"/>
    <s v="09"/>
    <n v="9.0500000000000007"/>
    <n v="8.42"/>
    <x v="2"/>
  </r>
  <r>
    <s v="WQJUN96"/>
    <d v="1996-06-03T00:00:00"/>
    <s v="09"/>
    <n v="13.5"/>
    <n v="11.39"/>
    <x v="2"/>
  </r>
  <r>
    <s v="HYJUN96"/>
    <d v="1996-06-27T00:00:00"/>
    <s v="09"/>
    <n v="18.13"/>
    <m/>
    <x v="2"/>
  </r>
  <r>
    <s v="WQJUL96"/>
    <d v="1996-07-08T00:00:00"/>
    <s v="09"/>
    <n v="18.670000000000002"/>
    <n v="16.88"/>
    <x v="2"/>
  </r>
  <r>
    <s v="HYJUL96"/>
    <d v="1996-07-24T00:00:00"/>
    <s v="09"/>
    <n v="18.57"/>
    <n v="18.22"/>
    <x v="2"/>
  </r>
  <r>
    <s v="WQAUG96"/>
    <d v="1996-08-07T00:00:00"/>
    <s v="09"/>
    <n v="22.79"/>
    <n v="19.760000000000002"/>
    <x v="2"/>
  </r>
  <r>
    <s v="HYAUG96"/>
    <d v="1996-08-21T00:00:00"/>
    <s v="09"/>
    <n v="21.28"/>
    <m/>
    <x v="2"/>
  </r>
  <r>
    <s v="WQSEP96"/>
    <d v="1996-09-05T00:00:00"/>
    <s v="09"/>
    <n v="22.63"/>
    <n v="21.31"/>
    <x v="2"/>
  </r>
  <r>
    <s v="WQOCT96"/>
    <d v="1996-10-07T00:00:00"/>
    <s v="09"/>
    <n v="17.489999999999998"/>
    <n v="17.5"/>
    <x v="2"/>
  </r>
  <r>
    <s v="WQNOV96"/>
    <d v="1996-11-06T00:00:00"/>
    <s v="09"/>
    <n v="13.81"/>
    <n v="13.89"/>
    <x v="2"/>
  </r>
  <r>
    <s v="WQDEC96"/>
    <d v="1996-12-04T00:00:00"/>
    <s v="09"/>
    <n v="8"/>
    <n v="8.9499999999999993"/>
    <x v="2"/>
  </r>
  <r>
    <s v="WQFEB97"/>
    <d v="1997-02-03T00:00:00"/>
    <s v="09"/>
    <n v="1.98"/>
    <n v="1.94"/>
    <x v="3"/>
  </r>
  <r>
    <s v="WQMAR97"/>
    <d v="1997-03-03T00:00:00"/>
    <s v="09"/>
    <n v="3.42"/>
    <n v="3.27"/>
    <x v="3"/>
  </r>
  <r>
    <s v="WQAPR97"/>
    <d v="1997-04-03T00:00:00"/>
    <s v="09"/>
    <n v="4.88"/>
    <n v="4.55"/>
    <x v="3"/>
  </r>
  <r>
    <s v="WQMAY97"/>
    <d v="1997-05-07T00:00:00"/>
    <s v="09"/>
    <n v="8.8699999999999992"/>
    <n v="8.44"/>
    <x v="3"/>
  </r>
  <r>
    <s v="WQJUN97"/>
    <d v="1997-06-04T00:00:00"/>
    <s v="09"/>
    <n v="13.25"/>
    <n v="13.24"/>
    <x v="3"/>
  </r>
  <r>
    <s v="HYJUN97"/>
    <d v="1997-06-27T00:00:00"/>
    <s v="09"/>
    <n v="16.04"/>
    <m/>
    <x v="3"/>
  </r>
  <r>
    <s v="WQJUL97"/>
    <d v="1997-07-09T00:00:00"/>
    <s v="09"/>
    <n v="17.68"/>
    <n v="16.47"/>
    <x v="3"/>
  </r>
  <r>
    <s v="HYJUL97"/>
    <d v="1997-07-22T00:00:00"/>
    <s v="09"/>
    <n v="18.68"/>
    <m/>
    <x v="3"/>
  </r>
  <r>
    <s v="WQAUG97"/>
    <d v="1997-08-05T00:00:00"/>
    <s v="09"/>
    <n v="20.55"/>
    <n v="19.91"/>
    <x v="3"/>
  </r>
  <r>
    <s v="HYAUG97"/>
    <d v="1997-08-20T00:00:00"/>
    <s v="09"/>
    <n v="21.21"/>
    <n v="21.18"/>
    <x v="3"/>
  </r>
  <r>
    <s v="WQSEP97"/>
    <d v="1997-09-04T00:00:00"/>
    <s v="09"/>
    <n v="21.16"/>
    <n v="21.16"/>
    <x v="3"/>
  </r>
  <r>
    <s v="HYSEP97"/>
    <d v="1997-09-17T00:00:00"/>
    <s v="09"/>
    <n v="21.27"/>
    <m/>
    <x v="3"/>
  </r>
  <r>
    <s v="WQOCT97"/>
    <d v="1997-10-07T00:00:00"/>
    <s v="09"/>
    <n v="18.29"/>
    <n v="18.3"/>
    <x v="3"/>
  </r>
  <r>
    <s v="WQNOV97"/>
    <d v="1997-11-03T00:00:00"/>
    <s v="09"/>
    <n v="13.46"/>
    <n v="13.45"/>
    <x v="3"/>
  </r>
  <r>
    <s v="WQDEC97"/>
    <d v="1997-12-08T00:00:00"/>
    <s v="09"/>
    <n v="6.11"/>
    <n v="6.1"/>
    <x v="3"/>
  </r>
  <r>
    <s v="WQJAN98"/>
    <d v="1998-01-14T00:00:00"/>
    <s v="09"/>
    <n v="4.5"/>
    <n v="4.6500000000000004"/>
    <x v="4"/>
  </r>
  <r>
    <s v="WQFEB98"/>
    <d v="1998-02-02T00:00:00"/>
    <s v="09"/>
    <n v="3.42"/>
    <n v="3.44"/>
    <x v="4"/>
  </r>
  <r>
    <s v="WQMAR98"/>
    <d v="1998-03-04T00:00:00"/>
    <s v="09"/>
    <n v="4.8099999999999996"/>
    <n v="4.6399999999999997"/>
    <x v="4"/>
  </r>
  <r>
    <s v="WQAPR98"/>
    <d v="1998-04-15T00:00:00"/>
    <s v="09"/>
    <n v="8.6300000000000008"/>
    <n v="7.52"/>
    <x v="4"/>
  </r>
  <r>
    <s v="WQMAY98"/>
    <d v="1998-05-13T00:00:00"/>
    <s v="09"/>
    <n v="11.48"/>
    <n v="11.47"/>
    <x v="4"/>
  </r>
  <r>
    <s v="WQJUN98"/>
    <d v="1998-06-02T00:00:00"/>
    <s v="09"/>
    <n v="15.98"/>
    <n v="14.7"/>
    <x v="4"/>
  </r>
  <r>
    <s v="HYJUN98"/>
    <d v="1998-06-25T00:00:00"/>
    <s v="09"/>
    <n v="18.29"/>
    <m/>
    <x v="4"/>
  </r>
  <r>
    <s v="WQJUL98"/>
    <d v="1998-07-08T00:00:00"/>
    <s v="09"/>
    <n v="20.16"/>
    <n v="17.989999999999998"/>
    <x v="4"/>
  </r>
  <r>
    <s v="HYJUL98"/>
    <d v="1998-07-22T00:00:00"/>
    <s v="09"/>
    <n v="20.8"/>
    <m/>
    <x v="4"/>
  </r>
  <r>
    <s v="WQAUG98"/>
    <d v="1998-08-03T00:00:00"/>
    <s v="09"/>
    <n v="22.11"/>
    <n v="18.86"/>
    <x v="4"/>
  </r>
  <r>
    <s v="HYAUG98"/>
    <d v="1998-08-17T00:00:00"/>
    <s v="09"/>
    <n v="23"/>
    <m/>
    <x v="4"/>
  </r>
  <r>
    <s v="WQSEP98"/>
    <d v="1998-09-02T00:00:00"/>
    <s v="09"/>
    <n v="23.25"/>
    <n v="22.1"/>
    <x v="4"/>
  </r>
  <r>
    <s v="HYSEP98"/>
    <d v="1998-09-16T00:00:00"/>
    <s v="09"/>
    <n v="22.35"/>
    <m/>
    <x v="4"/>
  </r>
  <r>
    <s v="WQOCT98"/>
    <d v="1998-10-06T00:00:00"/>
    <s v="09"/>
    <n v="19.38"/>
    <n v="19.38"/>
    <x v="4"/>
  </r>
  <r>
    <s v="WQNOV98"/>
    <d v="1998-11-05T00:00:00"/>
    <s v="09"/>
    <n v="13.32"/>
    <n v="13.33"/>
    <x v="4"/>
  </r>
  <r>
    <s v="WQDEC98"/>
    <d v="1998-12-02T00:00:00"/>
    <s v="09"/>
    <n v="9.74"/>
    <n v="9.73"/>
    <x v="4"/>
  </r>
  <r>
    <s v="WQJAN99"/>
    <d v="1999-01-11T00:00:00"/>
    <s v="09"/>
    <n v="3.09"/>
    <n v="3.07"/>
    <x v="5"/>
  </r>
  <r>
    <s v="WQFEB99"/>
    <d v="1999-02-04T00:00:00"/>
    <s v="09"/>
    <n v="3.18"/>
    <n v="3.24"/>
    <x v="5"/>
  </r>
  <r>
    <s v="WQMAR99"/>
    <d v="1999-03-09T00:00:00"/>
    <s v="09"/>
    <n v="2.0299999999999998"/>
    <n v="2.39"/>
    <x v="5"/>
  </r>
  <r>
    <s v="WQAPR99"/>
    <d v="1999-04-07T00:00:00"/>
    <s v="09"/>
    <n v="6.7"/>
    <n v="5.81"/>
    <x v="5"/>
  </r>
  <r>
    <s v="WQMAY99"/>
    <d v="1999-05-06T00:00:00"/>
    <s v="09"/>
    <n v="11.23"/>
    <n v="10.9"/>
    <x v="5"/>
  </r>
  <r>
    <s v="WQJUN99"/>
    <d v="1999-06-01T00:00:00"/>
    <s v="09"/>
    <n v="15.23"/>
    <n v="13.7"/>
    <x v="5"/>
  </r>
  <r>
    <s v="HYJUN99"/>
    <d v="1999-06-24T00:00:00"/>
    <s v="09"/>
    <n v="18.14"/>
    <n v="15.38"/>
    <x v="5"/>
  </r>
  <r>
    <s v="WQJUL99"/>
    <d v="1999-07-07T00:00:00"/>
    <s v="09"/>
    <n v="19.850000000000001"/>
    <n v="18.2"/>
    <x v="5"/>
  </r>
  <r>
    <s v="HYJUL99"/>
    <d v="1999-07-21T00:00:00"/>
    <s v="09"/>
    <n v="22.77"/>
    <n v="22.54"/>
    <x v="5"/>
  </r>
  <r>
    <s v="WQAUG99"/>
    <d v="1999-08-04T00:00:00"/>
    <s v="09"/>
    <n v="23.22"/>
    <n v="23.08"/>
    <x v="5"/>
  </r>
  <r>
    <s v="HYAUG99"/>
    <d v="1999-08-18T00:00:00"/>
    <s v="09"/>
    <n v="23.23"/>
    <n v="22.62"/>
    <x v="5"/>
  </r>
  <r>
    <s v="WQSEP99"/>
    <d v="1999-08-31T00:00:00"/>
    <s v="09"/>
    <n v="21.95"/>
    <n v="21.95"/>
    <x v="5"/>
  </r>
  <r>
    <s v="WQOCT99"/>
    <d v="1999-09-28T00:00:00"/>
    <s v="09"/>
    <n v="20.04"/>
    <n v="20.059999999999999"/>
    <x v="5"/>
  </r>
  <r>
    <s v="WQNOV99"/>
    <d v="1999-11-05T00:00:00"/>
    <s v="09"/>
    <n v="14.95"/>
    <n v="14.98"/>
    <x v="5"/>
  </r>
  <r>
    <s v="WQDEC99"/>
    <d v="1999-12-09T00:00:00"/>
    <s v="09"/>
    <n v="8.9700000000000006"/>
    <n v="8.9"/>
    <x v="5"/>
  </r>
  <r>
    <s v="WQJAN00"/>
    <d v="2000-01-06T00:00:00"/>
    <s v="09"/>
    <n v="5.59"/>
    <n v="5.93"/>
    <x v="6"/>
  </r>
  <r>
    <s v="WQFEB00"/>
    <d v="2000-02-07T00:00:00"/>
    <s v="09"/>
    <n v="0.51"/>
    <n v="0.49"/>
    <x v="6"/>
  </r>
  <r>
    <s v="WQMAR00"/>
    <d v="2000-03-06T00:00:00"/>
    <s v="09"/>
    <n v="2.92"/>
    <n v="2.91"/>
    <x v="6"/>
  </r>
  <r>
    <s v="WQAPR00"/>
    <d v="2000-04-10T00:00:00"/>
    <s v="09"/>
    <n v="6.58"/>
    <n v="6.26"/>
    <x v="6"/>
  </r>
  <r>
    <s v="WQMAY00"/>
    <d v="2000-05-03T00:00:00"/>
    <s v="09"/>
    <n v="9.44"/>
    <n v="8.9700000000000006"/>
    <x v="6"/>
  </r>
  <r>
    <s v="WQJUN00"/>
    <d v="2000-06-05T00:00:00"/>
    <s v="09"/>
    <n v="15.8"/>
    <n v="15.38"/>
    <x v="6"/>
  </r>
  <r>
    <s v="HYJUN00"/>
    <d v="2000-06-26T00:00:00"/>
    <s v="09"/>
    <n v="18.3"/>
    <n v="15.93"/>
    <x v="6"/>
  </r>
  <r>
    <s v="WQJUL00"/>
    <d v="2000-07-10T00:00:00"/>
    <s v="09"/>
    <n v="19.21"/>
    <n v="18.920000000000002"/>
    <x v="6"/>
  </r>
  <r>
    <s v="HYJUL00"/>
    <d v="2000-07-19T00:00:00"/>
    <s v="09"/>
    <n v="21.05"/>
    <m/>
    <x v="6"/>
  </r>
  <r>
    <s v="WQAUG00"/>
    <d v="2000-08-07T00:00:00"/>
    <s v="09"/>
    <n v="21.49"/>
    <n v="21.35"/>
    <x v="6"/>
  </r>
  <r>
    <s v="HYAUG00"/>
    <d v="2000-08-16T00:00:00"/>
    <s v="09"/>
    <n v="21.27"/>
    <m/>
    <x v="6"/>
  </r>
  <r>
    <s v="WQSEP00"/>
    <d v="2000-08-31T00:00:00"/>
    <s v="09"/>
    <n v="22.01"/>
    <n v="22"/>
    <x v="6"/>
  </r>
  <r>
    <s v="WQOCT00"/>
    <d v="2000-10-03T00:00:00"/>
    <s v="09"/>
    <n v="18.329999999999998"/>
    <n v="18.329999999999998"/>
    <x v="6"/>
  </r>
  <r>
    <s v="WQNOV00"/>
    <d v="2000-11-09T00:00:00"/>
    <s v="09"/>
    <n v="12.01"/>
    <n v="11.98"/>
    <x v="6"/>
  </r>
  <r>
    <s v="WQDEC00"/>
    <d v="2000-12-04T00:00:00"/>
    <s v="09"/>
    <n v="6.2"/>
    <n v="6.2"/>
    <x v="6"/>
  </r>
  <r>
    <s v="WQJAN01"/>
    <d v="2001-01-17T00:00:00"/>
    <s v="09"/>
    <n v="1.76"/>
    <n v="1.75"/>
    <x v="7"/>
  </r>
  <r>
    <s v="WQFEB01"/>
    <d v="2001-02-07T00:00:00"/>
    <s v="09"/>
    <n v="1.44"/>
    <n v="1.5"/>
    <x v="7"/>
  </r>
  <r>
    <s v="WQMAR01"/>
    <d v="2001-03-08T00:00:00"/>
    <s v="09"/>
    <n v="1.59"/>
    <n v="1.59"/>
    <x v="7"/>
  </r>
  <r>
    <s v="WQAPR01"/>
    <d v="2001-04-04T00:00:00"/>
    <s v="09"/>
    <n v="3.75"/>
    <n v="3.45"/>
    <x v="7"/>
  </r>
  <r>
    <s v="WQMAY01"/>
    <d v="2001-05-01T00:00:00"/>
    <s v="09"/>
    <m/>
    <m/>
    <x v="7"/>
  </r>
  <r>
    <s v="WQJUN01"/>
    <d v="2001-06-06T00:00:00"/>
    <s v="09"/>
    <n v="12.67"/>
    <n v="12.64"/>
    <x v="7"/>
  </r>
  <r>
    <s v="HYJUN01"/>
    <d v="2001-06-21T00:00:00"/>
    <s v="09"/>
    <n v="13.62"/>
    <n v="13.12"/>
    <x v="7"/>
  </r>
  <r>
    <s v="WQJUL01"/>
    <d v="2001-07-10T00:00:00"/>
    <s v="09"/>
    <n v="19.36"/>
    <n v="17.899999999999999"/>
    <x v="7"/>
  </r>
  <r>
    <s v="HYJUL01"/>
    <d v="2001-07-25T00:00:00"/>
    <s v="09"/>
    <n v="20.45"/>
    <n v="18.93"/>
    <x v="7"/>
  </r>
  <r>
    <s v="WQAUG01"/>
    <d v="2001-08-07T00:00:00"/>
    <s v="09"/>
    <n v="22"/>
    <n v="20.53"/>
    <x v="7"/>
  </r>
  <r>
    <s v="HYAUG01"/>
    <d v="2001-08-21T00:00:00"/>
    <s v="09"/>
    <n v="22.77"/>
    <n v="22.69"/>
    <x v="7"/>
  </r>
  <r>
    <s v="WQSEP01"/>
    <d v="2001-09-04T00:00:00"/>
    <s v="09"/>
    <n v="22.07"/>
    <n v="22.08"/>
    <x v="7"/>
  </r>
  <r>
    <s v="WQOCT01"/>
    <d v="2001-10-04T00:00:00"/>
    <s v="09"/>
    <n v="18.47"/>
    <n v="18.48"/>
    <x v="7"/>
  </r>
  <r>
    <s v="WQNOV01"/>
    <d v="2001-11-13T00:00:00"/>
    <s v="09"/>
    <n v="12.79"/>
    <n v="12.05"/>
    <x v="7"/>
  </r>
  <r>
    <s v="WQDEC01"/>
    <d v="2001-12-05T00:00:00"/>
    <s v="09"/>
    <n v="11.04"/>
    <n v="11.04"/>
    <x v="7"/>
  </r>
  <r>
    <s v="WQJAN02"/>
    <d v="2002-01-15T00:00:00"/>
    <s v="09"/>
    <n v="5"/>
    <n v="5"/>
    <x v="8"/>
  </r>
  <r>
    <s v="WQFEB02"/>
    <d v="2002-02-06T00:00:00"/>
    <s v="09"/>
    <n v="3.3"/>
    <n v="3.29"/>
    <x v="8"/>
  </r>
  <r>
    <s v="WQMAR02"/>
    <d v="2002-03-04T00:00:00"/>
    <s v="09"/>
    <n v="5.04"/>
    <n v="4.9400000000000004"/>
    <x v="8"/>
  </r>
  <r>
    <s v="WQAPR02"/>
    <d v="2002-04-04T00:00:00"/>
    <s v="09"/>
    <n v="6.55"/>
    <n v="6.5"/>
    <x v="8"/>
  </r>
  <r>
    <s v="WQMAY02"/>
    <d v="2002-05-07T00:00:00"/>
    <s v="09"/>
    <n v="11.28"/>
    <n v="11.2"/>
    <x v="8"/>
  </r>
  <r>
    <s v="WQJUN02"/>
    <d v="2002-06-06T00:00:00"/>
    <s v="09"/>
    <n v="15.5"/>
    <n v="14.21"/>
    <x v="8"/>
  </r>
  <r>
    <s v="HYJUN02"/>
    <d v="2002-06-26T00:00:00"/>
    <s v="09"/>
    <n v="18.88"/>
    <n v="18.170000000000002"/>
    <x v="8"/>
  </r>
  <r>
    <s v="WQJUL02"/>
    <d v="2002-07-09T00:00:00"/>
    <s v="09"/>
    <n v="19.260000000000002"/>
    <n v="17.010000000000002"/>
    <x v="8"/>
  </r>
  <r>
    <s v="HYJUL02"/>
    <d v="2002-07-22T00:00:00"/>
    <s v="09"/>
    <n v="21.91"/>
    <n v="21.14"/>
    <x v="8"/>
  </r>
  <r>
    <s v="WQAUG02"/>
    <d v="2002-08-07T00:00:00"/>
    <s v="09"/>
    <n v="21.14"/>
    <n v="20.85"/>
    <x v="8"/>
  </r>
  <r>
    <s v="HYAUG02"/>
    <d v="2002-08-22T00:00:00"/>
    <s v="09"/>
    <n v="22.97"/>
    <n v="22.8"/>
    <x v="8"/>
  </r>
  <r>
    <s v="WQSEP02"/>
    <d v="2002-09-10T00:00:00"/>
    <s v="09"/>
    <n v="21.88"/>
    <n v="21.85"/>
    <x v="8"/>
  </r>
  <r>
    <s v="WQOCT02"/>
    <d v="2002-10-09T00:00:00"/>
    <s v="09"/>
    <n v="18.79"/>
    <n v="18.79"/>
    <x v="8"/>
  </r>
  <r>
    <s v="WQNOV02"/>
    <d v="2002-11-13T00:00:00"/>
    <s v="09"/>
    <n v="12.08"/>
    <n v="12.43"/>
    <x v="8"/>
  </r>
  <r>
    <s v="WQDEC02"/>
    <d v="2002-12-10T00:00:00"/>
    <s v="09"/>
    <n v="5.38"/>
    <n v="5.33"/>
    <x v="8"/>
  </r>
  <r>
    <s v="WQFEB03"/>
    <d v="2003-02-14T00:00:00"/>
    <s v="09"/>
    <n v="-0.78"/>
    <n v="-0.76"/>
    <x v="9"/>
  </r>
  <r>
    <s v="WQMAR03"/>
    <d v="2003-03-10T00:00:00"/>
    <s v="09"/>
    <n v="-0.19"/>
    <n v="-0.33"/>
    <x v="9"/>
  </r>
  <r>
    <s v="WQAPR03"/>
    <d v="2003-04-01T00:00:00"/>
    <s v="09"/>
    <n v="2.4700000000000002"/>
    <n v="1.92"/>
    <x v="9"/>
  </r>
  <r>
    <s v="WQMAY03"/>
    <d v="2003-05-06T00:00:00"/>
    <s v="09"/>
    <n v="9.59"/>
    <n v="8.64"/>
    <x v="9"/>
  </r>
  <r>
    <s v="WQJUN03"/>
    <d v="2003-06-05T00:00:00"/>
    <s v="09"/>
    <n v="13.21"/>
    <n v="13.21"/>
    <x v="9"/>
  </r>
  <r>
    <s v="HYJUN03"/>
    <d v="2003-06-19T00:00:00"/>
    <s v="09"/>
    <n v="15.13"/>
    <n v="12.44"/>
    <x v="9"/>
  </r>
  <r>
    <s v="WQJUL03"/>
    <d v="2003-07-08T00:00:00"/>
    <s v="09"/>
    <n v="18.010000000000002"/>
    <n v="14.2"/>
    <x v="9"/>
  </r>
  <r>
    <s v="HYJUL03"/>
    <d v="2003-07-28T00:00:00"/>
    <s v="09"/>
    <n v="16.66"/>
    <n v="16.46"/>
    <x v="9"/>
  </r>
  <r>
    <s v="WQAUG03"/>
    <d v="2003-08-08T00:00:00"/>
    <s v="09"/>
    <n v="22.61"/>
    <n v="20.98"/>
    <x v="9"/>
  </r>
  <r>
    <s v="HYAUG03"/>
    <d v="2003-08-20T00:00:00"/>
    <s v="09"/>
    <n v="22.55"/>
    <n v="20.3"/>
    <x v="9"/>
  </r>
  <r>
    <s v="WQSEP03"/>
    <d v="2003-09-03T00:00:00"/>
    <s v="09"/>
    <n v="21.2"/>
    <n v="21.2"/>
    <x v="9"/>
  </r>
  <r>
    <s v="WQOCT03"/>
    <d v="2003-10-06T00:00:00"/>
    <s v="09"/>
    <n v="18.489999999999998"/>
    <n v="17.899999999999999"/>
    <x v="9"/>
  </r>
  <r>
    <s v="WQNOV03"/>
    <d v="2003-11-05T00:00:00"/>
    <s v="09"/>
    <n v="14.97"/>
    <n v="14.97"/>
    <x v="9"/>
  </r>
  <r>
    <s v="WQDEC03"/>
    <d v="2003-12-09T00:00:00"/>
    <s v="09"/>
    <n v="5.93"/>
    <n v="5.92"/>
    <x v="9"/>
  </r>
  <r>
    <s v="WQFEB04"/>
    <d v="2004-02-02T00:00:00"/>
    <s v="09"/>
    <n v="-1.1100000000000001"/>
    <n v="-1.05"/>
    <x v="10"/>
  </r>
  <r>
    <s v="WQMAR04"/>
    <d v="2004-03-01T00:00:00"/>
    <s v="09"/>
    <n v="0.8"/>
    <n v="0.66"/>
    <x v="10"/>
  </r>
  <r>
    <s v="WQAPR04"/>
    <d v="2004-04-14T00:00:00"/>
    <s v="09"/>
    <n v="5.45"/>
    <n v="4.9400000000000004"/>
    <x v="10"/>
  </r>
  <r>
    <s v="WQMAY04"/>
    <d v="2004-05-06T00:00:00"/>
    <s v="09"/>
    <n v="8.3000000000000007"/>
    <n v="8.27"/>
    <x v="10"/>
  </r>
  <r>
    <s v="WQJUN04"/>
    <d v="2004-06-02T00:00:00"/>
    <s v="09"/>
    <n v="15.15"/>
    <n v="14.53"/>
    <x v="10"/>
  </r>
  <r>
    <s v="HYJUN04"/>
    <d v="2004-06-29T00:00:00"/>
    <s v="09"/>
    <n v="15.16"/>
    <n v="13.93"/>
    <x v="10"/>
  </r>
  <r>
    <s v="WQJUL04"/>
    <d v="2004-07-06T00:00:00"/>
    <s v="09"/>
    <n v="18.350000000000001"/>
    <n v="17.53"/>
    <x v="10"/>
  </r>
  <r>
    <s v="HYJUL04"/>
    <d v="2004-07-20T00:00:00"/>
    <s v="09"/>
    <n v="20.53"/>
    <n v="19.989999999999998"/>
    <x v="10"/>
  </r>
  <r>
    <s v="WQAUG04"/>
    <d v="2004-08-03T00:00:00"/>
    <s v="09"/>
    <n v="21.95"/>
    <n v="21.44"/>
    <x v="10"/>
  </r>
  <r>
    <s v="HYAUG04"/>
    <d v="2004-08-23T00:00:00"/>
    <s v="09"/>
    <n v="21.47"/>
    <n v="21.26"/>
    <x v="10"/>
  </r>
  <r>
    <s v="WQSEP04"/>
    <d v="2004-09-02T00:00:00"/>
    <s v="09"/>
    <n v="22.44"/>
    <n v="22.44"/>
    <x v="10"/>
  </r>
  <r>
    <s v="WQOCT04"/>
    <d v="2004-10-13T00:00:00"/>
    <s v="09"/>
    <n v="17.96"/>
    <n v="17.940000000000001"/>
    <x v="10"/>
  </r>
  <r>
    <s v="WQDEC04"/>
    <d v="2004-12-09T00:00:00"/>
    <s v="09"/>
    <n v="8.3000000000000007"/>
    <n v="8.3800000000000008"/>
    <x v="10"/>
  </r>
  <r>
    <s v="WQJAN05"/>
    <d v="2005-01-13T00:00:00"/>
    <s v="09"/>
    <n v="4.54"/>
    <n v="4.55"/>
    <x v="11"/>
  </r>
  <r>
    <s v="WQFEB05"/>
    <d v="2005-01-31T00:00:00"/>
    <s v="09"/>
    <n v="-0.08"/>
    <n v="-0.09"/>
    <x v="11"/>
  </r>
  <r>
    <s v="WQMAR05"/>
    <d v="2005-03-10T00:00:00"/>
    <s v="09"/>
    <n v="0.6"/>
    <n v="0.81"/>
    <x v="11"/>
  </r>
  <r>
    <s v="WQAPR05"/>
    <d v="2005-04-06T00:00:00"/>
    <s v="09"/>
    <n v="4"/>
    <n v="3.29"/>
    <x v="11"/>
  </r>
  <r>
    <s v="WQMAY05"/>
    <d v="2005-05-09T00:00:00"/>
    <s v="09"/>
    <n v="9.8000000000000007"/>
    <n v="9.48"/>
    <x v="11"/>
  </r>
  <r>
    <s v="WQJUN05"/>
    <d v="2005-06-09T00:00:00"/>
    <s v="09"/>
    <n v="15.7"/>
    <n v="13.56"/>
    <x v="11"/>
  </r>
  <r>
    <s v="HYJUN05"/>
    <d v="2005-06-23T00:00:00"/>
    <s v="09"/>
    <n v="16.329999999999998"/>
    <n v="15.59"/>
    <x v="11"/>
  </r>
  <r>
    <s v="WQJUL05"/>
    <d v="2005-07-11T00:00:00"/>
    <s v="09"/>
    <n v="21.72"/>
    <n v="18.18"/>
    <x v="11"/>
  </r>
  <r>
    <s v="HYJUL05"/>
    <d v="2005-07-21T00:00:00"/>
    <s v="09"/>
    <n v="23.26"/>
    <n v="21.18"/>
    <x v="11"/>
  </r>
  <r>
    <s v="WQAUG05"/>
    <d v="2005-08-03T00:00:00"/>
    <s v="09"/>
    <n v="19.39"/>
    <n v="18.89"/>
    <x v="11"/>
  </r>
  <r>
    <s v="HYAUG05"/>
    <d v="2005-08-19T00:00:00"/>
    <s v="09"/>
    <n v="21.71"/>
    <n v="21.37"/>
    <x v="11"/>
  </r>
  <r>
    <s v="WQSEP05"/>
    <d v="2005-08-30T00:00:00"/>
    <s v="09"/>
    <n v="23.02"/>
    <n v="21.46"/>
    <x v="11"/>
  </r>
  <r>
    <s v="WQOCT05"/>
    <d v="2005-10-18T00:00:00"/>
    <s v="09"/>
    <n v="17.7"/>
    <n v="18.12"/>
    <x v="11"/>
  </r>
  <r>
    <s v="WQNOV05"/>
    <d v="2005-11-18T00:00:00"/>
    <s v="09"/>
    <n v="11.91"/>
    <n v="11.95"/>
    <x v="11"/>
  </r>
  <r>
    <s v="WQDEC05"/>
    <d v="2005-12-12T00:00:00"/>
    <s v="09"/>
    <n v="5.57"/>
    <n v="6.87"/>
    <x v="11"/>
  </r>
  <r>
    <s v="WQMAR06"/>
    <d v="2006-03-06T00:00:00"/>
    <s v="09"/>
    <n v="1.82"/>
    <n v="1.82"/>
    <x v="12"/>
  </r>
  <r>
    <s v="WQMAY06"/>
    <d v="2006-05-03T00:00:00"/>
    <s v="09"/>
    <n v="10.4"/>
    <n v="10.15"/>
    <x v="12"/>
  </r>
  <r>
    <s v="WQJUN06"/>
    <d v="2006-06-08T00:00:00"/>
    <s v="09"/>
    <n v="16.43"/>
    <n v="15.92"/>
    <x v="12"/>
  </r>
  <r>
    <s v="HYJUN06"/>
    <d v="2006-06-23T00:00:00"/>
    <s v="09"/>
    <n v="15.92"/>
    <n v="14.79"/>
    <x v="12"/>
  </r>
  <r>
    <s v="WQJUL06"/>
    <d v="2006-07-10T00:00:00"/>
    <s v="09"/>
    <n v="16.649999999999999"/>
    <n v="16.23"/>
    <x v="12"/>
  </r>
  <r>
    <s v="HYJUL06"/>
    <d v="2006-07-18T00:00:00"/>
    <s v="09"/>
    <n v="20.2"/>
    <n v="17.84"/>
    <x v="12"/>
  </r>
  <r>
    <s v="WQAUG06"/>
    <d v="2006-08-02T00:00:00"/>
    <s v="09"/>
    <n v="22.71"/>
    <n v="21.33"/>
    <x v="12"/>
  </r>
  <r>
    <s v="HYAUG06"/>
    <d v="2006-08-17T00:00:00"/>
    <s v="09"/>
    <n v="22.25"/>
    <n v="21.93"/>
    <x v="12"/>
  </r>
  <r>
    <s v="WQSEP06"/>
    <d v="2006-08-31T00:00:00"/>
    <s v="09"/>
    <n v="21.19"/>
    <n v="21.44"/>
    <x v="12"/>
  </r>
  <r>
    <s v="WQOCT06"/>
    <d v="2006-10-17T00:00:00"/>
    <s v="09"/>
    <n v="16.77"/>
    <n v="16.78"/>
    <x v="12"/>
  </r>
  <r>
    <s v="WQNOV06"/>
    <d v="2006-11-09T00:00:00"/>
    <s v="09"/>
    <n v="13.26"/>
    <n v="13.29"/>
    <x v="12"/>
  </r>
  <r>
    <s v="WQDEC06"/>
    <d v="2006-12-14T00:00:00"/>
    <s v="09"/>
    <n v="8.1300000000000008"/>
    <n v="8.89"/>
    <x v="12"/>
  </r>
  <r>
    <s v="WQJAN07"/>
    <d v="2007-01-19T00:00:00"/>
    <s v="09"/>
    <n v="5.82"/>
    <n v="6.1"/>
    <x v="13"/>
  </r>
  <r>
    <s v="WQFEB07"/>
    <d v="2007-02-07T00:00:00"/>
    <s v="09"/>
    <n v="1.36"/>
    <n v="1.42"/>
    <x v="13"/>
  </r>
  <r>
    <s v="WQMAR07"/>
    <d v="2007-03-12T00:00:00"/>
    <s v="09"/>
    <n v="0.9"/>
    <n v="0.94"/>
    <x v="13"/>
  </r>
  <r>
    <s v="WQAPR07"/>
    <d v="2007-04-03T00:00:00"/>
    <s v="09"/>
    <n v="4.1900000000000004"/>
    <n v="3.55"/>
    <x v="13"/>
  </r>
  <r>
    <s v="WQMAY07"/>
    <d v="2007-05-08T00:00:00"/>
    <s v="09"/>
    <n v="9.91"/>
    <n v="9.44"/>
    <x v="13"/>
  </r>
  <r>
    <s v="WQJUN07"/>
    <d v="2007-06-06T00:00:00"/>
    <s v="09"/>
    <n v="14.43"/>
    <n v="12.96"/>
    <x v="13"/>
  </r>
  <r>
    <s v="HYJUN07"/>
    <d v="2007-06-21T00:00:00"/>
    <s v="09"/>
    <n v="17.53"/>
    <n v="15.45"/>
    <x v="13"/>
  </r>
  <r>
    <s v="WQJUL07"/>
    <d v="2007-07-10T00:00:00"/>
    <s v="09"/>
    <n v="17.96"/>
    <n v="16.850000000000001"/>
    <x v="13"/>
  </r>
  <r>
    <s v="HYJUL07"/>
    <d v="2007-07-24T00:00:00"/>
    <s v="09"/>
    <n v="20.57"/>
    <n v="20.36"/>
    <x v="13"/>
  </r>
  <r>
    <s v="WQAUG07"/>
    <d v="2007-08-01T00:00:00"/>
    <s v="09"/>
    <n v="21.88"/>
    <n v="20.71"/>
    <x v="13"/>
  </r>
  <r>
    <s v="HYAUG07"/>
    <d v="2007-08-14T00:00:00"/>
    <s v="09"/>
    <n v="22.27"/>
    <n v="22.1"/>
    <x v="13"/>
  </r>
  <r>
    <s v="WQSEP07"/>
    <d v="2007-08-29T00:00:00"/>
    <s v="09"/>
    <n v="22.01"/>
    <n v="21.66"/>
    <x v="13"/>
  </r>
  <r>
    <s v="HYSEP07"/>
    <d v="2007-09-10T00:00:00"/>
    <s v="09"/>
    <n v="22.48"/>
    <n v="22.11"/>
    <x v="13"/>
  </r>
  <r>
    <s v="WQOCT07"/>
    <d v="2007-10-03T00:00:00"/>
    <s v="09"/>
    <n v="20.83"/>
    <n v="20.82"/>
    <x v="13"/>
  </r>
  <r>
    <s v="WQNOV07"/>
    <d v="2007-11-14T00:00:00"/>
    <s v="09"/>
    <n v="11"/>
    <n v="10.97"/>
    <x v="13"/>
  </r>
  <r>
    <s v="WQDEC07"/>
    <d v="2007-12-06T00:00:00"/>
    <s v="09"/>
    <m/>
    <m/>
    <x v="13"/>
  </r>
  <r>
    <s v="WQJAN08"/>
    <d v="2008-01-10T00:00:00"/>
    <s v="09"/>
    <n v="4.5999999999999996"/>
    <n v="4.6100000000000003"/>
    <x v="14"/>
  </r>
  <r>
    <s v="WQFEB08"/>
    <d v="2008-02-06T00:00:00"/>
    <s v="09"/>
    <n v="3.31"/>
    <n v="3.15"/>
    <x v="14"/>
  </r>
  <r>
    <s v="WQMAR08"/>
    <d v="2008-03-03T00:00:00"/>
    <s v="09"/>
    <n v="2.29"/>
    <n v="2.62"/>
    <x v="14"/>
  </r>
  <r>
    <s v="WQAPR08"/>
    <d v="2008-04-08T00:00:00"/>
    <s v="09"/>
    <n v="5.7"/>
    <n v="5.67"/>
    <x v="14"/>
  </r>
  <r>
    <s v="WQMAY08"/>
    <d v="2008-05-07T00:00:00"/>
    <s v="09"/>
    <n v="11.12"/>
    <n v="10.59"/>
    <x v="14"/>
  </r>
  <r>
    <s v="WQJUN08"/>
    <d v="2008-06-03T00:00:00"/>
    <s v="09"/>
    <n v="12.05"/>
    <n v="11.65"/>
    <x v="14"/>
  </r>
  <r>
    <s v="HYJUN08"/>
    <d v="2008-06-17T00:00:00"/>
    <s v="09"/>
    <n v="19.829999999999998"/>
    <m/>
    <x v="14"/>
  </r>
  <r>
    <s v="WQJUL08"/>
    <d v="2008-07-03T00:00:00"/>
    <s v="09"/>
    <n v="18.53"/>
    <n v="15.11"/>
    <x v="14"/>
  </r>
  <r>
    <s v="HYJUL08"/>
    <d v="2008-07-22T00:00:00"/>
    <s v="09"/>
    <n v="21.66"/>
    <n v="19.41"/>
    <x v="14"/>
  </r>
  <r>
    <s v="WQAUG08"/>
    <d v="2008-08-05T00:00:00"/>
    <s v="09"/>
    <n v="22.02"/>
    <n v="20.92"/>
    <x v="14"/>
  </r>
  <r>
    <s v="HYAUG08"/>
    <d v="2008-08-20T00:00:00"/>
    <s v="09"/>
    <n v="21.7"/>
    <n v="21.69"/>
    <x v="14"/>
  </r>
  <r>
    <s v="WQSEP08"/>
    <d v="2008-09-03T00:00:00"/>
    <s v="09"/>
    <n v="22.76"/>
    <n v="22.76"/>
    <x v="14"/>
  </r>
  <r>
    <s v="HYSEP08"/>
    <d v="2008-09-16T00:00:00"/>
    <s v="09"/>
    <n v="21.84"/>
    <n v="21.87"/>
    <x v="14"/>
  </r>
  <r>
    <s v="WQOCT08"/>
    <d v="2008-10-07T00:00:00"/>
    <s v="09"/>
    <n v="17.600000000000001"/>
    <n v="17.63"/>
    <x v="14"/>
  </r>
  <r>
    <s v="WQNOV08"/>
    <d v="2008-11-07T00:00:00"/>
    <s v="09"/>
    <n v="13.75"/>
    <n v="13.89"/>
    <x v="14"/>
  </r>
  <r>
    <s v="WQDEC08"/>
    <d v="2008-12-17T00:00:00"/>
    <s v="09"/>
    <n v="6.43"/>
    <n v="6.56"/>
    <x v="14"/>
  </r>
  <r>
    <s v="WQJAN09"/>
    <d v="2009-01-12T00:00:00"/>
    <s v="09"/>
    <n v="2.5"/>
    <n v="2.54"/>
    <x v="15"/>
  </r>
  <r>
    <s v="WQFEB09"/>
    <d v="2009-02-04T00:00:00"/>
    <s v="09"/>
    <n v="0.61"/>
    <n v="0.69"/>
    <x v="15"/>
  </r>
  <r>
    <s v="WQMAR09"/>
    <d v="2009-03-05T00:00:00"/>
    <s v="09"/>
    <n v="0.96"/>
    <n v="0.94"/>
    <x v="15"/>
  </r>
  <r>
    <s v="WQAPR09"/>
    <d v="2009-04-01T00:00:00"/>
    <s v="09"/>
    <n v="4.87"/>
    <n v="4.79"/>
    <x v="15"/>
  </r>
  <r>
    <s v="WQMAY09"/>
    <d v="2009-05-04T00:00:00"/>
    <s v="09"/>
    <n v="10.51"/>
    <n v="10.25"/>
    <x v="15"/>
  </r>
  <r>
    <s v="WQJUN09"/>
    <d v="2009-06-08T00:00:00"/>
    <s v="09"/>
    <n v="16.09"/>
    <n v="13.44"/>
    <x v="15"/>
  </r>
  <r>
    <s v="HYJUN09"/>
    <d v="2009-06-23T00:00:00"/>
    <s v="09"/>
    <n v="17.16"/>
    <n v="16.899999999999999"/>
    <x v="15"/>
  </r>
  <r>
    <s v="WQJUL09"/>
    <d v="2009-07-08T00:00:00"/>
    <s v="09"/>
    <n v="20.11"/>
    <n v="18.52"/>
    <x v="15"/>
  </r>
  <r>
    <s v="HYJUL09"/>
    <d v="2009-07-22T00:00:00"/>
    <s v="09"/>
    <n v="21.06"/>
    <n v="20.52"/>
    <x v="15"/>
  </r>
  <r>
    <s v="WQAUG09"/>
    <d v="2009-08-05T00:00:00"/>
    <s v="09"/>
    <n v="21.67"/>
    <n v="18.600000000000001"/>
    <x v="15"/>
  </r>
  <r>
    <s v="HYAUG09"/>
    <d v="2009-08-18T00:00:00"/>
    <s v="09"/>
    <n v="23.22"/>
    <n v="22.42"/>
    <x v="15"/>
  </r>
  <r>
    <s v="WQSEP09"/>
    <d v="2009-09-02T00:00:00"/>
    <s v="09"/>
    <n v="21.67"/>
    <n v="21.67"/>
    <x v="15"/>
  </r>
  <r>
    <s v="WQOCT09"/>
    <d v="2009-10-06T00:00:00"/>
    <s v="09"/>
    <n v="17.97"/>
    <n v="17.97"/>
    <x v="15"/>
  </r>
  <r>
    <s v="WQNOV09"/>
    <d v="2009-11-04T00:00:00"/>
    <s v="09"/>
    <n v="13.45"/>
    <n v="14.26"/>
    <x v="15"/>
  </r>
  <r>
    <s v="WQDEC09"/>
    <d v="2009-12-02T00:00:00"/>
    <s v="09"/>
    <n v="10.220000000000001"/>
    <n v="10.7"/>
    <x v="15"/>
  </r>
  <r>
    <s v="WQJAN10"/>
    <d v="2010-01-12T00:00:00"/>
    <s v="09"/>
    <n v="1.68"/>
    <n v="2.2799999999999998"/>
    <x v="16"/>
  </r>
  <r>
    <s v="WQFEB10"/>
    <d v="2010-02-08T00:00:00"/>
    <s v="09"/>
    <n v="0.72"/>
    <n v="0.85"/>
    <x v="16"/>
  </r>
  <r>
    <s v="WQMAR10"/>
    <d v="2010-03-02T00:00:00"/>
    <s v="09"/>
    <n v="2.0299999999999998"/>
    <n v="1.97"/>
    <x v="16"/>
  </r>
  <r>
    <s v="WQAPR10"/>
    <d v="2010-03-31T00:00:00"/>
    <s v="09"/>
    <n v="5.69"/>
    <n v="5.52"/>
    <x v="16"/>
  </r>
  <r>
    <s v="WQMAY10"/>
    <d v="2010-05-04T00:00:00"/>
    <s v="09"/>
    <n v="12.06"/>
    <n v="9.57"/>
    <x v="16"/>
  </r>
  <r>
    <s v="WQJUN10"/>
    <d v="2010-05-27T00:00:00"/>
    <s v="09"/>
    <n v="14.84"/>
    <n v="13.53"/>
    <x v="16"/>
  </r>
  <r>
    <s v="HYJUN10"/>
    <d v="2010-06-18T00:00:00"/>
    <s v="09"/>
    <n v="16.61"/>
    <n v="15.83"/>
    <x v="16"/>
  </r>
  <r>
    <s v="WQJUL10"/>
    <d v="2010-07-08T00:00:00"/>
    <s v="09"/>
    <n v="23.2"/>
    <n v="20.309999999999999"/>
    <x v="16"/>
  </r>
  <r>
    <s v="HYJUL10"/>
    <d v="2010-07-23T00:00:00"/>
    <s v="09"/>
    <n v="20.94"/>
    <n v="20.07"/>
    <x v="16"/>
  </r>
  <r>
    <s v="WQAUG10"/>
    <d v="2010-08-03T00:00:00"/>
    <s v="09"/>
    <n v="22.62"/>
    <n v="21.91"/>
    <x v="16"/>
  </r>
  <r>
    <s v="HYAUG10"/>
    <d v="2010-08-17T00:00:00"/>
    <s v="09"/>
    <n v="23.45"/>
    <n v="22.9"/>
    <x v="16"/>
  </r>
  <r>
    <s v="WQSEP10"/>
    <d v="2010-08-31T00:00:00"/>
    <s v="09"/>
    <n v="23.12"/>
    <n v="23.1"/>
    <x v="16"/>
  </r>
  <r>
    <s v="WQOCT10"/>
    <d v="2010-10-12T00:00:00"/>
    <s v="09"/>
    <n v="17.670000000000002"/>
    <n v="17.670000000000002"/>
    <x v="16"/>
  </r>
  <r>
    <s v="WQNOV10"/>
    <d v="2010-11-01T00:00:00"/>
    <s v="09"/>
    <n v="14.24"/>
    <n v="14.13"/>
    <x v="16"/>
  </r>
  <r>
    <s v="WQDEC10"/>
    <d v="2010-12-02T00:00:00"/>
    <s v="09"/>
    <n v="9.1999999999999993"/>
    <n v="9.26"/>
    <x v="16"/>
  </r>
  <r>
    <s v="WQJAN11"/>
    <d v="2011-01-14T00:00:00"/>
    <s v="09"/>
    <n v="0.78"/>
    <n v="0.78"/>
    <x v="17"/>
  </r>
  <r>
    <s v="WQFEB11"/>
    <d v="2011-02-10T00:00:00"/>
    <s v="09"/>
    <n v="0.48"/>
    <n v="0.51"/>
    <x v="17"/>
  </r>
  <r>
    <s v="WQMAR11"/>
    <d v="2011-03-08T00:00:00"/>
    <s v="09"/>
    <n v="2.0099999999999998"/>
    <n v="2.06"/>
    <x v="17"/>
  </r>
  <r>
    <s v="WQAPR11"/>
    <d v="2011-04-14T00:00:00"/>
    <s v="09"/>
    <n v="5.86"/>
    <n v="5.32"/>
    <x v="17"/>
  </r>
  <r>
    <s v="WQMAY11"/>
    <d v="2011-05-03T00:00:00"/>
    <s v="09"/>
    <n v="10.56"/>
    <n v="8.2100000000000009"/>
    <x v="17"/>
  </r>
  <r>
    <s v="WQJUN11"/>
    <d v="2011-06-01T00:00:00"/>
    <s v="09"/>
    <n v="18.82"/>
    <n v="12.28"/>
    <x v="17"/>
  </r>
  <r>
    <s v="HYJUN11"/>
    <d v="2011-06-16T00:00:00"/>
    <s v="09"/>
    <n v="17.989999999999998"/>
    <n v="17.62"/>
    <x v="17"/>
  </r>
  <r>
    <s v="WQJUL11"/>
    <d v="2011-07-06T00:00:00"/>
    <s v="09"/>
    <n v="18.52"/>
    <n v="17.55"/>
    <x v="17"/>
  </r>
  <r>
    <s v="HYJUL11"/>
    <d v="2011-07-18T00:00:00"/>
    <s v="09"/>
    <n v="19.66"/>
    <n v="18.329999999999998"/>
    <x v="17"/>
  </r>
  <r>
    <s v="WQAUG11"/>
    <d v="2011-08-03T00:00:00"/>
    <s v="09"/>
    <n v="21.57"/>
    <n v="20.91"/>
    <x v="17"/>
  </r>
  <r>
    <s v="HYAUG11"/>
    <d v="2011-08-15T00:00:00"/>
    <s v="09"/>
    <n v="22.56"/>
    <n v="22.51"/>
    <x v="17"/>
  </r>
  <r>
    <s v="WQSEP11"/>
    <d v="2011-08-31T00:00:00"/>
    <s v="09"/>
    <n v="22.53"/>
    <n v="22.32"/>
    <x v="17"/>
  </r>
  <r>
    <s v="WQOCT11"/>
    <d v="2011-10-06T00:00:00"/>
    <s v="09"/>
    <n v="19.73"/>
    <n v="19.73"/>
    <x v="17"/>
  </r>
  <r>
    <s v="WQNOV11"/>
    <d v="2011-11-09T00:00:00"/>
    <s v="09"/>
    <n v="13.6"/>
    <n v="14.19"/>
    <x v="17"/>
  </r>
  <r>
    <s v="WQDEC11"/>
    <d v="2011-11-29T00:00:00"/>
    <s v="09"/>
    <n v="11.63"/>
    <n v="11.62"/>
    <x v="17"/>
  </r>
  <r>
    <s v="WQJAN12"/>
    <d v="2012-01-09T00:00:00"/>
    <s v="09"/>
    <n v="5.96"/>
    <n v="6.26"/>
    <x v="18"/>
  </r>
  <r>
    <s v="WQFEB12"/>
    <d v="2012-02-02T00:00:00"/>
    <s v="09"/>
    <n v="4.71"/>
    <n v="4.78"/>
    <x v="18"/>
  </r>
  <r>
    <s v="WQMAR12"/>
    <d v="2012-03-05T00:00:00"/>
    <s v="09"/>
    <n v="4.46"/>
    <n v="4.58"/>
    <x v="18"/>
  </r>
  <r>
    <s v="WQAPR12"/>
    <d v="2012-04-05T00:00:00"/>
    <s v="09"/>
    <n v="7.76"/>
    <m/>
    <x v="18"/>
  </r>
  <r>
    <s v="WQMAY12"/>
    <d v="2012-05-02T00:00:00"/>
    <s v="09"/>
    <n v="10.73"/>
    <n v="10.68"/>
    <x v="18"/>
  </r>
  <r>
    <s v="WQJUN12"/>
    <d v="2012-05-30T00:00:00"/>
    <s v="09"/>
    <n v="18.79"/>
    <n v="15.94"/>
    <x v="18"/>
  </r>
  <r>
    <s v="HYJUN12"/>
    <d v="2012-06-12T00:00:00"/>
    <s v="09"/>
    <n v="19.420000000000002"/>
    <n v="18.07"/>
    <x v="18"/>
  </r>
  <r>
    <s v="WQJUL12"/>
    <d v="2012-06-27T00:00:00"/>
    <s v="09"/>
    <n v="18.09"/>
    <n v="17.54"/>
    <x v="18"/>
  </r>
  <r>
    <s v="HYJUL12"/>
    <d v="2012-07-16T00:00:00"/>
    <s v="09"/>
    <n v="19.77"/>
    <n v="18.55"/>
    <x v="18"/>
  </r>
  <r>
    <s v="WQAUG12"/>
    <d v="2012-08-01T00:00:00"/>
    <s v="09"/>
    <n v="23.05"/>
    <n v="21.83"/>
    <x v="18"/>
  </r>
  <r>
    <s v="HYAUG12"/>
    <d v="2012-08-16T00:00:00"/>
    <s v="09"/>
    <n v="23.54"/>
    <n v="22.54"/>
    <x v="18"/>
  </r>
  <r>
    <s v="WQSEP12"/>
    <d v="2012-08-29T00:00:00"/>
    <s v="09"/>
    <n v="23.83"/>
    <n v="23.1"/>
    <x v="18"/>
  </r>
  <r>
    <s v="HYSEP12"/>
    <d v="2012-09-17T00:00:00"/>
    <s v="09"/>
    <n v="22.6"/>
    <n v="22.52"/>
    <x v="18"/>
  </r>
  <r>
    <s v="WQOCT12"/>
    <d v="2012-10-03T00:00:00"/>
    <s v="09"/>
    <n v="19.420000000000002"/>
    <n v="19.420000000000002"/>
    <x v="18"/>
  </r>
  <r>
    <s v="WQNOV12"/>
    <d v="2012-11-14T00:00:00"/>
    <s v="09"/>
    <n v="12.03"/>
    <n v="12"/>
    <x v="18"/>
  </r>
  <r>
    <s v="WQDEC12"/>
    <d v="2012-12-04T00:00:00"/>
    <s v="09"/>
    <n v="7.43"/>
    <n v="7.45"/>
    <x v="18"/>
  </r>
  <r>
    <s v="WQJAN13"/>
    <d v="2013-01-10T00:00:00"/>
    <s v="09"/>
    <n v="4.84"/>
    <n v="4.9400000000000004"/>
    <x v="19"/>
  </r>
  <r>
    <s v="WQFEB13"/>
    <d v="2013-01-30T00:00:00"/>
    <s v="09"/>
    <n v="1.9"/>
    <n v="1.92"/>
    <x v="19"/>
  </r>
  <r>
    <s v="WQMAR13"/>
    <d v="2013-03-11T00:00:00"/>
    <s v="09"/>
    <n v="3.05"/>
    <n v="2.76"/>
    <x v="19"/>
  </r>
  <r>
    <s v="WQAPR13"/>
    <d v="2013-04-04T00:00:00"/>
    <s v="09"/>
    <n v="4.42"/>
    <n v="4.09"/>
    <x v="19"/>
  </r>
  <r>
    <s v="WQMAY13"/>
    <d v="2013-05-01T00:00:00"/>
    <s v="09"/>
    <n v="10.8"/>
    <n v="9.9700000000000006"/>
    <x v="19"/>
  </r>
  <r>
    <s v="WQJUN13"/>
    <d v="2013-06-05T00:00:00"/>
    <s v="09"/>
    <n v="15.95"/>
    <n v="12.3"/>
    <x v="19"/>
  </r>
  <r>
    <s v="HYJUN13"/>
    <d v="2013-06-21T00:00:00"/>
    <s v="09"/>
    <n v="19.760000000000002"/>
    <n v="17.61"/>
    <x v="19"/>
  </r>
  <r>
    <s v="WQJUL13"/>
    <d v="2013-07-02T00:00:00"/>
    <s v="09"/>
    <n v="20.420000000000002"/>
    <n v="18.3"/>
    <x v="19"/>
  </r>
  <r>
    <s v="HYJUL13"/>
    <d v="2013-07-15T00:00:00"/>
    <s v="09"/>
    <n v="22.68"/>
    <n v="20.88"/>
    <x v="19"/>
  </r>
  <r>
    <s v="WQAUG13"/>
    <d v="2013-07-31T00:00:00"/>
    <s v="09"/>
    <n v="22.61"/>
    <n v="22.15"/>
    <x v="19"/>
  </r>
  <r>
    <s v="HYAUG13"/>
    <d v="2013-08-12T00:00:00"/>
    <s v="09"/>
    <n v="22.08"/>
    <n v="21.81"/>
    <x v="19"/>
  </r>
  <r>
    <s v="WQSEP13"/>
    <d v="2013-08-28T00:00:00"/>
    <s v="09"/>
    <n v="22.57"/>
    <n v="22.15"/>
    <x v="19"/>
  </r>
  <r>
    <s v="HYSEP13"/>
    <d v="2013-09-09T00:00:00"/>
    <s v="09"/>
    <n v="21.44"/>
    <n v="21.44"/>
    <x v="19"/>
  </r>
  <r>
    <s v="WQOCT13"/>
    <d v="2013-10-02T00:00:00"/>
    <s v="09"/>
    <n v="19.84"/>
    <n v="19.84"/>
    <x v="19"/>
  </r>
  <r>
    <s v="WQNOV13"/>
    <d v="2013-11-05T00:00:00"/>
    <s v="09"/>
    <n v="13.77"/>
    <n v="13.76"/>
    <x v="19"/>
  </r>
  <r>
    <s v="WQDEC13"/>
    <d v="2013-12-03T00:00:00"/>
    <s v="09"/>
    <n v="7.91"/>
    <n v="7.96"/>
    <x v="19"/>
  </r>
  <r>
    <s v="WQJAN14"/>
    <d v="2014-01-09T00:00:00"/>
    <s v="09"/>
    <n v="0.67"/>
    <n v="0.66"/>
    <x v="20"/>
  </r>
  <r>
    <s v="WQFEB14"/>
    <d v="2014-02-06T00:00:00"/>
    <s v="09"/>
    <n v="-0.08"/>
    <n v="0.11"/>
    <x v="20"/>
  </r>
  <r>
    <s v="WQMAR14"/>
    <d v="2014-03-05T00:00:00"/>
    <s v="09"/>
    <n v="-0.49"/>
    <n v="-0.49"/>
    <x v="20"/>
  </r>
  <r>
    <s v="WQAPR14"/>
    <d v="2014-04-02T00:00:00"/>
    <s v="09"/>
    <n v="3.33"/>
    <n v="2.87"/>
    <x v="20"/>
  </r>
  <r>
    <s v="WQMAY14"/>
    <d v="2014-05-07T00:00:00"/>
    <s v="09"/>
    <n v="8.69"/>
    <n v="8.32"/>
    <x v="20"/>
  </r>
  <r>
    <s v="WQJUN14"/>
    <d v="2014-06-03T00:00:00"/>
    <s v="09"/>
    <n v="15.82"/>
    <n v="14.43"/>
    <x v="20"/>
  </r>
  <r>
    <s v="HYJUN14"/>
    <d v="2014-06-19T00:00:00"/>
    <s v="09"/>
    <n v="18.32"/>
    <n v="16.45"/>
    <x v="20"/>
  </r>
  <r>
    <s v="WQJUL14"/>
    <d v="2014-07-02T00:00:00"/>
    <s v="09"/>
    <n v="20.3"/>
    <n v="17.329999999999998"/>
    <x v="20"/>
  </r>
  <r>
    <s v="HYJUL14"/>
    <d v="2014-07-14T00:00:00"/>
    <s v="09"/>
    <n v="19.600000000000001"/>
    <n v="17.850000000000001"/>
    <x v="20"/>
  </r>
  <r>
    <s v="WQAUG14"/>
    <d v="2014-08-06T00:00:00"/>
    <s v="09"/>
    <n v="22.87"/>
    <n v="22.62"/>
    <x v="20"/>
  </r>
  <r>
    <s v="HYAUG14"/>
    <d v="2014-08-19T00:00:00"/>
    <s v="09"/>
    <n v="21.72"/>
    <n v="21.66"/>
    <x v="20"/>
  </r>
  <r>
    <s v="WQSEP14"/>
    <d v="2014-09-02T00:00:00"/>
    <s v="09"/>
    <n v="23.17"/>
    <n v="22.67"/>
    <x v="20"/>
  </r>
  <r>
    <s v="HYSEP14"/>
    <d v="2014-09-15T00:00:00"/>
    <s v="09"/>
    <n v="21.43"/>
    <n v="21.22"/>
    <x v="20"/>
  </r>
  <r>
    <s v="WQOCT14"/>
    <d v="2014-10-01T00:00:00"/>
    <s v="09"/>
    <n v="20.22"/>
    <n v="20.239999999999998"/>
    <x v="20"/>
  </r>
  <r>
    <s v="WQNOV14"/>
    <d v="2014-11-10T00:00:00"/>
    <s v="09"/>
    <n v="11.75"/>
    <n v="11.77"/>
    <x v="20"/>
  </r>
  <r>
    <s v="WQDEC14"/>
    <d v="2014-12-10T00:00:00"/>
    <s v="09"/>
    <n v="7.22"/>
    <n v="7.27"/>
    <x v="20"/>
  </r>
  <r>
    <s v="WQJAN15"/>
    <d v="2015-01-14T00:00:00"/>
    <s v="09"/>
    <n v="1.6"/>
    <n v="1.83"/>
    <x v="21"/>
  </r>
  <r>
    <s v="WQFEB15"/>
    <d v="2015-02-10T00:00:00"/>
    <s v="09"/>
    <n v="7.0000000000000007E-2"/>
    <n v="0.06"/>
    <x v="21"/>
  </r>
  <r>
    <s v="WQMAR15"/>
    <d v="2015-03-10T00:00:00"/>
    <s v="09"/>
    <n v="-0.38"/>
    <n v="-0.39"/>
    <x v="21"/>
  </r>
  <r>
    <s v="WQAPR15"/>
    <d v="2015-04-01T00:00:00"/>
    <s v="09"/>
    <n v="1.1499999999999999"/>
    <n v="0.9"/>
    <x v="21"/>
  </r>
  <r>
    <s v="WQMAY15"/>
    <d v="2015-05-01T00:00:00"/>
    <s v="09"/>
    <n v="7.42"/>
    <n v="7.41"/>
    <x v="21"/>
  </r>
  <r>
    <s v="WQJUN15"/>
    <d v="2015-05-29T00:00:00"/>
    <s v="09"/>
    <n v="15.51"/>
    <n v="10.029999999999999"/>
    <x v="21"/>
  </r>
  <r>
    <s v="HYJUN15"/>
    <d v="2015-06-18T00:00:00"/>
    <s v="09"/>
    <n v="17.940000000000001"/>
    <n v="15.83"/>
    <x v="21"/>
  </r>
  <r>
    <s v="WQJUL15"/>
    <d v="2015-07-07T00:00:00"/>
    <s v="09"/>
    <n v="20.99"/>
    <n v="19.829999999999998"/>
    <x v="21"/>
  </r>
  <r>
    <s v="HYJUL15"/>
    <d v="2015-07-20T00:00:00"/>
    <s v="09"/>
    <n v="21.38"/>
    <n v="20.38"/>
    <x v="21"/>
  </r>
  <r>
    <s v="WQAUG15"/>
    <d v="2015-08-04T00:00:00"/>
    <s v="09"/>
    <n v="21.84"/>
    <n v="20.88"/>
    <x v="21"/>
  </r>
  <r>
    <s v="HYAUG15"/>
    <d v="2015-08-17T00:00:00"/>
    <s v="09"/>
    <n v="23.75"/>
    <n v="22.66"/>
    <x v="21"/>
  </r>
  <r>
    <s v="WQSEP15"/>
    <d v="2015-09-01T00:00:00"/>
    <s v="09"/>
    <n v="23.6"/>
    <n v="23.36"/>
    <x v="21"/>
  </r>
  <r>
    <s v="HYSEP15"/>
    <d v="2015-09-16T00:00:00"/>
    <s v="09"/>
    <n v="22.47"/>
    <n v="22.43"/>
    <x v="21"/>
  </r>
  <r>
    <s v="WQOCT15"/>
    <d v="2015-10-08T00:00:00"/>
    <s v="09"/>
    <n v="18.73"/>
    <n v="18.68"/>
    <x v="21"/>
  </r>
  <r>
    <s v="WQNOV15"/>
    <d v="2015-11-09T00:00:00"/>
    <s v="09"/>
    <n v="15.02"/>
    <n v="15.01"/>
    <x v="21"/>
  </r>
  <r>
    <s v="WQDEC15"/>
    <d v="2015-11-30T00:00:00"/>
    <s v="09"/>
    <n v="9.98"/>
    <n v="9.98"/>
    <x v="21"/>
  </r>
  <r>
    <s v="WQJAN16"/>
    <d v="2016-01-12T00:00:00"/>
    <s v="09"/>
    <n v="4.96"/>
    <n v="5.77"/>
    <x v="22"/>
  </r>
  <r>
    <s v="WQFEB16"/>
    <d v="2016-02-01T00:00:00"/>
    <s v="09"/>
    <n v="3.25"/>
    <n v="3.25"/>
    <x v="22"/>
  </r>
  <r>
    <s v="WQMAR16"/>
    <d v="2016-03-08T00:00:00"/>
    <s v="09"/>
    <n v="3.86"/>
    <n v="3.34"/>
    <x v="22"/>
  </r>
  <r>
    <s v="WQAPR16"/>
    <d v="2016-04-04T00:00:00"/>
    <s v="09"/>
    <n v="6.53"/>
    <n v="6.5"/>
    <x v="22"/>
  </r>
  <r>
    <s v="WQMAY16"/>
    <d v="2016-05-12T00:00:00"/>
    <s v="09"/>
    <n v="11.43"/>
    <n v="10.93"/>
    <x v="22"/>
  </r>
  <r>
    <s v="WQJUN16"/>
    <d v="2016-06-10T00:00:00"/>
    <s v="09"/>
    <n v="13.87"/>
    <n v="13.84"/>
    <x v="22"/>
  </r>
  <r>
    <s v="HYJUN16"/>
    <d v="2016-06-20T00:00:00"/>
    <s v="09"/>
    <n v="18.5"/>
    <n v="16.27"/>
    <x v="22"/>
  </r>
  <r>
    <s v="WQJUL16"/>
    <d v="2016-07-06T00:00:00"/>
    <s v="09"/>
    <n v="18.16"/>
    <n v="17.829999999999998"/>
    <x v="22"/>
  </r>
  <r>
    <s v="HYJUL16"/>
    <d v="2016-07-19T00:00:00"/>
    <s v="09"/>
    <n v="20.97"/>
    <n v="18.43"/>
    <x v="22"/>
  </r>
  <r>
    <s v="WQAUG16"/>
    <d v="2016-08-04T00:00:00"/>
    <s v="09"/>
    <n v="23.71"/>
    <n v="23.08"/>
    <x v="22"/>
  </r>
  <r>
    <s v="HYAUG16"/>
    <d v="2016-08-18T00:00:00"/>
    <s v="09"/>
    <n v="22.34"/>
    <n v="21.71"/>
    <x v="22"/>
  </r>
  <r>
    <s v="WQSEP16"/>
    <d v="2016-08-30T00:00:00"/>
    <s v="09"/>
    <n v="24.15"/>
    <n v="23.43"/>
    <x v="22"/>
  </r>
  <r>
    <s v="HYSEP16"/>
    <d v="2016-09-13T00:00:00"/>
    <s v="09"/>
    <n v="23.54"/>
    <n v="23.52"/>
    <x v="22"/>
  </r>
  <r>
    <s v="WQOCT16"/>
    <d v="2016-10-04T00:00:00"/>
    <s v="09"/>
    <n v="19.22"/>
    <n v="19.239999999999998"/>
    <x v="22"/>
  </r>
  <r>
    <s v="WQNOV16"/>
    <d v="2016-11-09T00:00:00"/>
    <s v="09"/>
    <n v="13.92"/>
    <n v="13.66"/>
    <x v="22"/>
  </r>
  <r>
    <s v="WQDEC16"/>
    <d v="2016-12-05T00:00:00"/>
    <s v="09"/>
    <n v="9"/>
    <n v="9.01"/>
    <x v="22"/>
  </r>
  <r>
    <s v="WQJAN17"/>
    <d v="2017-01-10T00:00:00"/>
    <s v="09"/>
    <n v="3.08"/>
    <n v="3.19"/>
    <x v="23"/>
  </r>
  <r>
    <s v="WQFEB17"/>
    <d v="2017-02-08T00:00:00"/>
    <s v="09"/>
    <n v="3.31"/>
    <n v="3.3"/>
    <x v="23"/>
  </r>
  <r>
    <s v="WQMAR17"/>
    <d v="2017-03-07T00:00:00"/>
    <s v="09"/>
    <n v="2.87"/>
    <n v="2.9"/>
    <x v="23"/>
  </r>
  <r>
    <s v="WQAPR17"/>
    <d v="2017-04-04T00:00:00"/>
    <s v="09"/>
    <n v="5.0599999999999996"/>
    <n v="5.0599999999999996"/>
    <x v="23"/>
  </r>
  <r>
    <s v="WQMAY17"/>
    <d v="2017-05-03T00:00:00"/>
    <s v="09"/>
    <n v="10.62"/>
    <n v="10.16"/>
    <x v="23"/>
  </r>
  <r>
    <s v="WQJUN17"/>
    <d v="2017-06-06T00:00:00"/>
    <s v="09"/>
    <n v="15.17"/>
    <n v="15.05"/>
    <x v="23"/>
  </r>
  <r>
    <s v="HYJUN17"/>
    <d v="2017-06-21T00:00:00"/>
    <s v="09"/>
    <n v="17.82"/>
    <n v="15.64"/>
    <x v="23"/>
  </r>
  <r>
    <s v="WQJUL17"/>
    <d v="2017-07-06T00:00:00"/>
    <s v="09"/>
    <n v="22.21"/>
    <n v="21.52"/>
    <x v="23"/>
  </r>
  <r>
    <s v="HYJUL17"/>
    <d v="2017-07-18T00:00:00"/>
    <s v="09"/>
    <n v="23.03"/>
    <n v="21.79"/>
    <x v="23"/>
  </r>
  <r>
    <s v="WQAUG17"/>
    <d v="2017-08-01T00:00:00"/>
    <s v="09"/>
    <n v="22.58"/>
    <n v="21.78"/>
    <x v="23"/>
  </r>
  <r>
    <s v="HYAUG17"/>
    <d v="2017-08-15T00:00:00"/>
    <s v="09"/>
    <n v="23.22"/>
    <n v="22.29"/>
    <x v="23"/>
  </r>
  <r>
    <s v="WQSEP17"/>
    <d v="2017-08-28T00:00:00"/>
    <s v="09"/>
    <n v="22.51"/>
    <n v="22.49"/>
    <x v="23"/>
  </r>
  <r>
    <s v="WQOCT17"/>
    <d v="2017-10-10T00:00:00"/>
    <s v="09"/>
    <n v="21.39"/>
    <n v="21.38"/>
    <x v="23"/>
  </r>
  <r>
    <s v="WQNOV17"/>
    <d v="2017-11-13T00:00:00"/>
    <s v="09"/>
    <n v="12.77"/>
    <n v="12.76"/>
    <x v="23"/>
  </r>
  <r>
    <s v="WQDEC17"/>
    <d v="2017-11-30T00:00:00"/>
    <s v="09"/>
    <n v="9.51"/>
    <n v="9.57"/>
    <x v="23"/>
  </r>
  <r>
    <s v="WQJAN18"/>
    <d v="2018-01-11T00:00:00"/>
    <s v="09"/>
    <n v="1.1299999999999999"/>
    <n v="1.1299999999999999"/>
    <x v="24"/>
  </r>
  <r>
    <s v="WQFEB18"/>
    <d v="2018-02-08T00:00:00"/>
    <s v="09"/>
    <n v="0.85"/>
    <n v="1.02"/>
    <x v="24"/>
  </r>
  <r>
    <s v="WQMAR18"/>
    <d v="2018-03-19T00:00:00"/>
    <s v="09"/>
    <n v="2.96"/>
    <n v="2.98"/>
    <x v="24"/>
  </r>
  <r>
    <s v="WQAPR18"/>
    <d v="2018-04-10T00:00:00"/>
    <s v="09"/>
    <n v="4.38"/>
    <n v="4.3600000000000003"/>
    <x v="24"/>
  </r>
  <r>
    <s v="WQMAY18"/>
    <d v="2018-05-02T00:00:00"/>
    <s v="09"/>
    <n v="8.1"/>
    <n v="7.2"/>
    <x v="24"/>
  </r>
  <r>
    <s v="WQJUN18"/>
    <d v="2018-06-05T00:00:00"/>
    <s v="09"/>
    <n v="15.8"/>
    <n v="15.67"/>
    <x v="24"/>
  </r>
  <r>
    <s v="HYJUN18"/>
    <d v="2018-06-12T00:00:00"/>
    <s v="09"/>
    <n v="17"/>
    <n v="16.420000000000002"/>
    <x v="24"/>
  </r>
  <r>
    <s v="WQJUL18"/>
    <d v="2018-07-05T00:00:00"/>
    <s v="09"/>
    <n v="20.9"/>
    <n v="17.77"/>
    <x v="24"/>
  </r>
  <r>
    <s v="HYJUL18"/>
    <d v="2018-07-16T00:00:00"/>
    <s v="09"/>
    <n v="19.78"/>
    <n v="19.059999999999999"/>
    <x v="24"/>
  </r>
  <r>
    <s v="WQAUG18"/>
    <d v="2018-08-01T00:00:00"/>
    <s v="09"/>
    <n v="24.1"/>
    <n v="23.34"/>
    <x v="24"/>
  </r>
  <r>
    <s v="HYAUG18"/>
    <d v="2018-08-15T00:00:00"/>
    <s v="09"/>
    <n v="23.71"/>
    <n v="22.82"/>
    <x v="24"/>
  </r>
  <r>
    <s v="WQSEP18"/>
    <d v="2018-08-27T00:00:00"/>
    <s v="09"/>
    <n v="23.31"/>
    <n v="22.86"/>
    <x v="24"/>
  </r>
  <r>
    <s v="HYSEP18"/>
    <d v="2018-09-12T00:00:00"/>
    <s v="09"/>
    <n v="21.74"/>
    <n v="21.73"/>
    <x v="24"/>
  </r>
  <r>
    <s v="WQOCT18"/>
    <d v="2018-10-03T00:00:00"/>
    <s v="09"/>
    <n v="20.96"/>
    <n v="21.12"/>
    <x v="24"/>
  </r>
  <r>
    <s v="WQNOV18"/>
    <d v="2018-11-06T00:00:00"/>
    <s v="09"/>
    <n v="13.96"/>
    <n v="14.14"/>
    <x v="24"/>
  </r>
  <r>
    <s v="WQDEC18"/>
    <d v="2018-12-03T00:00:00"/>
    <s v="09"/>
    <n v="8.41"/>
    <n v="8.61"/>
    <x v="24"/>
  </r>
  <r>
    <s v="WQJAN19"/>
    <d v="2019-01-03T00:00:00"/>
    <s v="09"/>
    <n v="5.61"/>
    <n v="5.65"/>
    <x v="25"/>
  </r>
  <r>
    <s v="WQFEB19"/>
    <d v="2019-02-07T00:00:00"/>
    <s v="09"/>
    <n v="2.2000000000000002"/>
    <n v="2.16"/>
    <x v="25"/>
  </r>
  <r>
    <s v="WQMAR19"/>
    <d v="2019-03-05T00:00:00"/>
    <s v="09"/>
    <n v="1.65"/>
    <n v="1.85"/>
    <x v="25"/>
  </r>
  <r>
    <s v="WQAPR19"/>
    <d v="2019-04-03T00:00:00"/>
    <s v="09"/>
    <n v="5.03"/>
    <n v="5"/>
    <x v="25"/>
  </r>
  <r>
    <s v="WQMAY19"/>
    <d v="2019-05-07T00:00:00"/>
    <s v="09"/>
    <n v="11.56"/>
    <n v="10.55"/>
    <x v="25"/>
  </r>
  <r>
    <s v="WQJUN19"/>
    <d v="2019-05-30T00:00:00"/>
    <s v="09"/>
    <n v="15.15"/>
    <n v="14.51"/>
    <x v="25"/>
  </r>
  <r>
    <s v="HYJUN19"/>
    <d v="2019-06-12T00:00:00"/>
    <s v="09"/>
    <n v="16.559999999999999"/>
    <n v="16.41"/>
    <x v="25"/>
  </r>
  <r>
    <s v="WQJUL19"/>
    <d v="2019-07-02T00:00:00"/>
    <s v="09"/>
    <n v="16.32"/>
    <n v="15.45"/>
    <x v="25"/>
  </r>
  <r>
    <s v="HYJUL19"/>
    <d v="2019-07-15T00:00:00"/>
    <s v="09"/>
    <n v="19.3"/>
    <n v="17.16"/>
    <x v="25"/>
  </r>
  <r>
    <s v="WQAUG19"/>
    <d v="2019-07-30T00:00:00"/>
    <s v="09"/>
    <n v="21.77"/>
    <n v="18.239999999999998"/>
    <x v="25"/>
  </r>
  <r>
    <s v="HYAUG19"/>
    <d v="2019-08-12T00:00:00"/>
    <s v="09"/>
    <n v="20.97"/>
    <n v="20.52"/>
    <x v="25"/>
  </r>
  <r>
    <s v="WQSEP19"/>
    <d v="2019-08-28T00:00:00"/>
    <s v="09"/>
    <n v="22.53"/>
    <n v="22.52"/>
    <x v="25"/>
  </r>
  <r>
    <s v="HYSEP19"/>
    <d v="2019-09-10T00:00:00"/>
    <s v="09"/>
    <n v="21.61"/>
    <n v="21.62"/>
    <x v="25"/>
  </r>
  <r>
    <s v="WQOCT19"/>
    <d v="2019-10-01T00:00:00"/>
    <s v="09"/>
    <n v="20.99"/>
    <n v="20.99"/>
    <x v="25"/>
  </r>
  <r>
    <s v="WQNOV19"/>
    <d v="2019-11-05T00:00:00"/>
    <s v="09"/>
    <n v="14.95"/>
    <n v="14.98"/>
    <x v="25"/>
  </r>
  <r>
    <s v="WQDEC19"/>
    <d v="2019-12-05T00:00:00"/>
    <s v="09"/>
    <n v="6.09"/>
    <n v="6.09"/>
    <x v="25"/>
  </r>
  <r>
    <s v="WQJAN20"/>
    <d v="2020-01-09T00:00:00"/>
    <s v="09"/>
    <n v="4.26"/>
    <n v="4.3899999999999997"/>
    <x v="26"/>
  </r>
  <r>
    <s v="WQFEB20"/>
    <d v="2020-02-03T00:00:00"/>
    <s v="09"/>
    <m/>
    <m/>
    <x v="26"/>
  </r>
  <r>
    <s v="WQMAR20"/>
    <d v="2020-03-10T00:00:00"/>
    <s v="09"/>
    <n v="4.82"/>
    <n v="4.6399999999999997"/>
    <x v="26"/>
  </r>
  <r>
    <s v="WQJUN20"/>
    <d v="2020-06-17T00:00:00"/>
    <s v="09"/>
    <n v="17.920000000000002"/>
    <n v="17.45"/>
    <x v="26"/>
  </r>
  <r>
    <s v="WQJUL20"/>
    <d v="2020-07-07T00:00:00"/>
    <s v="09"/>
    <n v="21.72"/>
    <n v="18.829999999999998"/>
    <x v="26"/>
  </r>
  <r>
    <s v="HYJUL20"/>
    <d v="2020-07-20T00:00:00"/>
    <s v="09"/>
    <n v="22.53"/>
    <n v="18.45"/>
    <x v="26"/>
  </r>
  <r>
    <s v="WQAUG20"/>
    <d v="2020-08-03T00:00:00"/>
    <s v="09"/>
    <n v="25.52"/>
    <n v="19.7"/>
    <x v="26"/>
  </r>
  <r>
    <s v="HYAUG20"/>
    <d v="2020-09-01T00:00:00"/>
    <s v="09"/>
    <n v="23.1"/>
    <n v="23.09"/>
    <x v="26"/>
  </r>
  <r>
    <s v="WQSEP20"/>
    <d v="2020-09-09T00:00:00"/>
    <s v="09"/>
    <n v="23.55"/>
    <n v="23.5"/>
    <x v="26"/>
  </r>
  <r>
    <s v="WQOCT20"/>
    <d v="2020-10-14T00:00:00"/>
    <s v="09"/>
    <n v="17.600000000000001"/>
    <n v="17.579999999999998"/>
    <x v="26"/>
  </r>
  <r>
    <s v="WQNOV20"/>
    <d v="2020-11-04T00:00:00"/>
    <s v="09"/>
    <n v="12.28"/>
    <n v="12.63"/>
    <x v="26"/>
  </r>
  <r>
    <s v="WQMAR21"/>
    <d v="2021-03-10T00:00:00"/>
    <s v="09"/>
    <n v="2.7"/>
    <n v="2.37"/>
    <x v="27"/>
  </r>
  <r>
    <s v="WQAPR21"/>
    <d v="2021-04-07T00:00:00"/>
    <s v="09"/>
    <n v="6.13"/>
    <n v="5.38"/>
    <x v="27"/>
  </r>
  <r>
    <s v="WQMAY21"/>
    <d v="2021-05-05T00:00:00"/>
    <s v="09"/>
    <n v="10.29"/>
    <n v="9.9700000000000006"/>
    <x v="27"/>
  </r>
  <r>
    <s v="WQJUN21"/>
    <d v="2021-06-08T00:00:00"/>
    <s v="09"/>
    <n v="13.84"/>
    <n v="12.7"/>
    <x v="27"/>
  </r>
  <r>
    <s v="HYJUN21"/>
    <d v="2021-06-22T00:00:00"/>
    <s v="09"/>
    <m/>
    <n v="16.079999999999998"/>
    <x v="27"/>
  </r>
  <r>
    <s v="WQJUL21"/>
    <d v="2021-07-08T00:00:00"/>
    <s v="09"/>
    <n v="21.52"/>
    <n v="17.89"/>
    <x v="27"/>
  </r>
  <r>
    <s v="HYJUL21"/>
    <d v="2021-07-19T00:00:00"/>
    <s v="09"/>
    <n v="22.73"/>
    <n v="19.97"/>
    <x v="27"/>
  </r>
  <r>
    <s v="WQAUG21"/>
    <d v="2021-08-03T00:00:00"/>
    <s v="09"/>
    <n v="22.32"/>
    <n v="21.58"/>
    <x v="27"/>
  </r>
  <r>
    <s v="HYAUG21"/>
    <d v="2021-08-16T00:00:00"/>
    <s v="09"/>
    <n v="23.06"/>
    <n v="22.48"/>
    <x v="27"/>
  </r>
  <r>
    <s v="WQSEP21"/>
    <d v="2021-08-31T00:00:00"/>
    <s v="09"/>
    <n v="23.88"/>
    <n v="23.2"/>
    <x v="27"/>
  </r>
  <r>
    <s v="HYSEP21"/>
    <d v="2021-09-13T00:00:00"/>
    <s v="09"/>
    <n v="22.62"/>
    <n v="22.56"/>
    <x v="27"/>
  </r>
  <r>
    <s v="WQOCT21"/>
    <d v="2021-10-05T00:00:00"/>
    <s v="09"/>
    <n v="20.9"/>
    <n v="20.9"/>
    <x v="27"/>
  </r>
  <r>
    <s v="WQNOV21"/>
    <d v="2021-11-08T00:00:00"/>
    <s v="09"/>
    <n v="13.67"/>
    <n v="13.69"/>
    <x v="27"/>
  </r>
  <r>
    <s v="WQDEC21"/>
    <d v="2021-12-07T00:00:00"/>
    <s v="09"/>
    <n v="8.4600000000000009"/>
    <n v="8.49"/>
    <x v="27"/>
  </r>
  <r>
    <s v="WQFEB22"/>
    <d v="2022-02-02T00:00:00"/>
    <s v="09"/>
    <n v="1.5"/>
    <n v="1.49"/>
    <x v="28"/>
  </r>
  <r>
    <s v="CHFEB22"/>
    <d v="2022-02-15T00:00:00"/>
    <s v="09"/>
    <n v="1.98"/>
    <n v="2.27"/>
    <x v="28"/>
  </r>
  <r>
    <s v="WQMAR22"/>
    <d v="2022-03-03T00:00:00"/>
    <s v="09"/>
    <n v="2.97"/>
    <n v="2.88"/>
    <x v="28"/>
  </r>
  <r>
    <s v="WQAPR22"/>
    <d v="2022-04-05T00:00:00"/>
    <s v="09"/>
    <n v="5.73"/>
    <n v="5.52"/>
    <x v="28"/>
  </r>
  <r>
    <s v="WQMAY22"/>
    <d v="2022-05-05T00:00:00"/>
    <s v="09"/>
    <n v="10.09"/>
    <n v="9.85"/>
    <x v="28"/>
  </r>
  <r>
    <s v="WQJUN22"/>
    <d v="2022-06-03T00:00:00"/>
    <s v="09"/>
    <n v="16.940000000000001"/>
    <n v="16.12"/>
    <x v="28"/>
  </r>
  <r>
    <s v="HYJUN22"/>
    <d v="2022-06-14T00:00:00"/>
    <s v="09"/>
    <n v="15.47"/>
    <n v="13.93"/>
    <x v="28"/>
  </r>
  <r>
    <s v="WQJUL22"/>
    <d v="2022-07-07T00:00:00"/>
    <s v="09"/>
    <n v="20.34"/>
    <n v="19.05"/>
    <x v="28"/>
  </r>
  <r>
    <s v="HYJUL22"/>
    <d v="2022-07-19T00:00:00"/>
    <s v="09"/>
    <n v="22.06"/>
    <n v="21.15"/>
    <x v="28"/>
  </r>
  <r>
    <s v="WQAUG22"/>
    <d v="2022-08-02T00:00:00"/>
    <s v="09"/>
    <n v="21.93"/>
    <n v="21.37"/>
    <x v="28"/>
  </r>
  <r>
    <s v="HYAUG22"/>
    <d v="2022-08-17T00:00:00"/>
    <s v="09"/>
    <n v="23.27"/>
    <n v="23.17"/>
    <x v="28"/>
  </r>
  <r>
    <s v="WQSEP22"/>
    <d v="2022-09-01T00:00:00"/>
    <s v="09"/>
    <n v="24.19"/>
    <n v="23.93"/>
    <x v="28"/>
  </r>
  <r>
    <s v="HYSEP22"/>
    <d v="2022-09-13T00:00:00"/>
    <s v="09"/>
    <n v="23.18"/>
    <n v="23.21"/>
    <x v="28"/>
  </r>
  <r>
    <s v="WQOCT22"/>
    <d v="2022-10-11T00:00:00"/>
    <s v="09"/>
    <n v="16.75"/>
    <n v="16.75"/>
    <x v="28"/>
  </r>
  <r>
    <s v="WQNOV22"/>
    <d v="2022-11-09T00:00:00"/>
    <s v="09"/>
    <n v="15.32"/>
    <n v="15.32"/>
    <x v="28"/>
  </r>
  <r>
    <s v="WQDEC22"/>
    <d v="2022-12-05T00:00:00"/>
    <s v="09"/>
    <n v="10.07"/>
    <n v="10.07"/>
    <x v="28"/>
  </r>
  <r>
    <s v="WQJAN23"/>
    <d v="2023-01-05T00:00:00"/>
    <s v="09"/>
    <n v="5.91"/>
    <n v="5.94"/>
    <x v="29"/>
  </r>
  <r>
    <s v="WQFEB23"/>
    <d v="2023-02-07T00:00:00"/>
    <s v="09"/>
    <n v="3.31"/>
    <n v="3.28"/>
    <x v="29"/>
  </r>
  <r>
    <s v="WQAPR23"/>
    <d v="2023-04-18T00:00:00"/>
    <s v="09"/>
    <n v="10.29"/>
    <n v="8.24"/>
    <x v="29"/>
  </r>
  <r>
    <s v="WQMAY23"/>
    <d v="2023-05-04T00:00:00"/>
    <s v="09"/>
    <n v="10.43"/>
    <n v="10.16"/>
    <x v="29"/>
  </r>
  <r>
    <s v="WQJUN23"/>
    <d v="2023-06-01T00:00:00"/>
    <s v="09"/>
    <n v="16.91"/>
    <n v="15.76"/>
    <x v="29"/>
  </r>
  <r>
    <s v="HYJUN23"/>
    <d v="2023-06-23T00:00:00"/>
    <s v="09"/>
    <n v="18.75"/>
    <n v="18.510000000000002"/>
    <x v="29"/>
  </r>
  <r>
    <s v="WQJUL23"/>
    <d v="2023-07-06T00:00:00"/>
    <s v="09"/>
    <n v="20.149999999999999"/>
    <n v="19.11"/>
    <x v="29"/>
  </r>
  <r>
    <s v="HYJUL23"/>
    <d v="2023-07-17T00:00:00"/>
    <s v="09"/>
    <n v="23.1"/>
    <n v="20.32"/>
    <x v="29"/>
  </r>
  <r>
    <s v="WQAUG23"/>
    <d v="2023-08-02T00:00:00"/>
    <s v="09"/>
    <n v="22.32"/>
    <n v="22.3"/>
    <x v="29"/>
  </r>
  <r>
    <s v="HYAUG23"/>
    <d v="2023-08-14T00:00:00"/>
    <s v="09"/>
    <n v="23.04"/>
    <n v="21.75"/>
    <x v="29"/>
  </r>
  <r>
    <s v="WQSEP23"/>
    <d v="2023-09-05T00:00:00"/>
    <s v="09"/>
    <n v="23.15"/>
    <n v="22.86"/>
    <x v="29"/>
  </r>
  <r>
    <s v="WQOCT23"/>
    <d v="2023-10-10T00:00:00"/>
    <s v="09"/>
    <n v="18.71"/>
    <n v="18.75"/>
    <x v="29"/>
  </r>
  <r>
    <s v="WQNOV23"/>
    <d v="2023-11-08T00:00:00"/>
    <s v="09"/>
    <n v="13.95"/>
    <n v="13.99"/>
    <x v="29"/>
  </r>
  <r>
    <s v="WQDEC23"/>
    <d v="2023-12-06T00:00:00"/>
    <s v="09"/>
    <n v="9.4499999999999993"/>
    <n v="9.5299999999999994"/>
    <x v="29"/>
  </r>
  <r>
    <s v="WQJAN24"/>
    <d v="2024-01-08T00:00:00"/>
    <s v="09"/>
    <n v="6.1"/>
    <n v="6.1"/>
    <x v="30"/>
  </r>
  <r>
    <s v="WQFEB24"/>
    <d v="2024-02-06T00:00:00"/>
    <s v="09"/>
    <n v="3.7"/>
    <n v="3.69"/>
    <x v="30"/>
  </r>
  <r>
    <s v="CHFEB24"/>
    <d v="2024-02-22T00:00:00"/>
    <s v="09"/>
    <n v="3.35"/>
    <n v="3.56"/>
    <x v="30"/>
  </r>
  <r>
    <s v="WQMAR24"/>
    <d v="2024-03-06T00:00:00"/>
    <s v="09"/>
    <n v="5.19"/>
    <n v="4.7699999999999996"/>
    <x v="30"/>
  </r>
  <r>
    <s v="CHMAR24"/>
    <d v="2024-03-18T00:00:00"/>
    <s v="09"/>
    <n v="6.37"/>
    <n v="5.77"/>
    <x v="30"/>
  </r>
  <r>
    <s v="WQAPR24"/>
    <d v="2024-04-08T00:00:00"/>
    <s v="09"/>
    <n v="6.47"/>
    <n v="6.41"/>
    <x v="30"/>
  </r>
  <r>
    <s v="WQMAY24"/>
    <d v="2024-05-03T00:00:00"/>
    <s v="09"/>
    <n v="12.22"/>
    <n v="12.16"/>
    <x v="30"/>
  </r>
  <r>
    <s v="WQJUN24"/>
    <d v="2024-06-04T00:00:00"/>
    <s v="09"/>
    <n v="16.84"/>
    <n v="12.9"/>
    <x v="30"/>
  </r>
  <r>
    <s v="HYJUN24"/>
    <d v="2024-06-17T00:00:00"/>
    <s v="09"/>
    <n v="18.190000000000001"/>
    <n v="13.62"/>
    <x v="30"/>
  </r>
  <r>
    <s v="WQJUL24"/>
    <d v="2024-07-02T00:00:00"/>
    <s v="09"/>
    <n v="18.54"/>
    <n v="17.78"/>
    <x v="30"/>
  </r>
  <r>
    <s v="HYJUL24"/>
    <d v="2024-07-16T00:00:00"/>
    <s v="09"/>
    <n v="20.53"/>
    <n v="17.96"/>
    <x v="30"/>
  </r>
  <r>
    <s v="WQAUG24"/>
    <d v="2024-07-31T00:00:00"/>
    <s v="09"/>
    <n v="23.12"/>
    <n v="22.05"/>
    <x v="30"/>
  </r>
  <r>
    <s v="HYAUG24"/>
    <d v="2024-08-12T00:00:00"/>
    <s v="09"/>
    <n v="22.62"/>
    <n v="22.26"/>
    <x v="30"/>
  </r>
  <r>
    <s v="WQSEP24"/>
    <d v="2024-08-27T00:00:00"/>
    <s v="09"/>
    <n v="23.14"/>
    <n v="22.57"/>
    <x v="30"/>
  </r>
  <r>
    <s v="WQOCT24"/>
    <d v="2024-10-03T00:00:00"/>
    <s v="09"/>
    <n v="19.87"/>
    <n v="19.87"/>
    <x v="30"/>
  </r>
  <r>
    <m/>
    <m/>
    <m/>
    <m/>
    <m/>
    <x v="3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9">
  <r>
    <s v="WQDEC94"/>
    <d v="1994-12-05T00:00:00"/>
    <s v="C1"/>
    <n v="9.3000000000000007"/>
    <n v="9.82"/>
    <x v="0"/>
  </r>
  <r>
    <s v="WQJAN95"/>
    <d v="1995-01-04T00:00:00"/>
    <s v="C1"/>
    <n v="5.49"/>
    <n v="5.59"/>
    <x v="1"/>
  </r>
  <r>
    <s v="WQFEB95"/>
    <d v="1995-02-08T00:00:00"/>
    <s v="C1"/>
    <n v="1.87"/>
    <n v="2.23"/>
    <x v="1"/>
  </r>
  <r>
    <s v="WQMAR95"/>
    <d v="1995-03-08T00:00:00"/>
    <s v="C1"/>
    <n v="2.1800000000000002"/>
    <n v="2.09"/>
    <x v="1"/>
  </r>
  <r>
    <s v="WQAPR95"/>
    <d v="1995-04-06T00:00:00"/>
    <s v="C1"/>
    <n v="4.88"/>
    <n v="4.78"/>
    <x v="1"/>
  </r>
  <r>
    <s v="WQMAY95"/>
    <d v="1995-05-10T00:00:00"/>
    <s v="C1"/>
    <n v="11.16"/>
    <n v="8.77"/>
    <x v="1"/>
  </r>
  <r>
    <s v="WQJUN95"/>
    <d v="1995-06-07T00:00:00"/>
    <s v="C1"/>
    <n v="16.14"/>
    <n v="11.41"/>
    <x v="1"/>
  </r>
  <r>
    <s v="WQJUL95"/>
    <d v="1995-07-06T00:00:00"/>
    <s v="C1"/>
    <n v="20.95"/>
    <n v="16.97"/>
    <x v="1"/>
  </r>
  <r>
    <s v="HYJUL95"/>
    <d v="1995-07-18T00:00:00"/>
    <s v="C1"/>
    <n v="21.6"/>
    <n v="17.435199999999998"/>
    <x v="1"/>
  </r>
  <r>
    <s v="WQAUG95"/>
    <d v="1995-08-04T00:00:00"/>
    <s v="C1"/>
    <n v="24.25"/>
    <n v="19.559999999999999"/>
    <x v="1"/>
  </r>
  <r>
    <s v="HYAUG95"/>
    <d v="1995-08-14T00:00:00"/>
    <s v="C1"/>
    <n v="24.37"/>
    <n v="21.89"/>
    <x v="1"/>
  </r>
  <r>
    <s v="WQSEP95"/>
    <d v="1995-09-05T00:00:00"/>
    <s v="C1"/>
    <n v="23.33"/>
    <n v="22.61"/>
    <x v="1"/>
  </r>
  <r>
    <s v="WQOCT95"/>
    <d v="1995-10-05T00:00:00"/>
    <s v="C1"/>
    <n v="19.600000000000001"/>
    <n v="19.48"/>
    <x v="1"/>
  </r>
  <r>
    <s v="WQNOV95"/>
    <d v="1995-11-13T00:00:00"/>
    <s v="C1"/>
    <n v="13.19"/>
    <n v="28.29"/>
    <x v="1"/>
  </r>
  <r>
    <s v="WQDEC95"/>
    <d v="1995-12-07T00:00:00"/>
    <s v="C1"/>
    <n v="8.07"/>
    <n v="8.1300000000000008"/>
    <x v="1"/>
  </r>
  <r>
    <s v="WQFEB96"/>
    <d v="1996-02-08T00:00:00"/>
    <s v="C1"/>
    <n v="-0.28999999999999998"/>
    <n v="0.16"/>
    <x v="2"/>
  </r>
  <r>
    <s v="WQMAR96"/>
    <d v="1996-03-05T00:00:00"/>
    <s v="C1"/>
    <n v="0.84"/>
    <n v="0.65"/>
    <x v="2"/>
  </r>
  <r>
    <s v="WQAPR96"/>
    <d v="1996-04-04T00:00:00"/>
    <s v="C1"/>
    <m/>
    <m/>
    <x v="2"/>
  </r>
  <r>
    <s v="WQMAY96"/>
    <d v="1996-05-14T00:00:00"/>
    <s v="C1"/>
    <n v="10.99"/>
    <n v="8.73"/>
    <x v="2"/>
  </r>
  <r>
    <s v="WQJUN96"/>
    <d v="1996-06-04T00:00:00"/>
    <s v="C1"/>
    <n v="13.49"/>
    <n v="11.39"/>
    <x v="2"/>
  </r>
  <r>
    <s v="HYJUN96"/>
    <d v="1996-06-26T00:00:00"/>
    <s v="C1"/>
    <n v="18.760000000000002"/>
    <n v="14.79"/>
    <x v="2"/>
  </r>
  <r>
    <s v="WQJUL96"/>
    <d v="1996-07-08T00:00:00"/>
    <s v="C1"/>
    <n v="19.64"/>
    <n v="15.01"/>
    <x v="2"/>
  </r>
  <r>
    <s v="HYJUL96"/>
    <d v="1996-07-24T00:00:00"/>
    <s v="C1"/>
    <n v="19.59"/>
    <n v="17.010000000000002"/>
    <x v="2"/>
  </r>
  <r>
    <s v="WQAUG96"/>
    <d v="1996-08-07T00:00:00"/>
    <s v="C1"/>
    <n v="23.3"/>
    <n v="19.62"/>
    <x v="2"/>
  </r>
  <r>
    <s v="HYAUG96"/>
    <d v="1996-08-21T00:00:00"/>
    <s v="C1"/>
    <n v="22.68"/>
    <n v="20.68"/>
    <x v="2"/>
  </r>
  <r>
    <s v="WQSEP96"/>
    <d v="1996-09-05T00:00:00"/>
    <s v="C1"/>
    <n v="23.86"/>
    <n v="21.16"/>
    <x v="2"/>
  </r>
  <r>
    <s v="HYSEP96"/>
    <d v="1996-09-20T00:00:00"/>
    <s v="C1"/>
    <n v="20.65"/>
    <m/>
    <x v="2"/>
  </r>
  <r>
    <s v="WQOCT96"/>
    <d v="1996-10-07T00:00:00"/>
    <s v="C1"/>
    <n v="18.64"/>
    <n v="18.34"/>
    <x v="2"/>
  </r>
  <r>
    <s v="WQNOV96"/>
    <d v="1996-11-06T00:00:00"/>
    <s v="C1"/>
    <n v="13.64"/>
    <n v="14.11"/>
    <x v="2"/>
  </r>
  <r>
    <s v="WQDEC96"/>
    <d v="1996-12-04T00:00:00"/>
    <s v="C1"/>
    <n v="8.4"/>
    <n v="8.84"/>
    <x v="2"/>
  </r>
  <r>
    <s v="WQFEB97"/>
    <d v="1997-02-03T00:00:00"/>
    <s v="C1"/>
    <n v="2.11"/>
    <n v="1.78"/>
    <x v="3"/>
  </r>
  <r>
    <s v="WQMAR97"/>
    <d v="1997-03-03T00:00:00"/>
    <s v="C1"/>
    <n v="3.44"/>
    <n v="2.81"/>
    <x v="3"/>
  </r>
  <r>
    <s v="WQAPR97"/>
    <d v="1997-04-03T00:00:00"/>
    <s v="C1"/>
    <n v="5.7"/>
    <n v="4.9000000000000004"/>
    <x v="3"/>
  </r>
  <r>
    <s v="WQMAY97"/>
    <d v="1997-05-08T00:00:00"/>
    <s v="C1"/>
    <n v="9.3000000000000007"/>
    <n v="8.89"/>
    <x v="3"/>
  </r>
  <r>
    <s v="WQJUN97"/>
    <d v="1997-06-04T00:00:00"/>
    <s v="C1"/>
    <n v="14.02"/>
    <n v="13.78"/>
    <x v="3"/>
  </r>
  <r>
    <s v="HYJUN97"/>
    <d v="1997-06-27T00:00:00"/>
    <s v="C1"/>
    <n v="19.05"/>
    <m/>
    <x v="3"/>
  </r>
  <r>
    <s v="WQJUL97"/>
    <d v="1997-07-09T00:00:00"/>
    <s v="C1"/>
    <n v="20.25"/>
    <n v="15.29"/>
    <x v="3"/>
  </r>
  <r>
    <s v="HYJUL97"/>
    <d v="1997-07-22T00:00:00"/>
    <s v="C1"/>
    <n v="20.3"/>
    <n v="17.09"/>
    <x v="3"/>
  </r>
  <r>
    <s v="WQAUG97"/>
    <d v="1997-08-05T00:00:00"/>
    <s v="C1"/>
    <n v="19.850000000000001"/>
    <n v="18.91"/>
    <x v="3"/>
  </r>
  <r>
    <s v="HYAUG97"/>
    <d v="1997-08-20T00:00:00"/>
    <s v="C1"/>
    <n v="21.79"/>
    <n v="20.3"/>
    <x v="3"/>
  </r>
  <r>
    <s v="WQSEP97"/>
    <d v="1997-09-04T00:00:00"/>
    <s v="C1"/>
    <n v="21.71"/>
    <n v="21.23"/>
    <x v="3"/>
  </r>
  <r>
    <s v="WQOCT97"/>
    <d v="1997-10-08T00:00:00"/>
    <s v="C1"/>
    <n v="18.95"/>
    <n v="19.010000000000002"/>
    <x v="3"/>
  </r>
  <r>
    <s v="WQNOV97"/>
    <d v="1997-11-03T00:00:00"/>
    <s v="C1"/>
    <n v="14.52"/>
    <n v="14.5"/>
    <x v="3"/>
  </r>
  <r>
    <s v="WQDEC97"/>
    <d v="1997-12-08T00:00:00"/>
    <s v="C1"/>
    <n v="7.82"/>
    <n v="7.81"/>
    <x v="3"/>
  </r>
  <r>
    <s v="WQJAN98"/>
    <d v="1998-01-14T00:00:00"/>
    <s v="C1"/>
    <n v="4.8"/>
    <n v="4.7"/>
    <x v="4"/>
  </r>
  <r>
    <s v="WQFEB98"/>
    <d v="1998-02-02T00:00:00"/>
    <s v="C1"/>
    <n v="3.39"/>
    <n v="3.38"/>
    <x v="4"/>
  </r>
  <r>
    <s v="WQMAR98"/>
    <d v="1998-03-04T00:00:00"/>
    <s v="C1"/>
    <n v="4.63"/>
    <n v="4.2300000000000004"/>
    <x v="4"/>
  </r>
  <r>
    <s v="WQAPR98"/>
    <d v="1998-04-20T00:00:00"/>
    <s v="C1"/>
    <n v="9.65"/>
    <n v="7.77"/>
    <x v="4"/>
  </r>
  <r>
    <s v="WQJUN98"/>
    <d v="1998-06-02T00:00:00"/>
    <s v="C1"/>
    <n v="17.22"/>
    <n v="12.36"/>
    <x v="4"/>
  </r>
  <r>
    <s v="HYJUN98"/>
    <d v="1998-06-25T00:00:00"/>
    <s v="C1"/>
    <n v="20.2"/>
    <n v="15.6"/>
    <x v="4"/>
  </r>
  <r>
    <s v="WQJUL98"/>
    <d v="1998-07-08T00:00:00"/>
    <s v="C1"/>
    <n v="20.8"/>
    <n v="16.27"/>
    <x v="4"/>
  </r>
  <r>
    <s v="HYJUL98"/>
    <d v="1998-07-22T00:00:00"/>
    <s v="C1"/>
    <n v="21.98"/>
    <n v="18.399999999999999"/>
    <x v="4"/>
  </r>
  <r>
    <s v="WQAUG98"/>
    <d v="1998-08-03T00:00:00"/>
    <s v="C1"/>
    <n v="22.55"/>
    <n v="19.190000000000001"/>
    <x v="4"/>
  </r>
  <r>
    <s v="HYAUG98"/>
    <d v="1998-08-17T00:00:00"/>
    <s v="C1"/>
    <n v="23.53"/>
    <n v="21.23"/>
    <x v="4"/>
  </r>
  <r>
    <s v="WQSEP98"/>
    <d v="1998-09-02T00:00:00"/>
    <s v="C1"/>
    <n v="23.89"/>
    <n v="22.09"/>
    <x v="4"/>
  </r>
  <r>
    <s v="HYSEP98"/>
    <d v="1998-09-16T00:00:00"/>
    <s v="C1"/>
    <n v="22.46"/>
    <m/>
    <x v="4"/>
  </r>
  <r>
    <s v="WQOCT98"/>
    <d v="1998-10-06T00:00:00"/>
    <s v="C1"/>
    <n v="19.829999999999998"/>
    <n v="19.739999999999998"/>
    <x v="4"/>
  </r>
  <r>
    <s v="WQNOV98"/>
    <d v="1998-11-05T00:00:00"/>
    <s v="C1"/>
    <n v="14.15"/>
    <n v="14.33"/>
    <x v="4"/>
  </r>
  <r>
    <s v="WQDEC98"/>
    <d v="1998-12-02T00:00:00"/>
    <s v="C1"/>
    <n v="10.62"/>
    <n v="10.7"/>
    <x v="4"/>
  </r>
  <r>
    <s v="WQJAN99"/>
    <d v="1999-01-11T00:00:00"/>
    <s v="C1"/>
    <n v="3.75"/>
    <n v="3.77"/>
    <x v="5"/>
  </r>
  <r>
    <s v="WQFEB99"/>
    <d v="1999-02-04T00:00:00"/>
    <s v="C1"/>
    <n v="3.07"/>
    <n v="2.99"/>
    <x v="5"/>
  </r>
  <r>
    <s v="WQMAR99"/>
    <d v="1999-03-09T00:00:00"/>
    <s v="C1"/>
    <n v="2.8"/>
    <n v="2.63"/>
    <x v="5"/>
  </r>
  <r>
    <s v="WQAPR99"/>
    <d v="1999-04-07T00:00:00"/>
    <s v="C1"/>
    <n v="7.22"/>
    <n v="5.23"/>
    <x v="5"/>
  </r>
  <r>
    <s v="WQMAY99"/>
    <d v="1999-05-06T00:00:00"/>
    <s v="C1"/>
    <n v="12.18"/>
    <n v="9.91"/>
    <x v="5"/>
  </r>
  <r>
    <s v="WQJUN99"/>
    <d v="1999-06-01T00:00:00"/>
    <s v="C1"/>
    <n v="17.93"/>
    <n v="11.89"/>
    <x v="5"/>
  </r>
  <r>
    <s v="HYJUN99"/>
    <d v="1999-06-24T00:00:00"/>
    <s v="C1"/>
    <n v="20.36"/>
    <n v="16.3"/>
    <x v="5"/>
  </r>
  <r>
    <s v="WQJUL99"/>
    <d v="1999-07-07T00:00:00"/>
    <s v="C1"/>
    <n v="20.9"/>
    <n v="16.399999999999999"/>
    <x v="5"/>
  </r>
  <r>
    <s v="HYJUL99"/>
    <d v="1999-07-21T00:00:00"/>
    <s v="C1"/>
    <n v="22.65"/>
    <n v="19.07"/>
    <x v="5"/>
  </r>
  <r>
    <s v="WQAUG99"/>
    <d v="1999-08-04T00:00:00"/>
    <s v="C1"/>
    <n v="24.25"/>
    <n v="20.03"/>
    <x v="5"/>
  </r>
  <r>
    <s v="HYAUG99"/>
    <d v="1999-08-18T00:00:00"/>
    <s v="C1"/>
    <n v="23.84"/>
    <n v="21.81"/>
    <x v="5"/>
  </r>
  <r>
    <s v="WQSEP99"/>
    <d v="1999-09-01T00:00:00"/>
    <s v="C1"/>
    <n v="22.39"/>
    <n v="22.32"/>
    <x v="5"/>
  </r>
  <r>
    <s v="WQOCT99"/>
    <d v="1999-09-28T00:00:00"/>
    <s v="C1"/>
    <n v="20.5"/>
    <n v="20.73"/>
    <x v="5"/>
  </r>
  <r>
    <s v="WQNOV99"/>
    <d v="1999-11-05T00:00:00"/>
    <s v="C1"/>
    <n v="14.76"/>
    <n v="14.76"/>
    <x v="5"/>
  </r>
  <r>
    <s v="WQDEC99"/>
    <d v="1999-12-09T00:00:00"/>
    <s v="C1"/>
    <n v="9.81"/>
    <n v="9.92"/>
    <x v="5"/>
  </r>
  <r>
    <s v="WQJAN00"/>
    <d v="2000-01-06T00:00:00"/>
    <s v="C1"/>
    <n v="5.63"/>
    <n v="5.81"/>
    <x v="6"/>
  </r>
  <r>
    <s v="WQFEB00"/>
    <d v="2000-02-07T00:00:00"/>
    <s v="C1"/>
    <n v="0.6"/>
    <n v="0.57999999999999996"/>
    <x v="6"/>
  </r>
  <r>
    <s v="WQMAR00"/>
    <d v="2000-03-06T00:00:00"/>
    <s v="C1"/>
    <n v="2.61"/>
    <n v="2.46"/>
    <x v="6"/>
  </r>
  <r>
    <s v="WQAPR00"/>
    <d v="2000-04-10T00:00:00"/>
    <s v="C1"/>
    <n v="6.24"/>
    <n v="6.2"/>
    <x v="6"/>
  </r>
  <r>
    <s v="WQMAY00"/>
    <d v="2000-05-03T00:00:00"/>
    <s v="C1"/>
    <n v="10.57"/>
    <n v="8.32"/>
    <x v="6"/>
  </r>
  <r>
    <s v="WQJUN00"/>
    <d v="2000-06-05T00:00:00"/>
    <s v="C1"/>
    <n v="16.600000000000001"/>
    <n v="13.62"/>
    <x v="6"/>
  </r>
  <r>
    <s v="HYJUN00"/>
    <d v="2000-06-26T00:00:00"/>
    <s v="C1"/>
    <n v="18.97"/>
    <n v="14.29"/>
    <x v="6"/>
  </r>
  <r>
    <s v="WQJUL00"/>
    <d v="2000-07-10T00:00:00"/>
    <s v="C1"/>
    <n v="20.53"/>
    <n v="16.64"/>
    <x v="6"/>
  </r>
  <r>
    <s v="HYJUL00"/>
    <d v="2000-07-19T00:00:00"/>
    <s v="C1"/>
    <n v="21.17"/>
    <n v="17.79"/>
    <x v="6"/>
  </r>
  <r>
    <s v="WQAUG00"/>
    <d v="2000-08-07T00:00:00"/>
    <s v="C1"/>
    <n v="22.08"/>
    <n v="20.100000000000001"/>
    <x v="6"/>
  </r>
  <r>
    <s v="HYAUG00"/>
    <d v="2000-08-16T00:00:00"/>
    <s v="C1"/>
    <n v="22.15"/>
    <n v="21.03"/>
    <x v="6"/>
  </r>
  <r>
    <s v="WQSEP00"/>
    <d v="2000-08-31T00:00:00"/>
    <s v="C1"/>
    <n v="22.12"/>
    <n v="21.58"/>
    <x v="6"/>
  </r>
  <r>
    <s v="WQOCT00"/>
    <d v="2000-10-03T00:00:00"/>
    <s v="C1"/>
    <n v="19.34"/>
    <n v="19.190000000000001"/>
    <x v="6"/>
  </r>
  <r>
    <s v="WQNOV00"/>
    <d v="2000-11-09T00:00:00"/>
    <s v="C1"/>
    <n v="13.42"/>
    <n v="13.75"/>
    <x v="6"/>
  </r>
  <r>
    <s v="WQDEC00"/>
    <d v="2000-12-04T00:00:00"/>
    <s v="C1"/>
    <n v="7.64"/>
    <n v="7.94"/>
    <x v="6"/>
  </r>
  <r>
    <s v="WQJAN01"/>
    <d v="2001-01-17T00:00:00"/>
    <s v="C1"/>
    <n v="1.97"/>
    <n v="2.0699999999999998"/>
    <x v="7"/>
  </r>
  <r>
    <s v="WQFEB01"/>
    <d v="2001-02-07T00:00:00"/>
    <s v="C1"/>
    <n v="1.7"/>
    <n v="1.66"/>
    <x v="7"/>
  </r>
  <r>
    <s v="WQMAR01"/>
    <d v="2001-03-08T00:00:00"/>
    <s v="C1"/>
    <n v="1.78"/>
    <n v="1.68"/>
    <x v="7"/>
  </r>
  <r>
    <s v="WQAPR01"/>
    <d v="2001-04-04T00:00:00"/>
    <s v="C1"/>
    <n v="4.38"/>
    <n v="3.91"/>
    <x v="7"/>
  </r>
  <r>
    <s v="WQMAY01"/>
    <d v="2001-05-01T00:00:00"/>
    <s v="C1"/>
    <m/>
    <m/>
    <x v="7"/>
  </r>
  <r>
    <s v="WQJUN01"/>
    <d v="2001-06-06T00:00:00"/>
    <s v="C1"/>
    <n v="15.68"/>
    <n v="12.59"/>
    <x v="7"/>
  </r>
  <r>
    <s v="HYJUN01"/>
    <d v="2001-06-21T00:00:00"/>
    <s v="C1"/>
    <n v="20.84"/>
    <n v="13.51"/>
    <x v="7"/>
  </r>
  <r>
    <s v="WQJUL01"/>
    <d v="2001-07-10T00:00:00"/>
    <s v="C1"/>
    <n v="19.72"/>
    <m/>
    <x v="7"/>
  </r>
  <r>
    <s v="HYJUL01"/>
    <d v="2001-07-25T00:00:00"/>
    <s v="C1"/>
    <m/>
    <n v="18.59"/>
    <x v="7"/>
  </r>
  <r>
    <s v="WQAUG01"/>
    <d v="2001-08-07T00:00:00"/>
    <s v="C1"/>
    <n v="22.31"/>
    <n v="19.989999999999998"/>
    <x v="7"/>
  </r>
  <r>
    <s v="HYAUG01"/>
    <d v="2001-08-21T00:00:00"/>
    <s v="C1"/>
    <n v="24.15"/>
    <n v="17.8"/>
    <x v="7"/>
  </r>
  <r>
    <s v="WQSEP01"/>
    <d v="2001-09-04T00:00:00"/>
    <s v="C1"/>
    <n v="22.76"/>
    <n v="21.7"/>
    <x v="7"/>
  </r>
  <r>
    <s v="HYSEP01"/>
    <d v="2001-09-24T00:00:00"/>
    <s v="C1"/>
    <n v="21.94"/>
    <m/>
    <x v="7"/>
  </r>
  <r>
    <s v="WQOCT01"/>
    <d v="2001-10-04T00:00:00"/>
    <s v="C1"/>
    <n v="19.309999999999999"/>
    <n v="19.350000000000001"/>
    <x v="7"/>
  </r>
  <r>
    <s v="WQNOV01"/>
    <d v="2001-11-13T00:00:00"/>
    <s v="C1"/>
    <n v="13.64"/>
    <n v="13.53"/>
    <x v="7"/>
  </r>
  <r>
    <s v="WQDEC01"/>
    <d v="2001-12-05T00:00:00"/>
    <s v="C1"/>
    <n v="11.79"/>
    <n v="11.82"/>
    <x v="7"/>
  </r>
  <r>
    <s v="WQJAN02"/>
    <d v="2002-01-15T00:00:00"/>
    <s v="C1"/>
    <n v="5.09"/>
    <n v="5.54"/>
    <x v="8"/>
  </r>
  <r>
    <s v="WQFEB02"/>
    <d v="2002-02-06T00:00:00"/>
    <s v="C1"/>
    <n v="4.3499999999999996"/>
    <n v="4.3"/>
    <x v="8"/>
  </r>
  <r>
    <s v="WQMAR02"/>
    <d v="2002-03-04T00:00:00"/>
    <s v="C1"/>
    <n v="4.92"/>
    <n v="4.8099999999999996"/>
    <x v="8"/>
  </r>
  <r>
    <s v="WQAPR02"/>
    <d v="2002-04-04T00:00:00"/>
    <s v="C1"/>
    <n v="6.43"/>
    <n v="6.22"/>
    <x v="8"/>
  </r>
  <r>
    <s v="WQMAY02"/>
    <d v="2002-05-07T00:00:00"/>
    <s v="C1"/>
    <n v="11.69"/>
    <n v="9.76"/>
    <x v="8"/>
  </r>
  <r>
    <s v="WQJUN02"/>
    <d v="2002-06-06T00:00:00"/>
    <s v="C1"/>
    <n v="17.71"/>
    <n v="13.23"/>
    <x v="8"/>
  </r>
  <r>
    <s v="HYJUN02"/>
    <d v="2002-06-26T00:00:00"/>
    <s v="C1"/>
    <n v="21.35"/>
    <n v="16.41"/>
    <x v="8"/>
  </r>
  <r>
    <s v="WQJUL02"/>
    <d v="2002-07-09T00:00:00"/>
    <s v="C1"/>
    <n v="21.76"/>
    <n v="16.61"/>
    <x v="8"/>
  </r>
  <r>
    <s v="HYJUL02"/>
    <d v="2002-07-22T00:00:00"/>
    <s v="C1"/>
    <n v="23.06"/>
    <n v="18.34"/>
    <x v="8"/>
  </r>
  <r>
    <s v="WQAUG02"/>
    <d v="2002-08-07T00:00:00"/>
    <s v="C1"/>
    <n v="22.49"/>
    <n v="20.32"/>
    <x v="8"/>
  </r>
  <r>
    <s v="HYAUG02"/>
    <d v="2002-08-22T00:00:00"/>
    <s v="C1"/>
    <n v="24.02"/>
    <n v="21.75"/>
    <x v="8"/>
  </r>
  <r>
    <s v="WQSEP02"/>
    <d v="2002-09-10T00:00:00"/>
    <s v="C1"/>
    <n v="22.5"/>
    <n v="21.57"/>
    <x v="8"/>
  </r>
  <r>
    <s v="WQOCT02"/>
    <d v="2002-10-09T00:00:00"/>
    <s v="C1"/>
    <n v="20.49"/>
    <n v="20.45"/>
    <x v="8"/>
  </r>
  <r>
    <s v="WQNOV02"/>
    <d v="2002-11-13T00:00:00"/>
    <s v="C1"/>
    <n v="12.05"/>
    <n v="12.91"/>
    <x v="8"/>
  </r>
  <r>
    <s v="WQDEC02"/>
    <d v="2002-12-10T00:00:00"/>
    <s v="C1"/>
    <n v="6.19"/>
    <n v="6.89"/>
    <x v="8"/>
  </r>
  <r>
    <s v="WQFEB03"/>
    <d v="2003-02-14T00:00:00"/>
    <s v="C1"/>
    <n v="-0.16"/>
    <n v="-0.21"/>
    <x v="9"/>
  </r>
  <r>
    <s v="WQMAR03"/>
    <d v="2003-03-10T00:00:00"/>
    <s v="C1"/>
    <n v="-0.14000000000000001"/>
    <n v="-0.14000000000000001"/>
    <x v="9"/>
  </r>
  <r>
    <s v="WQAPR03"/>
    <d v="2003-04-01T00:00:00"/>
    <s v="C1"/>
    <n v="4.43"/>
    <n v="2.58"/>
    <x v="9"/>
  </r>
  <r>
    <s v="WQMAY03"/>
    <d v="2003-05-06T00:00:00"/>
    <s v="C1"/>
    <n v="10.44"/>
    <n v="6.97"/>
    <x v="9"/>
  </r>
  <r>
    <s v="WQJUN03"/>
    <d v="2003-06-05T00:00:00"/>
    <s v="C1"/>
    <n v="13.83"/>
    <n v="11.92"/>
    <x v="9"/>
  </r>
  <r>
    <s v="HYJUN03"/>
    <d v="2003-06-19T00:00:00"/>
    <s v="C1"/>
    <n v="16.59"/>
    <n v="13.23"/>
    <x v="9"/>
  </r>
  <r>
    <s v="WQJUL03"/>
    <d v="2003-07-08T00:00:00"/>
    <s v="C1"/>
    <n v="20.92"/>
    <n v="13.78"/>
    <x v="9"/>
  </r>
  <r>
    <s v="HYJUL03"/>
    <d v="2003-07-28T00:00:00"/>
    <s v="C1"/>
    <n v="19.149999999999999"/>
    <n v="15.84"/>
    <x v="9"/>
  </r>
  <r>
    <s v="WQAUG03"/>
    <d v="2003-08-06T00:00:00"/>
    <s v="C1"/>
    <n v="21.76"/>
    <n v="17.7"/>
    <x v="9"/>
  </r>
  <r>
    <s v="HYAUG03"/>
    <d v="2003-08-20T00:00:00"/>
    <s v="C1"/>
    <n v="23.28"/>
    <n v="19.52"/>
    <x v="9"/>
  </r>
  <r>
    <s v="WQSEP03"/>
    <d v="2003-09-03T00:00:00"/>
    <s v="C1"/>
    <n v="20.309999999999999"/>
    <n v="20.32"/>
    <x v="9"/>
  </r>
  <r>
    <s v="WQOCT03"/>
    <d v="2003-10-06T00:00:00"/>
    <s v="C1"/>
    <n v="19.010000000000002"/>
    <n v="18.940000000000001"/>
    <x v="9"/>
  </r>
  <r>
    <s v="WQNOV03"/>
    <d v="2003-11-05T00:00:00"/>
    <s v="C1"/>
    <n v="14.98"/>
    <n v="14.99"/>
    <x v="9"/>
  </r>
  <r>
    <s v="WQDEC03"/>
    <d v="2003-12-09T00:00:00"/>
    <s v="C1"/>
    <n v="7.05"/>
    <n v="7.46"/>
    <x v="9"/>
  </r>
  <r>
    <s v="WQFEB04"/>
    <d v="2004-02-02T00:00:00"/>
    <s v="C1"/>
    <n v="-0.56000000000000005"/>
    <n v="-0.8"/>
    <x v="10"/>
  </r>
  <r>
    <s v="WQMAR04"/>
    <d v="2004-03-01T00:00:00"/>
    <s v="C1"/>
    <n v="1.9"/>
    <n v="0.41"/>
    <x v="10"/>
  </r>
  <r>
    <s v="WQAPR04"/>
    <d v="2004-04-14T00:00:00"/>
    <s v="C1"/>
    <n v="5.55"/>
    <n v="5.32"/>
    <x v="10"/>
  </r>
  <r>
    <s v="WQMAY04"/>
    <d v="2004-05-06T00:00:00"/>
    <s v="C1"/>
    <n v="9.44"/>
    <n v="7.16"/>
    <x v="10"/>
  </r>
  <r>
    <s v="WQJUN04"/>
    <d v="2004-06-02T00:00:00"/>
    <s v="C1"/>
    <n v="15.88"/>
    <n v="12.69"/>
    <x v="10"/>
  </r>
  <r>
    <s v="HYJUN04"/>
    <d v="2004-06-29T00:00:00"/>
    <s v="C1"/>
    <n v="18.440000000000001"/>
    <n v="13.76"/>
    <x v="10"/>
  </r>
  <r>
    <s v="WQJUL04"/>
    <d v="2004-07-06T00:00:00"/>
    <s v="C1"/>
    <n v="19.96"/>
    <n v="15.08"/>
    <x v="10"/>
  </r>
  <r>
    <s v="HYJUL04"/>
    <d v="2004-07-20T00:00:00"/>
    <s v="C1"/>
    <n v="20.68"/>
    <n v="17.95"/>
    <x v="10"/>
  </r>
  <r>
    <s v="WQAUG04"/>
    <d v="2004-08-03T00:00:00"/>
    <s v="C1"/>
    <n v="23"/>
    <n v="19.600000000000001"/>
    <x v="10"/>
  </r>
  <r>
    <s v="HYAUG04"/>
    <d v="2004-08-23T00:00:00"/>
    <s v="C1"/>
    <n v="22.49"/>
    <n v="20.48"/>
    <x v="10"/>
  </r>
  <r>
    <s v="WQSEP04"/>
    <d v="2004-09-02T00:00:00"/>
    <s v="C1"/>
    <n v="23.02"/>
    <n v="21.13"/>
    <x v="10"/>
  </r>
  <r>
    <s v="WQOCT04"/>
    <d v="2004-10-13T00:00:00"/>
    <s v="C1"/>
    <n v="18.95"/>
    <n v="19.02"/>
    <x v="10"/>
  </r>
  <r>
    <s v="WQDEC04"/>
    <d v="2004-12-09T00:00:00"/>
    <s v="C1"/>
    <n v="8.81"/>
    <n v="8.8000000000000007"/>
    <x v="10"/>
  </r>
  <r>
    <s v="WQJAN05"/>
    <d v="2005-01-13T00:00:00"/>
    <s v="C1"/>
    <n v="4.3499999999999996"/>
    <n v="4.3600000000000003"/>
    <x v="11"/>
  </r>
  <r>
    <s v="WQFEB05"/>
    <d v="2005-01-31T00:00:00"/>
    <s v="C1"/>
    <n v="0.59"/>
    <n v="0.67"/>
    <x v="11"/>
  </r>
  <r>
    <s v="WQMAR05"/>
    <d v="2005-03-10T00:00:00"/>
    <s v="C1"/>
    <n v="1.08"/>
    <n v="0.99"/>
    <x v="11"/>
  </r>
  <r>
    <s v="WQAPR05"/>
    <d v="2005-04-06T00:00:00"/>
    <s v="C1"/>
    <n v="5.18"/>
    <n v="3.83"/>
    <x v="11"/>
  </r>
  <r>
    <s v="WQMAY05"/>
    <d v="2005-05-09T00:00:00"/>
    <s v="C1"/>
    <n v="9.14"/>
    <n v="8.81"/>
    <x v="11"/>
  </r>
  <r>
    <s v="WQJUN05"/>
    <d v="2005-06-09T00:00:00"/>
    <s v="C1"/>
    <n v="18.23"/>
    <n v="12.35"/>
    <x v="11"/>
  </r>
  <r>
    <s v="HYJUN05"/>
    <d v="2005-06-23T00:00:00"/>
    <s v="C1"/>
    <n v="18.61"/>
    <n v="13.44"/>
    <x v="11"/>
  </r>
  <r>
    <s v="WQJUL05"/>
    <d v="2005-07-11T00:00:00"/>
    <s v="C1"/>
    <n v="20.93"/>
    <n v="18.04"/>
    <x v="11"/>
  </r>
  <r>
    <s v="HYJUL05"/>
    <d v="2005-07-21T00:00:00"/>
    <s v="C1"/>
    <n v="25.78"/>
    <n v="17.53"/>
    <x v="11"/>
  </r>
  <r>
    <s v="WQAUG05"/>
    <d v="2005-08-03T00:00:00"/>
    <s v="C1"/>
    <n v="23.86"/>
    <n v="18.43"/>
    <x v="11"/>
  </r>
  <r>
    <s v="HYAUG05"/>
    <d v="2005-08-17T00:00:00"/>
    <s v="C1"/>
    <n v="23.96"/>
    <n v="19.88"/>
    <x v="11"/>
  </r>
  <r>
    <s v="WQSEP05"/>
    <d v="2005-08-30T00:00:00"/>
    <s v="C1"/>
    <n v="23.61"/>
    <n v="21.35"/>
    <x v="11"/>
  </r>
  <r>
    <s v="WQOCT05"/>
    <d v="2005-10-18T00:00:00"/>
    <s v="C1"/>
    <n v="18.32"/>
    <n v="18.29"/>
    <x v="11"/>
  </r>
  <r>
    <s v="WQNOV05"/>
    <d v="2005-11-18T00:00:00"/>
    <s v="C1"/>
    <n v="12.9"/>
    <n v="12.83"/>
    <x v="11"/>
  </r>
  <r>
    <s v="WQDEC05"/>
    <d v="2005-12-12T00:00:00"/>
    <s v="C1"/>
    <n v="6.88"/>
    <n v="7.46"/>
    <x v="11"/>
  </r>
  <r>
    <s v="WQMAR06"/>
    <d v="2006-03-06T00:00:00"/>
    <s v="C1"/>
    <n v="2.4900000000000002"/>
    <n v="2.1800000000000002"/>
    <x v="12"/>
  </r>
  <r>
    <s v="WQMAY06"/>
    <d v="2006-05-03T00:00:00"/>
    <s v="C1"/>
    <n v="11.48"/>
    <n v="10.050000000000001"/>
    <x v="12"/>
  </r>
  <r>
    <s v="WQJUN06"/>
    <d v="2006-06-08T00:00:00"/>
    <s v="C1"/>
    <n v="17.03"/>
    <n v="14.8"/>
    <x v="12"/>
  </r>
  <r>
    <s v="HYJUN06"/>
    <d v="2006-06-23T00:00:00"/>
    <s v="C1"/>
    <n v="17.48"/>
    <n v="14.71"/>
    <x v="12"/>
  </r>
  <r>
    <s v="WQJUL06"/>
    <d v="2006-07-10T00:00:00"/>
    <s v="C1"/>
    <n v="20.66"/>
    <n v="15.66"/>
    <x v="12"/>
  </r>
  <r>
    <s v="HYJUL06"/>
    <d v="2006-07-18T00:00:00"/>
    <s v="C1"/>
    <n v="20.49"/>
    <n v="17.05"/>
    <x v="12"/>
  </r>
  <r>
    <s v="WQAUG06"/>
    <d v="2006-08-02T00:00:00"/>
    <s v="C1"/>
    <m/>
    <m/>
    <x v="12"/>
  </r>
  <r>
    <s v="HYAUG06"/>
    <d v="2006-08-17T00:00:00"/>
    <s v="C1"/>
    <n v="23.66"/>
    <n v="20.83"/>
    <x v="12"/>
  </r>
  <r>
    <s v="WQSEP06"/>
    <d v="2006-08-31T00:00:00"/>
    <s v="C1"/>
    <n v="21.67"/>
    <n v="21.62"/>
    <x v="12"/>
  </r>
  <r>
    <s v="WQOCT06"/>
    <d v="2006-10-16T00:00:00"/>
    <s v="C1"/>
    <m/>
    <m/>
    <x v="12"/>
  </r>
  <r>
    <s v="WQNOV06"/>
    <d v="2006-11-09T00:00:00"/>
    <s v="C1"/>
    <n v="13.35"/>
    <n v="13.38"/>
    <x v="12"/>
  </r>
  <r>
    <s v="WQDEC06"/>
    <d v="2006-12-14T00:00:00"/>
    <s v="C1"/>
    <n v="8.23"/>
    <n v="9.27"/>
    <x v="12"/>
  </r>
  <r>
    <s v="WQJAN07"/>
    <d v="2007-01-19T00:00:00"/>
    <s v="C1"/>
    <n v="5.81"/>
    <n v="6.39"/>
    <x v="13"/>
  </r>
  <r>
    <s v="WQFEB07"/>
    <d v="2007-02-07T00:00:00"/>
    <s v="C1"/>
    <n v="2.52"/>
    <n v="2.5299999999999998"/>
    <x v="13"/>
  </r>
  <r>
    <s v="WQMAR07"/>
    <d v="2007-03-12T00:00:00"/>
    <s v="C1"/>
    <n v="1.53"/>
    <n v="1.02"/>
    <x v="13"/>
  </r>
  <r>
    <s v="WQAPR07"/>
    <d v="2007-04-03T00:00:00"/>
    <s v="C1"/>
    <n v="5.38"/>
    <n v="2.78"/>
    <x v="13"/>
  </r>
  <r>
    <s v="WQMAY07"/>
    <d v="2007-05-08T00:00:00"/>
    <s v="C1"/>
    <n v="10.9"/>
    <n v="6.47"/>
    <x v="13"/>
  </r>
  <r>
    <s v="WQJUN07"/>
    <d v="2007-06-06T00:00:00"/>
    <s v="C1"/>
    <n v="15.88"/>
    <n v="11.31"/>
    <x v="13"/>
  </r>
  <r>
    <s v="HYJUN07"/>
    <d v="2007-06-21T00:00:00"/>
    <s v="C1"/>
    <n v="18.22"/>
    <n v="13.36"/>
    <x v="13"/>
  </r>
  <r>
    <s v="WQJUL07"/>
    <d v="2007-07-10T00:00:00"/>
    <s v="C1"/>
    <n v="20.91"/>
    <n v="15.19"/>
    <x v="13"/>
  </r>
  <r>
    <s v="HYJUL07"/>
    <d v="2007-07-24T00:00:00"/>
    <s v="C1"/>
    <n v="20.69"/>
    <n v="19.22"/>
    <x v="13"/>
  </r>
  <r>
    <s v="WQAUG07"/>
    <d v="2007-08-01T00:00:00"/>
    <s v="C1"/>
    <n v="23.9"/>
    <n v="19"/>
    <x v="13"/>
  </r>
  <r>
    <s v="HYAUG07"/>
    <d v="2007-08-14T00:00:00"/>
    <s v="C1"/>
    <n v="22.15"/>
    <n v="21.15"/>
    <x v="13"/>
  </r>
  <r>
    <s v="WQSEP07"/>
    <d v="2007-08-29T00:00:00"/>
    <s v="C1"/>
    <n v="22.7"/>
    <n v="20.99"/>
    <x v="13"/>
  </r>
  <r>
    <s v="HYSEP07"/>
    <d v="2007-09-10T00:00:00"/>
    <s v="C1"/>
    <n v="22.79"/>
    <n v="21.8"/>
    <x v="13"/>
  </r>
  <r>
    <s v="WQOCT07"/>
    <d v="2007-10-03T00:00:00"/>
    <s v="C1"/>
    <n v="21.26"/>
    <n v="21.1"/>
    <x v="13"/>
  </r>
  <r>
    <s v="WQNOV07"/>
    <d v="2007-11-14T00:00:00"/>
    <s v="C1"/>
    <n v="14.27"/>
    <n v="14.16"/>
    <x v="13"/>
  </r>
  <r>
    <s v="WQDEC07"/>
    <d v="2007-12-06T00:00:00"/>
    <s v="C1"/>
    <n v="9.15"/>
    <n v="9.16"/>
    <x v="13"/>
  </r>
  <r>
    <s v="WQJAN08"/>
    <d v="2008-01-10T00:00:00"/>
    <s v="C1"/>
    <n v="4.55"/>
    <n v="4.6100000000000003"/>
    <x v="14"/>
  </r>
  <r>
    <s v="WQFEB08"/>
    <d v="2008-02-06T00:00:00"/>
    <s v="C1"/>
    <n v="3.19"/>
    <n v="3.01"/>
    <x v="14"/>
  </r>
  <r>
    <s v="WQMAR08"/>
    <d v="2008-03-03T00:00:00"/>
    <s v="C1"/>
    <n v="2.74"/>
    <n v="2.4700000000000002"/>
    <x v="14"/>
  </r>
  <r>
    <s v="WQAPR08"/>
    <d v="2008-04-08T00:00:00"/>
    <s v="C1"/>
    <n v="5.9"/>
    <n v="5.79"/>
    <x v="14"/>
  </r>
  <r>
    <s v="WQMAY08"/>
    <d v="2008-05-07T00:00:00"/>
    <s v="C1"/>
    <n v="11.85"/>
    <n v="11.17"/>
    <x v="14"/>
  </r>
  <r>
    <s v="WQJUN08"/>
    <d v="2008-06-03T00:00:00"/>
    <s v="C1"/>
    <n v="16.47"/>
    <n v="11.51"/>
    <x v="14"/>
  </r>
  <r>
    <s v="HYJUN08"/>
    <d v="2008-06-17T00:00:00"/>
    <s v="C1"/>
    <n v="19.309999999999999"/>
    <n v="13.91"/>
    <x v="14"/>
  </r>
  <r>
    <s v="WQJUL08"/>
    <d v="2008-07-03T00:00:00"/>
    <s v="C1"/>
    <n v="20.89"/>
    <n v="14.64"/>
    <x v="14"/>
  </r>
  <r>
    <s v="HYJUL08"/>
    <d v="2008-07-22T00:00:00"/>
    <s v="C1"/>
    <n v="21.94"/>
    <n v="17.13"/>
    <x v="14"/>
  </r>
  <r>
    <s v="WQAUG08"/>
    <d v="2008-08-05T00:00:00"/>
    <s v="C1"/>
    <n v="22.39"/>
    <n v="19.55"/>
    <x v="14"/>
  </r>
  <r>
    <s v="HYAUG08"/>
    <d v="2008-08-20T00:00:00"/>
    <s v="C1"/>
    <n v="22.09"/>
    <n v="20.75"/>
    <x v="14"/>
  </r>
  <r>
    <s v="WQSEP08"/>
    <d v="2008-09-03T00:00:00"/>
    <s v="C1"/>
    <n v="22.5"/>
    <n v="21.84"/>
    <x v="14"/>
  </r>
  <r>
    <s v="HYSEP08"/>
    <d v="2008-09-16T00:00:00"/>
    <s v="C1"/>
    <n v="22.24"/>
    <n v="21.83"/>
    <x v="14"/>
  </r>
  <r>
    <s v="WQOCT08"/>
    <d v="2008-10-07T00:00:00"/>
    <s v="C1"/>
    <n v="18.82"/>
    <n v="18.75"/>
    <x v="14"/>
  </r>
  <r>
    <s v="WQNOV08"/>
    <d v="2008-11-07T00:00:00"/>
    <s v="C1"/>
    <n v="13.87"/>
    <n v="13.72"/>
    <x v="14"/>
  </r>
  <r>
    <s v="WQDEC08"/>
    <d v="2008-12-17T00:00:00"/>
    <s v="C1"/>
    <n v="6.59"/>
    <n v="6.96"/>
    <x v="14"/>
  </r>
  <r>
    <s v="WQJAN09"/>
    <d v="2009-01-12T00:00:00"/>
    <s v="C1"/>
    <n v="2.87"/>
    <n v="2.81"/>
    <x v="15"/>
  </r>
  <r>
    <s v="WQFEB09"/>
    <d v="2009-02-04T00:00:00"/>
    <s v="C1"/>
    <n v="0.73"/>
    <n v="0.7"/>
    <x v="15"/>
  </r>
  <r>
    <s v="WQMAR09"/>
    <d v="2009-03-05T00:00:00"/>
    <s v="C1"/>
    <n v="1.58"/>
    <n v="1.25"/>
    <x v="15"/>
  </r>
  <r>
    <s v="WQAPR09"/>
    <d v="2009-04-01T00:00:00"/>
    <s v="C1"/>
    <n v="5.41"/>
    <n v="4.1100000000000003"/>
    <x v="15"/>
  </r>
  <r>
    <s v="WQMAY09"/>
    <d v="2009-05-04T00:00:00"/>
    <s v="C1"/>
    <n v="11.7"/>
    <n v="8.67"/>
    <x v="15"/>
  </r>
  <r>
    <s v="WQJUN09"/>
    <d v="2009-06-09T00:00:00"/>
    <s v="C1"/>
    <n v="16.87"/>
    <n v="13.01"/>
    <x v="15"/>
  </r>
  <r>
    <s v="HYJUN09"/>
    <d v="2009-06-23T00:00:00"/>
    <s v="C1"/>
    <n v="18.079999999999998"/>
    <n v="15.51"/>
    <x v="15"/>
  </r>
  <r>
    <s v="WQJUL09"/>
    <d v="2009-07-08T00:00:00"/>
    <s v="C1"/>
    <n v="21.37"/>
    <n v="15.28"/>
    <x v="15"/>
  </r>
  <r>
    <s v="HYJUL09"/>
    <d v="2009-07-22T00:00:00"/>
    <s v="C1"/>
    <n v="22.34"/>
    <n v="17.5"/>
    <x v="15"/>
  </r>
  <r>
    <s v="WQAUG09"/>
    <d v="2009-08-05T00:00:00"/>
    <s v="C1"/>
    <n v="23.42"/>
    <n v="18.27"/>
    <x v="15"/>
  </r>
  <r>
    <s v="HYAUG09"/>
    <d v="2009-08-18T00:00:00"/>
    <s v="C1"/>
    <n v="24.11"/>
    <n v="20.13"/>
    <x v="15"/>
  </r>
  <r>
    <s v="WQSEP09"/>
    <d v="2009-09-02T00:00:00"/>
    <s v="C1"/>
    <n v="21.93"/>
    <n v="21.69"/>
    <x v="15"/>
  </r>
  <r>
    <s v="WQOCT09"/>
    <d v="2009-10-06T00:00:00"/>
    <s v="C1"/>
    <n v="19.260000000000002"/>
    <n v="19.02"/>
    <x v="15"/>
  </r>
  <r>
    <s v="WQNOV09"/>
    <d v="2009-11-04T00:00:00"/>
    <s v="C1"/>
    <n v="14.12"/>
    <n v="13.89"/>
    <x v="15"/>
  </r>
  <r>
    <s v="WQDEC09"/>
    <d v="2009-12-02T00:00:00"/>
    <s v="C1"/>
    <n v="10.36"/>
    <n v="10.89"/>
    <x v="15"/>
  </r>
  <r>
    <s v="WQJAN10"/>
    <d v="2010-01-12T00:00:00"/>
    <s v="C1"/>
    <n v="2.5499999999999998"/>
    <n v="2.5499999999999998"/>
    <x v="16"/>
  </r>
  <r>
    <s v="WQFEB10"/>
    <d v="2010-02-08T00:00:00"/>
    <s v="C1"/>
    <n v="1.1200000000000001"/>
    <n v="1.18"/>
    <x v="16"/>
  </r>
  <r>
    <s v="WQMAR10"/>
    <d v="2010-03-02T00:00:00"/>
    <s v="C1"/>
    <n v="2.37"/>
    <n v="1.87"/>
    <x v="16"/>
  </r>
  <r>
    <s v="WQAPR10"/>
    <d v="2010-03-31T00:00:00"/>
    <s v="C1"/>
    <n v="5.73"/>
    <n v="5.8"/>
    <x v="16"/>
  </r>
  <r>
    <s v="WQMAY10"/>
    <d v="2010-05-04T00:00:00"/>
    <s v="C1"/>
    <n v="12.15"/>
    <n v="8.4700000000000006"/>
    <x v="16"/>
  </r>
  <r>
    <s v="WQJUN10"/>
    <d v="2010-05-27T00:00:00"/>
    <s v="C1"/>
    <n v="16.21"/>
    <n v="12.16"/>
    <x v="16"/>
  </r>
  <r>
    <s v="HYJUN10"/>
    <d v="2010-06-18T00:00:00"/>
    <s v="C1"/>
    <n v="16.88"/>
    <n v="14.04"/>
    <x v="16"/>
  </r>
  <r>
    <s v="WQJUL10"/>
    <d v="2010-07-08T00:00:00"/>
    <s v="C1"/>
    <n v="21.78"/>
    <n v="16.45"/>
    <x v="16"/>
  </r>
  <r>
    <s v="HYJUL10"/>
    <d v="2010-07-23T00:00:00"/>
    <s v="C1"/>
    <n v="22.97"/>
    <n v="18.649999999999999"/>
    <x v="16"/>
  </r>
  <r>
    <s v="WQAUG10"/>
    <d v="2010-08-03T00:00:00"/>
    <s v="C1"/>
    <n v="23.46"/>
    <n v="19.96"/>
    <x v="16"/>
  </r>
  <r>
    <s v="HYAUG10"/>
    <d v="2010-08-17T00:00:00"/>
    <s v="C1"/>
    <n v="23.42"/>
    <n v="22.37"/>
    <x v="16"/>
  </r>
  <r>
    <s v="WQSEP10"/>
    <d v="2010-08-31T00:00:00"/>
    <s v="C1"/>
    <n v="23.7"/>
    <n v="22.53"/>
    <x v="16"/>
  </r>
  <r>
    <s v="WQOCT10"/>
    <d v="2010-10-12T00:00:00"/>
    <s v="C1"/>
    <n v="18.57"/>
    <n v="18.87"/>
    <x v="16"/>
  </r>
  <r>
    <s v="WQNOV10"/>
    <d v="2010-11-01T00:00:00"/>
    <s v="C1"/>
    <n v="15.32"/>
    <n v="15.48"/>
    <x v="16"/>
  </r>
  <r>
    <s v="WQDEC10"/>
    <d v="2010-12-02T00:00:00"/>
    <s v="C1"/>
    <n v="10.31"/>
    <n v="10.32"/>
    <x v="16"/>
  </r>
  <r>
    <s v="WQJAN11"/>
    <d v="2011-01-14T00:00:00"/>
    <s v="C1"/>
    <n v="2.08"/>
    <n v="2.06"/>
    <x v="17"/>
  </r>
  <r>
    <s v="WQFEB11"/>
    <d v="2011-02-10T00:00:00"/>
    <s v="C1"/>
    <n v="0.51"/>
    <n v="0.43"/>
    <x v="17"/>
  </r>
  <r>
    <s v="WQMAR11"/>
    <d v="2011-03-08T00:00:00"/>
    <s v="C1"/>
    <n v="2.79"/>
    <n v="2.35"/>
    <x v="17"/>
  </r>
  <r>
    <s v="WQAPR11"/>
    <d v="2011-04-14T00:00:00"/>
    <s v="C1"/>
    <n v="6.86"/>
    <n v="5.55"/>
    <x v="17"/>
  </r>
  <r>
    <s v="WQMAY11"/>
    <d v="2011-05-03T00:00:00"/>
    <s v="C1"/>
    <n v="11.47"/>
    <n v="7.34"/>
    <x v="17"/>
  </r>
  <r>
    <s v="WQJUN11"/>
    <d v="2011-06-01T00:00:00"/>
    <s v="C1"/>
    <n v="21.05"/>
    <n v="11.45"/>
    <x v="17"/>
  </r>
  <r>
    <s v="HYJUN11"/>
    <d v="2011-06-16T00:00:00"/>
    <s v="C1"/>
    <n v="16.989999999999998"/>
    <n v="16.07"/>
    <x v="17"/>
  </r>
  <r>
    <s v="WQJUL11"/>
    <d v="2011-07-06T00:00:00"/>
    <s v="C1"/>
    <n v="22.83"/>
    <n v="15.51"/>
    <x v="17"/>
  </r>
  <r>
    <s v="HYJUL11"/>
    <d v="2011-07-18T00:00:00"/>
    <s v="C1"/>
    <n v="21.45"/>
    <n v="17.84"/>
    <x v="17"/>
  </r>
  <r>
    <s v="WQAUG11"/>
    <d v="2011-08-03T00:00:00"/>
    <s v="C1"/>
    <n v="24.14"/>
    <n v="19.23"/>
    <x v="17"/>
  </r>
  <r>
    <s v="HYAUG11"/>
    <d v="2011-08-15T00:00:00"/>
    <s v="C1"/>
    <n v="22.66"/>
    <n v="20.88"/>
    <x v="17"/>
  </r>
  <r>
    <s v="WQSEP11"/>
    <d v="2011-08-31T00:00:00"/>
    <s v="C1"/>
    <n v="22.45"/>
    <n v="22.07"/>
    <x v="17"/>
  </r>
  <r>
    <s v="WQOCT11"/>
    <d v="2011-10-06T00:00:00"/>
    <s v="C1"/>
    <n v="20.079999999999998"/>
    <n v="20.51"/>
    <x v="17"/>
  </r>
  <r>
    <s v="WQNOV11"/>
    <d v="2011-11-09T00:00:00"/>
    <s v="C1"/>
    <n v="13.25"/>
    <n v="14.28"/>
    <x v="17"/>
  </r>
  <r>
    <s v="WQDEC11"/>
    <d v="2011-11-29T00:00:00"/>
    <s v="C1"/>
    <n v="11.61"/>
    <n v="11.89"/>
    <x v="17"/>
  </r>
  <r>
    <s v="WQJAN12"/>
    <d v="2012-01-09T00:00:00"/>
    <s v="C1"/>
    <n v="6.67"/>
    <n v="6.8"/>
    <x v="18"/>
  </r>
  <r>
    <s v="WQFEB12"/>
    <d v="2012-02-02T00:00:00"/>
    <s v="C1"/>
    <n v="4.3099999999999996"/>
    <n v="4.49"/>
    <x v="18"/>
  </r>
  <r>
    <s v="WQMAR12"/>
    <d v="2012-03-05T00:00:00"/>
    <s v="C1"/>
    <n v="4.74"/>
    <n v="4.49"/>
    <x v="18"/>
  </r>
  <r>
    <s v="WQAPR12"/>
    <d v="2012-04-05T00:00:00"/>
    <s v="C1"/>
    <n v="8.61"/>
    <n v="7.61"/>
    <x v="18"/>
  </r>
  <r>
    <s v="WQMAY12"/>
    <d v="2012-05-02T00:00:00"/>
    <s v="C1"/>
    <n v="11.59"/>
    <n v="10.130000000000001"/>
    <x v="18"/>
  </r>
  <r>
    <s v="WQJUN12"/>
    <d v="2012-05-30T00:00:00"/>
    <s v="C1"/>
    <n v="19.82"/>
    <n v="14.14"/>
    <x v="18"/>
  </r>
  <r>
    <s v="HYJUN12"/>
    <d v="2012-06-12T00:00:00"/>
    <s v="C1"/>
    <n v="19.559999999999999"/>
    <n v="15.74"/>
    <x v="18"/>
  </r>
  <r>
    <s v="WQJUL12"/>
    <d v="2012-06-27T00:00:00"/>
    <s v="C1"/>
    <n v="19.37"/>
    <n v="16.63"/>
    <x v="18"/>
  </r>
  <r>
    <s v="HYJUL12"/>
    <d v="2012-07-16T00:00:00"/>
    <s v="C1"/>
    <n v="22.7"/>
    <n v="18.739999999999998"/>
    <x v="18"/>
  </r>
  <r>
    <s v="WQAUG12"/>
    <d v="2012-08-01T00:00:00"/>
    <s v="C1"/>
    <n v="22.46"/>
    <n v="20.93"/>
    <x v="18"/>
  </r>
  <r>
    <s v="HYAUG12"/>
    <d v="2012-08-16T00:00:00"/>
    <s v="C1"/>
    <n v="24.03"/>
    <n v="21.72"/>
    <x v="18"/>
  </r>
  <r>
    <s v="WQSEP12"/>
    <d v="2012-08-29T00:00:00"/>
    <s v="C1"/>
    <n v="23.83"/>
    <n v="23.17"/>
    <x v="18"/>
  </r>
  <r>
    <s v="HYSEP12"/>
    <d v="2012-09-17T00:00:00"/>
    <s v="C1"/>
    <n v="23.03"/>
    <n v="22.91"/>
    <x v="18"/>
  </r>
  <r>
    <s v="WQOCT12"/>
    <d v="2012-10-03T00:00:00"/>
    <s v="C1"/>
    <n v="20.52"/>
    <n v="21.01"/>
    <x v="18"/>
  </r>
  <r>
    <s v="WQNOV12"/>
    <d v="2012-11-14T00:00:00"/>
    <s v="C1"/>
    <n v="12.39"/>
    <n v="12.3"/>
    <x v="18"/>
  </r>
  <r>
    <s v="WQDEC12"/>
    <d v="2012-12-04T00:00:00"/>
    <s v="C1"/>
    <n v="9.16"/>
    <n v="9.1"/>
    <x v="18"/>
  </r>
  <r>
    <s v="WQJAN13"/>
    <d v="2013-01-10T00:00:00"/>
    <s v="C1"/>
    <n v="5.07"/>
    <n v="5.0199999999999996"/>
    <x v="19"/>
  </r>
  <r>
    <s v="WQFEB13"/>
    <d v="2013-01-30T00:00:00"/>
    <s v="C1"/>
    <n v="2.4500000000000002"/>
    <n v="3.16"/>
    <x v="19"/>
  </r>
  <r>
    <s v="WQMAR13"/>
    <d v="2013-03-11T00:00:00"/>
    <s v="C1"/>
    <n v="2.97"/>
    <n v="2.66"/>
    <x v="19"/>
  </r>
  <r>
    <s v="WQAPR13"/>
    <d v="2013-04-04T00:00:00"/>
    <s v="C1"/>
    <n v="4.67"/>
    <n v="4.0599999999999996"/>
    <x v="19"/>
  </r>
  <r>
    <s v="WQMAY13"/>
    <d v="2013-05-01T00:00:00"/>
    <s v="C1"/>
    <n v="11.06"/>
    <n v="8.94"/>
    <x v="19"/>
  </r>
  <r>
    <s v="WQJUN13"/>
    <d v="2013-06-05T00:00:00"/>
    <s v="C1"/>
    <n v="17.14"/>
    <n v="12.36"/>
    <x v="19"/>
  </r>
  <r>
    <s v="HYJUN13"/>
    <d v="2013-06-21T00:00:00"/>
    <s v="C1"/>
    <n v="19.66"/>
    <n v="16.11"/>
    <x v="19"/>
  </r>
  <r>
    <s v="WQJUL13"/>
    <d v="2013-07-02T00:00:00"/>
    <s v="C1"/>
    <n v="21.53"/>
    <n v="16.43"/>
    <x v="19"/>
  </r>
  <r>
    <s v="HYJUL13"/>
    <d v="2013-07-15T00:00:00"/>
    <s v="C1"/>
    <n v="23.27"/>
    <n v="19.04"/>
    <x v="19"/>
  </r>
  <r>
    <s v="WQAUG13"/>
    <d v="2013-07-31T00:00:00"/>
    <s v="C1"/>
    <n v="23.13"/>
    <n v="20.84"/>
    <x v="19"/>
  </r>
  <r>
    <s v="HYAUG13"/>
    <d v="2013-08-12T00:00:00"/>
    <s v="C1"/>
    <n v="22.6"/>
    <n v="20.67"/>
    <x v="19"/>
  </r>
  <r>
    <s v="WQSEP13"/>
    <d v="2013-08-28T00:00:00"/>
    <s v="C1"/>
    <n v="23.13"/>
    <n v="21.86"/>
    <x v="19"/>
  </r>
  <r>
    <s v="HYSEP13"/>
    <d v="2013-09-09T00:00:00"/>
    <s v="C1"/>
    <n v="21.95"/>
    <n v="22.04"/>
    <x v="19"/>
  </r>
  <r>
    <s v="WQOCT13"/>
    <d v="2013-10-02T00:00:00"/>
    <s v="C1"/>
    <n v="20.420000000000002"/>
    <n v="20.29"/>
    <x v="19"/>
  </r>
  <r>
    <s v="WQNOV13"/>
    <d v="2013-11-05T00:00:00"/>
    <s v="C1"/>
    <n v="14.9"/>
    <n v="14.8"/>
    <x v="19"/>
  </r>
  <r>
    <s v="WQDEC13"/>
    <d v="2013-12-03T00:00:00"/>
    <s v="C1"/>
    <n v="8.74"/>
    <n v="8.58"/>
    <x v="19"/>
  </r>
  <r>
    <s v="WQJAN14"/>
    <d v="2014-01-09T00:00:00"/>
    <s v="C1"/>
    <n v="2.59"/>
    <n v="2.5099999999999998"/>
    <x v="20"/>
  </r>
  <r>
    <s v="WQFEB14"/>
    <d v="2014-02-06T00:00:00"/>
    <s v="C1"/>
    <n v="0.45"/>
    <n v="0.3"/>
    <x v="20"/>
  </r>
  <r>
    <s v="WQMAR14"/>
    <d v="2014-03-05T00:00:00"/>
    <s v="C1"/>
    <n v="0.31"/>
    <n v="7.0000000000000007E-2"/>
    <x v="20"/>
  </r>
  <r>
    <s v="WQAPR14"/>
    <d v="2014-04-02T00:00:00"/>
    <s v="C1"/>
    <n v="2.62"/>
    <n v="2.5499999999999998"/>
    <x v="20"/>
  </r>
  <r>
    <s v="WQMAY14"/>
    <d v="2014-05-07T00:00:00"/>
    <s v="C1"/>
    <n v="9.7899999999999991"/>
    <n v="7.74"/>
    <x v="20"/>
  </r>
  <r>
    <s v="WQJUN14"/>
    <d v="2014-06-03T00:00:00"/>
    <s v="C1"/>
    <n v="16.170000000000002"/>
    <n v="12.46"/>
    <x v="20"/>
  </r>
  <r>
    <s v="HYJUN14"/>
    <d v="2014-06-19T00:00:00"/>
    <s v="C1"/>
    <n v="19.260000000000002"/>
    <n v="14.61"/>
    <x v="20"/>
  </r>
  <r>
    <s v="WQJUL14"/>
    <d v="2014-07-02T00:00:00"/>
    <s v="C1"/>
    <n v="20.399999999999999"/>
    <n v="15.1"/>
    <x v="20"/>
  </r>
  <r>
    <s v="HYJUL14"/>
    <d v="2014-07-14T00:00:00"/>
    <s v="C1"/>
    <n v="20.74"/>
    <n v="16.95"/>
    <x v="20"/>
  </r>
  <r>
    <s v="WQAUG14"/>
    <d v="2014-08-06T00:00:00"/>
    <s v="C1"/>
    <n v="23.88"/>
    <n v="20.21"/>
    <x v="20"/>
  </r>
  <r>
    <s v="HYAUG14"/>
    <d v="2014-08-19T00:00:00"/>
    <s v="C1"/>
    <n v="22.42"/>
    <n v="21.43"/>
    <x v="20"/>
  </r>
  <r>
    <s v="WQSEP14"/>
    <d v="2014-09-02T00:00:00"/>
    <s v="C1"/>
    <n v="24.16"/>
    <n v="22.28"/>
    <x v="20"/>
  </r>
  <r>
    <s v="HYSEP14"/>
    <d v="2014-09-16T00:00:00"/>
    <s v="C1"/>
    <n v="21.8"/>
    <n v="21.85"/>
    <x v="20"/>
  </r>
  <r>
    <s v="WQOCT14"/>
    <d v="2014-10-01T00:00:00"/>
    <s v="C1"/>
    <n v="20.420000000000002"/>
    <n v="20.65"/>
    <x v="20"/>
  </r>
  <r>
    <s v="WQNOV14"/>
    <d v="2014-11-10T00:00:00"/>
    <s v="C1"/>
    <n v="14.17"/>
    <n v="13.95"/>
    <x v="20"/>
  </r>
  <r>
    <s v="WQDEC14"/>
    <d v="2014-12-10T00:00:00"/>
    <s v="C1"/>
    <n v="6.98"/>
    <n v="6.98"/>
    <x v="20"/>
  </r>
  <r>
    <s v="WQJAN15"/>
    <d v="2015-01-14T00:00:00"/>
    <s v="C1"/>
    <n v="1.87"/>
    <n v="2.89"/>
    <x v="21"/>
  </r>
  <r>
    <s v="WQFEB15"/>
    <d v="2015-02-10T00:00:00"/>
    <s v="C1"/>
    <n v="-0.08"/>
    <n v="-0.06"/>
    <x v="21"/>
  </r>
  <r>
    <s v="WQMAR15"/>
    <d v="2015-03-10T00:00:00"/>
    <s v="C1"/>
    <n v="-0.62"/>
    <n v="-0.86"/>
    <x v="21"/>
  </r>
  <r>
    <s v="WQAPR15"/>
    <d v="2015-04-01T00:00:00"/>
    <s v="C1"/>
    <n v="1.82"/>
    <n v="1.1499999999999999"/>
    <x v="21"/>
  </r>
  <r>
    <s v="WQMAY15"/>
    <d v="2015-05-01T00:00:00"/>
    <s v="C1"/>
    <n v="9.3000000000000007"/>
    <n v="5.89"/>
    <x v="21"/>
  </r>
  <r>
    <s v="WQJUN15"/>
    <d v="2015-05-29T00:00:00"/>
    <s v="C1"/>
    <n v="16.37"/>
    <n v="9.59"/>
    <x v="21"/>
  </r>
  <r>
    <s v="HYJUN15"/>
    <d v="2015-06-18T00:00:00"/>
    <s v="C1"/>
    <n v="18.61"/>
    <n v="14.13"/>
    <x v="21"/>
  </r>
  <r>
    <s v="WQJUL15"/>
    <d v="2015-07-07T00:00:00"/>
    <s v="C1"/>
    <n v="22.39"/>
    <n v="17.27"/>
    <x v="21"/>
  </r>
  <r>
    <s v="HYJUL15"/>
    <d v="2015-07-20T00:00:00"/>
    <s v="C1"/>
    <n v="22.72"/>
    <n v="18.690000000000001"/>
    <x v="21"/>
  </r>
  <r>
    <s v="WQAUG15"/>
    <d v="2015-08-04T00:00:00"/>
    <s v="C1"/>
    <n v="22.7"/>
    <n v="19.23"/>
    <x v="21"/>
  </r>
  <r>
    <s v="HYAUG15"/>
    <d v="2015-08-17T00:00:00"/>
    <s v="C1"/>
    <n v="23.44"/>
    <n v="21.27"/>
    <x v="21"/>
  </r>
  <r>
    <s v="WQSEP15"/>
    <d v="2015-09-01T00:00:00"/>
    <s v="C1"/>
    <n v="23.89"/>
    <n v="22.75"/>
    <x v="21"/>
  </r>
  <r>
    <s v="HYSEP15"/>
    <d v="2015-09-16T00:00:00"/>
    <s v="C1"/>
    <n v="23.29"/>
    <n v="23.2"/>
    <x v="21"/>
  </r>
  <r>
    <s v="WQOCT15"/>
    <d v="2015-10-08T00:00:00"/>
    <s v="C1"/>
    <n v="19.12"/>
    <n v="18.760000000000002"/>
    <x v="21"/>
  </r>
  <r>
    <s v="WQNOV15"/>
    <d v="2015-11-09T00:00:00"/>
    <s v="C1"/>
    <n v="15.12"/>
    <n v="15.3"/>
    <x v="21"/>
  </r>
  <r>
    <s v="WQDEC15"/>
    <d v="2015-11-30T00:00:00"/>
    <s v="C1"/>
    <n v="11.3"/>
    <n v="11.32"/>
    <x v="21"/>
  </r>
  <r>
    <s v="WQJAN16"/>
    <d v="2016-01-12T00:00:00"/>
    <s v="C1"/>
    <n v="6.59"/>
    <n v="7.04"/>
    <x v="22"/>
  </r>
  <r>
    <s v="WQFEB16"/>
    <d v="2016-02-01T00:00:00"/>
    <s v="C1"/>
    <n v="3.76"/>
    <n v="3.75"/>
    <x v="22"/>
  </r>
  <r>
    <s v="WQMAR16"/>
    <d v="2016-03-08T00:00:00"/>
    <s v="C1"/>
    <n v="4.21"/>
    <n v="3.4"/>
    <x v="22"/>
  </r>
  <r>
    <s v="WQAPR16"/>
    <d v="2016-04-04T00:00:00"/>
    <s v="C1"/>
    <n v="7.34"/>
    <n v="6.33"/>
    <x v="22"/>
  </r>
  <r>
    <s v="WQMAY16"/>
    <d v="2016-05-12T00:00:00"/>
    <s v="C1"/>
    <n v="13.44"/>
    <n v="10.97"/>
    <x v="22"/>
  </r>
  <r>
    <s v="WQJUN16"/>
    <d v="2016-06-10T00:00:00"/>
    <s v="C1"/>
    <n v="14.32"/>
    <n v="13.66"/>
    <x v="22"/>
  </r>
  <r>
    <s v="HYJUN16"/>
    <d v="2016-06-20T00:00:00"/>
    <s v="C1"/>
    <n v="18.690000000000001"/>
    <n v="14.29"/>
    <x v="22"/>
  </r>
  <r>
    <s v="WQJUL16"/>
    <d v="2016-07-06T00:00:00"/>
    <s v="C1"/>
    <n v="21.08"/>
    <n v="17"/>
    <x v="22"/>
  </r>
  <r>
    <s v="HYJUL16"/>
    <d v="2016-07-19T00:00:00"/>
    <s v="C1"/>
    <n v="22.38"/>
    <n v="18.14"/>
    <x v="22"/>
  </r>
  <r>
    <s v="WQAUG16"/>
    <d v="2016-08-03T00:00:00"/>
    <s v="C1"/>
    <n v="22.67"/>
    <n v="21.77"/>
    <x v="22"/>
  </r>
  <r>
    <s v="HYAUG16"/>
    <d v="2016-08-18T00:00:00"/>
    <s v="C1"/>
    <n v="24.47"/>
    <n v="21.78"/>
    <x v="22"/>
  </r>
  <r>
    <s v="WQSEP16"/>
    <d v="2016-08-30T00:00:00"/>
    <s v="C1"/>
    <n v="24.62"/>
    <n v="23.15"/>
    <x v="22"/>
  </r>
  <r>
    <s v="HYSEP16"/>
    <d v="2016-09-13T00:00:00"/>
    <s v="C1"/>
    <n v="23.73"/>
    <n v="23.42"/>
    <x v="22"/>
  </r>
  <r>
    <s v="WQOCT16"/>
    <d v="2016-10-05T00:00:00"/>
    <s v="C1"/>
    <n v="20.440000000000001"/>
    <n v="20.34"/>
    <x v="22"/>
  </r>
  <r>
    <s v="WQNOV16"/>
    <d v="2016-11-09T00:00:00"/>
    <s v="C1"/>
    <n v="14.47"/>
    <n v="14.64"/>
    <x v="22"/>
  </r>
  <r>
    <s v="WQDEC16"/>
    <d v="2016-12-05T00:00:00"/>
    <s v="C1"/>
    <n v="9.9499999999999993"/>
    <n v="10.51"/>
    <x v="22"/>
  </r>
  <r>
    <s v="WQJAN17"/>
    <d v="2017-01-10T00:00:00"/>
    <s v="C1"/>
    <n v="3.28"/>
    <n v="4.1100000000000003"/>
    <x v="23"/>
  </r>
  <r>
    <s v="WQFEB17"/>
    <d v="2017-02-08T00:00:00"/>
    <s v="C1"/>
    <n v="3.4"/>
    <n v="3.33"/>
    <x v="23"/>
  </r>
  <r>
    <s v="WQMAR17"/>
    <d v="2017-03-07T00:00:00"/>
    <s v="C1"/>
    <n v="3.79"/>
    <n v="3.52"/>
    <x v="23"/>
  </r>
  <r>
    <s v="WQAPR17"/>
    <d v="2017-04-04T00:00:00"/>
    <s v="C1"/>
    <n v="5.04"/>
    <n v="4.07"/>
    <x v="23"/>
  </r>
  <r>
    <s v="WQMAY17"/>
    <d v="2017-05-03T00:00:00"/>
    <s v="C1"/>
    <n v="11.03"/>
    <n v="10.77"/>
    <x v="23"/>
  </r>
  <r>
    <s v="WQJUN17"/>
    <d v="2017-06-07T00:00:00"/>
    <s v="C1"/>
    <n v="15.19"/>
    <n v="14.28"/>
    <x v="23"/>
  </r>
  <r>
    <s v="HYJUN17"/>
    <d v="2017-06-21T00:00:00"/>
    <s v="C1"/>
    <n v="19.96"/>
    <n v="14.28"/>
    <x v="23"/>
  </r>
  <r>
    <s v="WQJUL17"/>
    <d v="2017-07-06T00:00:00"/>
    <s v="C1"/>
    <n v="21.14"/>
    <n v="15.73"/>
    <x v="23"/>
  </r>
  <r>
    <s v="HYJUL17"/>
    <d v="2017-07-18T00:00:00"/>
    <s v="C1"/>
    <n v="23.82"/>
    <n v="19.12"/>
    <x v="23"/>
  </r>
  <r>
    <s v="WQAUG17"/>
    <d v="2017-08-01T00:00:00"/>
    <s v="C1"/>
    <n v="23.84"/>
    <n v="21.36"/>
    <x v="23"/>
  </r>
  <r>
    <s v="HYAUG17"/>
    <d v="2017-08-15T00:00:00"/>
    <s v="C1"/>
    <n v="23.88"/>
    <n v="21.14"/>
    <x v="23"/>
  </r>
  <r>
    <s v="WQSEP17"/>
    <d v="2017-08-28T00:00:00"/>
    <s v="C1"/>
    <n v="22.84"/>
    <n v="22.19"/>
    <x v="23"/>
  </r>
  <r>
    <s v="WQOCT17"/>
    <d v="2017-10-10T00:00:00"/>
    <s v="C1"/>
    <n v="21.79"/>
    <n v="21.22"/>
    <x v="23"/>
  </r>
  <r>
    <s v="WQNOV17"/>
    <d v="2017-11-13T00:00:00"/>
    <s v="C1"/>
    <n v="14.86"/>
    <n v="14.85"/>
    <x v="23"/>
  </r>
  <r>
    <s v="WQDEC17"/>
    <d v="2017-11-30T00:00:00"/>
    <s v="C1"/>
    <n v="10.15"/>
    <n v="11.55"/>
    <x v="23"/>
  </r>
  <r>
    <s v="WQJAN18"/>
    <d v="2018-01-11T00:00:00"/>
    <s v="C1"/>
    <n v="1.06"/>
    <n v="1.87"/>
    <x v="24"/>
  </r>
  <r>
    <s v="WQFEB18"/>
    <d v="2018-02-08T00:00:00"/>
    <s v="C1"/>
    <m/>
    <m/>
    <x v="24"/>
  </r>
  <r>
    <s v="WQMAR18"/>
    <d v="2018-03-19T00:00:00"/>
    <s v="C1"/>
    <n v="3.53"/>
    <n v="3.05"/>
    <x v="24"/>
  </r>
  <r>
    <s v="WQAPR18"/>
    <d v="2018-04-10T00:00:00"/>
    <s v="C1"/>
    <n v="4.54"/>
    <n v="4.5199999999999996"/>
    <x v="24"/>
  </r>
  <r>
    <s v="WQMAY18"/>
    <d v="2018-05-02T00:00:00"/>
    <s v="C1"/>
    <n v="9.75"/>
    <n v="6.98"/>
    <x v="24"/>
  </r>
  <r>
    <s v="WQJUN18"/>
    <d v="2018-06-05T00:00:00"/>
    <s v="C1"/>
    <n v="16.48"/>
    <n v="14.61"/>
    <x v="24"/>
  </r>
  <r>
    <s v="HYJUN18"/>
    <d v="2018-06-12T00:00:00"/>
    <s v="C1"/>
    <n v="17.62"/>
    <n v="12.83"/>
    <x v="24"/>
  </r>
  <r>
    <s v="WQJUL18"/>
    <d v="2018-07-05T00:00:00"/>
    <s v="C1"/>
    <n v="24.6"/>
    <n v="15.2"/>
    <x v="24"/>
  </r>
  <r>
    <s v="HYJUL18"/>
    <d v="2018-07-16T00:00:00"/>
    <s v="C1"/>
    <n v="21.8"/>
    <n v="16.82"/>
    <x v="24"/>
  </r>
  <r>
    <s v="WQAUG18"/>
    <d v="2018-08-02T00:00:00"/>
    <s v="C1"/>
    <n v="23.86"/>
    <n v="20.27"/>
    <x v="24"/>
  </r>
  <r>
    <s v="HYAUG18"/>
    <d v="2018-08-15T00:00:00"/>
    <s v="C1"/>
    <n v="23.91"/>
    <n v="22.21"/>
    <x v="24"/>
  </r>
  <r>
    <s v="WQSEP18"/>
    <d v="2018-08-27T00:00:00"/>
    <s v="C1"/>
    <n v="23.88"/>
    <n v="22.64"/>
    <x v="24"/>
  </r>
  <r>
    <s v="HYSEP18"/>
    <d v="2018-09-12T00:00:00"/>
    <s v="C1"/>
    <n v="22.56"/>
    <n v="22.51"/>
    <x v="24"/>
  </r>
  <r>
    <s v="WQOCT18"/>
    <d v="2018-10-03T00:00:00"/>
    <s v="C1"/>
    <n v="21.27"/>
    <n v="21.13"/>
    <x v="24"/>
  </r>
  <r>
    <s v="WQNOV18"/>
    <d v="2018-11-06T00:00:00"/>
    <s v="C1"/>
    <n v="14.25"/>
    <n v="14.36"/>
    <x v="24"/>
  </r>
  <r>
    <s v="WQDEC18"/>
    <d v="2018-12-03T00:00:00"/>
    <s v="C1"/>
    <n v="8.15"/>
    <n v="8.3800000000000008"/>
    <x v="24"/>
  </r>
  <r>
    <s v="WQJAN19"/>
    <d v="2019-01-03T00:00:00"/>
    <s v="C1"/>
    <n v="5.49"/>
    <n v="5.68"/>
    <x v="25"/>
  </r>
  <r>
    <s v="WQFEB19"/>
    <d v="2019-02-07T00:00:00"/>
    <s v="C1"/>
    <n v="1.67"/>
    <n v="1.77"/>
    <x v="25"/>
  </r>
  <r>
    <s v="WQMAR19"/>
    <d v="2019-03-05T00:00:00"/>
    <s v="C1"/>
    <n v="1.89"/>
    <n v="1.73"/>
    <x v="25"/>
  </r>
  <r>
    <s v="WQAPR19"/>
    <d v="2019-04-03T00:00:00"/>
    <s v="C1"/>
    <n v="5.63"/>
    <n v="3.95"/>
    <x v="25"/>
  </r>
  <r>
    <s v="WQMAY19"/>
    <d v="2019-05-07T00:00:00"/>
    <s v="C1"/>
    <n v="11.46"/>
    <n v="10.33"/>
    <x v="25"/>
  </r>
  <r>
    <s v="WQJUN19"/>
    <d v="2019-05-30T00:00:00"/>
    <s v="C1"/>
    <n v="15.52"/>
    <n v="11.87"/>
    <x v="25"/>
  </r>
  <r>
    <s v="HYJUN19"/>
    <d v="2019-06-12T00:00:00"/>
    <s v="C1"/>
    <n v="16.760000000000002"/>
    <n v="14.08"/>
    <x v="25"/>
  </r>
  <r>
    <s v="WQJUL19"/>
    <d v="2019-07-02T00:00:00"/>
    <s v="C1"/>
    <n v="20.18"/>
    <n v="14.76"/>
    <x v="25"/>
  </r>
  <r>
    <s v="HYJUL19"/>
    <d v="2019-07-15T00:00:00"/>
    <s v="C1"/>
    <n v="22.36"/>
    <n v="17.36"/>
    <x v="25"/>
  </r>
  <r>
    <s v="WQAUG19"/>
    <d v="2019-07-30T00:00:00"/>
    <s v="C1"/>
    <n v="23.33"/>
    <n v="18.21"/>
    <x v="25"/>
  </r>
  <r>
    <s v="HYAUG19"/>
    <d v="2019-08-12T00:00:00"/>
    <s v="C1"/>
    <n v="22.91"/>
    <n v="20.47"/>
    <x v="25"/>
  </r>
  <r>
    <s v="WQSEP19"/>
    <d v="2019-08-28T00:00:00"/>
    <s v="C1"/>
    <n v="22.57"/>
    <n v="22.34"/>
    <x v="25"/>
  </r>
  <r>
    <s v="HYSEP19"/>
    <d v="2019-09-10T00:00:00"/>
    <s v="C1"/>
    <n v="21.99"/>
    <n v="21.91"/>
    <x v="25"/>
  </r>
  <r>
    <s v="WQOCT19"/>
    <d v="2019-10-01T00:00:00"/>
    <s v="C1"/>
    <n v="21.45"/>
    <n v="21.39"/>
    <x v="25"/>
  </r>
  <r>
    <s v="WQNOV19"/>
    <d v="2019-11-05T00:00:00"/>
    <s v="C1"/>
    <n v="14.93"/>
    <n v="15.7"/>
    <x v="25"/>
  </r>
  <r>
    <s v="WQDEC19"/>
    <d v="2019-12-06T00:00:00"/>
    <s v="C1"/>
    <n v="8.06"/>
    <n v="8.09"/>
    <x v="25"/>
  </r>
  <r>
    <s v="WQJAN20"/>
    <d v="2020-01-09T00:00:00"/>
    <s v="C1"/>
    <n v="4.71"/>
    <n v="4.6900000000000004"/>
    <x v="26"/>
  </r>
  <r>
    <s v="WQFEB20"/>
    <d v="2020-02-03T00:00:00"/>
    <s v="C1"/>
    <m/>
    <m/>
    <x v="26"/>
  </r>
  <r>
    <s v="WQMAR20"/>
    <d v="2020-03-10T00:00:00"/>
    <s v="C1"/>
    <n v="4.63"/>
    <n v="4.37"/>
    <x v="26"/>
  </r>
  <r>
    <s v="WQJUN20"/>
    <d v="2020-06-17T00:00:00"/>
    <s v="C1"/>
    <n v="18.260000000000002"/>
    <n v="13.27"/>
    <x v="26"/>
  </r>
  <r>
    <s v="WQJUL20"/>
    <d v="2020-07-07T00:00:00"/>
    <s v="C1"/>
    <n v="21.4"/>
    <n v="16.690000000000001"/>
    <x v="26"/>
  </r>
  <r>
    <s v="HYJUL20"/>
    <d v="2020-07-20T00:00:00"/>
    <s v="C1"/>
    <n v="24"/>
    <n v="18.190000000000001"/>
    <x v="26"/>
  </r>
  <r>
    <s v="WQAUG20"/>
    <d v="2020-08-12T00:00:00"/>
    <s v="C1"/>
    <n v="25.17"/>
    <n v="21.65"/>
    <x v="26"/>
  </r>
  <r>
    <s v="HYAUG20"/>
    <d v="2020-09-01T00:00:00"/>
    <s v="C1"/>
    <n v="24.42"/>
    <n v="23.05"/>
    <x v="26"/>
  </r>
  <r>
    <s v="WQSEP20"/>
    <d v="2020-09-09T00:00:00"/>
    <s v="C1"/>
    <n v="24.06"/>
    <n v="23.15"/>
    <x v="26"/>
  </r>
  <r>
    <s v="WQOCT20"/>
    <d v="2020-10-14T00:00:00"/>
    <s v="C1"/>
    <n v="18.399999999999999"/>
    <n v="18.5"/>
    <x v="26"/>
  </r>
  <r>
    <s v="WQNOV20"/>
    <d v="2020-11-06T00:00:00"/>
    <s v="C1"/>
    <n v="14.44"/>
    <n v="14.76"/>
    <x v="26"/>
  </r>
  <r>
    <s v="WQMAR21"/>
    <d v="2021-03-10T00:00:00"/>
    <s v="C1"/>
    <n v="2.3199999999999998"/>
    <n v="3.15"/>
    <x v="27"/>
  </r>
  <r>
    <s v="WQAPR21"/>
    <d v="2021-04-07T00:00:00"/>
    <s v="C1"/>
    <n v="5.24"/>
    <n v="7.73"/>
    <x v="27"/>
  </r>
  <r>
    <s v="WQMAY21"/>
    <d v="2021-05-05T00:00:00"/>
    <s v="C1"/>
    <n v="9.33"/>
    <n v="10.25"/>
    <x v="27"/>
  </r>
  <r>
    <s v="WQJUN21"/>
    <d v="2021-06-08T00:00:00"/>
    <s v="C1"/>
    <n v="13.16"/>
    <n v="17.600000000000001"/>
    <x v="27"/>
  </r>
  <r>
    <s v="HYJUN21"/>
    <d v="2021-06-22T00:00:00"/>
    <s v="C1"/>
    <n v="14.08"/>
    <n v="19.05"/>
    <x v="27"/>
  </r>
  <r>
    <s v="WQJUL21"/>
    <d v="2021-07-08T00:00:00"/>
    <s v="C1"/>
    <n v="17.059999999999999"/>
    <n v="22"/>
    <x v="27"/>
  </r>
  <r>
    <s v="HYJUL21"/>
    <d v="2021-07-19T00:00:00"/>
    <s v="C1"/>
    <n v="18.39"/>
    <n v="23.68"/>
    <x v="27"/>
  </r>
  <r>
    <s v="WQAUG21"/>
    <d v="2021-08-03T00:00:00"/>
    <s v="C1"/>
    <n v="19.920000000000002"/>
    <n v="22.51"/>
    <x v="27"/>
  </r>
  <r>
    <s v="HYAUG21"/>
    <d v="2021-08-16T00:00:00"/>
    <s v="C1"/>
    <n v="21.47"/>
    <n v="24.5"/>
    <x v="27"/>
  </r>
  <r>
    <s v="WQSEP21"/>
    <d v="2021-08-31T00:00:00"/>
    <s v="C1"/>
    <n v="22.86"/>
    <n v="24.29"/>
    <x v="27"/>
  </r>
  <r>
    <s v="HYSEP21"/>
    <d v="2021-09-13T00:00:00"/>
    <s v="C1"/>
    <n v="22.64"/>
    <n v="22.93"/>
    <x v="27"/>
  </r>
  <r>
    <s v="WQOCT21"/>
    <d v="2021-10-05T00:00:00"/>
    <s v="C1"/>
    <n v="21.29"/>
    <n v="21.31"/>
    <x v="27"/>
  </r>
  <r>
    <s v="WQNOV21"/>
    <d v="2021-11-08T00:00:00"/>
    <s v="C1"/>
    <n v="15.37"/>
    <n v="15.56"/>
    <x v="27"/>
  </r>
  <r>
    <s v="WQDEC21"/>
    <d v="2021-12-07T00:00:00"/>
    <s v="C1"/>
    <n v="10.25"/>
    <n v="10.220000000000001"/>
    <x v="27"/>
  </r>
  <r>
    <s v="WQFEB22"/>
    <d v="2022-02-02T00:00:00"/>
    <s v="C1"/>
    <n v="2.2400000000000002"/>
    <n v="2.0099999999999998"/>
    <x v="28"/>
  </r>
  <r>
    <s v="CHFEB22"/>
    <d v="2022-02-15T00:00:00"/>
    <s v="C1"/>
    <n v="1.93"/>
    <n v="2.11"/>
    <x v="28"/>
  </r>
  <r>
    <s v="WQMAR22"/>
    <d v="2022-03-03T00:00:00"/>
    <s v="C1"/>
    <n v="2.91"/>
    <n v="3.02"/>
    <x v="28"/>
  </r>
  <r>
    <s v="WQAPR22"/>
    <d v="2022-04-05T00:00:00"/>
    <s v="C1"/>
    <n v="5.27"/>
    <n v="5.97"/>
    <x v="28"/>
  </r>
  <r>
    <s v="WQMAY22"/>
    <d v="2022-05-05T00:00:00"/>
    <s v="C1"/>
    <n v="8.89"/>
    <n v="10.95"/>
    <x v="28"/>
  </r>
  <r>
    <s v="WQJUN22"/>
    <d v="2022-06-03T00:00:00"/>
    <s v="C1"/>
    <n v="12.9"/>
    <n v="16.64"/>
    <x v="28"/>
  </r>
  <r>
    <s v="HYJUN22"/>
    <d v="2022-06-14T00:00:00"/>
    <s v="C1"/>
    <n v="12.62"/>
    <n v="17.45"/>
    <x v="28"/>
  </r>
  <r>
    <s v="WQJUL22"/>
    <d v="2022-07-07T00:00:00"/>
    <s v="C1"/>
    <n v="16.5"/>
    <n v="19.899999999999999"/>
    <x v="28"/>
  </r>
  <r>
    <s v="HYJUL22"/>
    <d v="2022-07-19T00:00:00"/>
    <s v="C1"/>
    <n v="18.8"/>
    <n v="22.31"/>
    <x v="28"/>
  </r>
  <r>
    <s v="WQAUG22"/>
    <d v="2022-08-02T00:00:00"/>
    <s v="C1"/>
    <n v="19.71"/>
    <n v="22.72"/>
    <x v="28"/>
  </r>
  <r>
    <s v="HYAUG22"/>
    <d v="2022-08-17T00:00:00"/>
    <s v="C1"/>
    <n v="21.73"/>
    <n v="23.03"/>
    <x v="28"/>
  </r>
  <r>
    <s v="WQSEP22"/>
    <d v="2022-09-01T00:00:00"/>
    <s v="C1"/>
    <n v="23.23"/>
    <n v="24.55"/>
    <x v="28"/>
  </r>
  <r>
    <s v="HYSEP22"/>
    <d v="2022-09-13T00:00:00"/>
    <s v="C1"/>
    <n v="23.25"/>
    <n v="23.49"/>
    <x v="28"/>
  </r>
  <r>
    <s v="WQOCT22"/>
    <d v="2022-10-11T00:00:00"/>
    <s v="C1"/>
    <n v="17.850000000000001"/>
    <n v="18.43"/>
    <x v="28"/>
  </r>
  <r>
    <s v="WQNOV22"/>
    <d v="2022-11-09T00:00:00"/>
    <s v="C1"/>
    <n v="15.71"/>
    <n v="15.73"/>
    <x v="28"/>
  </r>
  <r>
    <s v="WQDEC22"/>
    <d v="2022-12-05T00:00:00"/>
    <s v="C1"/>
    <n v="9.65"/>
    <n v="10.59"/>
    <x v="28"/>
  </r>
  <r>
    <s v="WQJAN23"/>
    <d v="2023-01-05T00:00:00"/>
    <s v="C1"/>
    <n v="5.51"/>
    <n v="5.61"/>
    <x v="29"/>
  </r>
  <r>
    <s v="WQFEB23"/>
    <d v="2023-02-07T00:00:00"/>
    <s v="C1"/>
    <n v="3.9"/>
    <n v="4.01"/>
    <x v="29"/>
  </r>
  <r>
    <s v="WQAPR23"/>
    <d v="2023-04-18T00:00:00"/>
    <s v="C1"/>
    <n v="9.2200000000000006"/>
    <n v="8.41"/>
    <x v="29"/>
  </r>
  <r>
    <s v="WQMAY23"/>
    <d v="2023-05-04T00:00:00"/>
    <s v="C1"/>
    <n v="11.82"/>
    <n v="10.3"/>
    <x v="29"/>
  </r>
  <r>
    <s v="WQJUN23"/>
    <d v="2023-06-01T00:00:00"/>
    <s v="C1"/>
    <n v="17.77"/>
    <n v="14.01"/>
    <x v="29"/>
  </r>
  <r>
    <s v="HYJUN23"/>
    <d v="2023-06-23T00:00:00"/>
    <s v="C1"/>
    <n v="18.13"/>
    <n v="17.91"/>
    <x v="29"/>
  </r>
  <r>
    <s v="WQJUL23"/>
    <d v="2023-07-10T00:00:00"/>
    <s v="C1"/>
    <n v="22.57"/>
    <n v="18.07"/>
    <x v="29"/>
  </r>
  <r>
    <s v="HYJUL23"/>
    <d v="2023-07-17T00:00:00"/>
    <s v="C1"/>
    <n v="24.69"/>
    <n v="18.75"/>
    <x v="29"/>
  </r>
  <r>
    <s v="WQAUG23"/>
    <d v="2023-08-02T00:00:00"/>
    <s v="C1"/>
    <n v="22.84"/>
    <n v="20.05"/>
    <x v="29"/>
  </r>
  <r>
    <s v="HYAUG23"/>
    <d v="2023-08-14T00:00:00"/>
    <s v="C1"/>
    <n v="23.76"/>
    <n v="21.3"/>
    <x v="29"/>
  </r>
  <r>
    <s v="WQSEP23"/>
    <d v="2023-09-07T00:00:00"/>
    <s v="C1"/>
    <n v="24.17"/>
    <n v="22.42"/>
    <x v="29"/>
  </r>
  <r>
    <s v="WQOCT23"/>
    <d v="2023-10-10T00:00:00"/>
    <s v="C1"/>
    <n v="18.649999999999999"/>
    <n v="19.07"/>
    <x v="29"/>
  </r>
  <r>
    <s v="WQNOV23"/>
    <d v="2023-11-08T00:00:00"/>
    <s v="C1"/>
    <n v="14.9"/>
    <n v="15.02"/>
    <x v="29"/>
  </r>
  <r>
    <s v="WQDEC23"/>
    <d v="2023-12-06T00:00:00"/>
    <s v="C1"/>
    <n v="9.06"/>
    <n v="9.77"/>
    <x v="29"/>
  </r>
  <r>
    <s v="WQJAN24"/>
    <d v="2024-01-08T00:00:00"/>
    <s v="C1"/>
    <n v="6.38"/>
    <n v="6.93"/>
    <x v="30"/>
  </r>
  <r>
    <s v="WQFEB24"/>
    <d v="2024-02-06T00:00:00"/>
    <s v="C1"/>
    <n v="4.0199999999999996"/>
    <n v="3.82"/>
    <x v="30"/>
  </r>
  <r>
    <s v="CHFEB24"/>
    <d v="2024-02-22T00:00:00"/>
    <s v="C1"/>
    <n v="3.55"/>
    <n v="3.76"/>
    <x v="30"/>
  </r>
  <r>
    <s v="WQMAR24"/>
    <d v="2024-03-06T00:00:00"/>
    <s v="C1"/>
    <n v="4.67"/>
    <n v="4.25"/>
    <x v="30"/>
  </r>
  <r>
    <s v="CHMAR24"/>
    <d v="2024-03-18T00:00:00"/>
    <s v="C1"/>
    <n v="6.51"/>
    <n v="5.94"/>
    <x v="30"/>
  </r>
  <r>
    <s v="WQAPR24"/>
    <d v="2024-04-08T00:00:00"/>
    <s v="C1"/>
    <n v="7.08"/>
    <n v="6.49"/>
    <x v="30"/>
  </r>
  <r>
    <s v="WQMAY24"/>
    <d v="2024-05-03T00:00:00"/>
    <s v="C1"/>
    <n v="12.24"/>
    <n v="10.7"/>
    <x v="30"/>
  </r>
  <r>
    <s v="WQJUN24"/>
    <d v="2024-06-04T00:00:00"/>
    <s v="C1"/>
    <n v="18.690000000000001"/>
    <n v="11.88"/>
    <x v="30"/>
  </r>
  <r>
    <s v="HYJUN24"/>
    <d v="2024-06-17T00:00:00"/>
    <s v="C1"/>
    <n v="18.91"/>
    <n v="13.19"/>
    <x v="30"/>
  </r>
  <r>
    <s v="WQJUL24"/>
    <d v="2024-07-02T00:00:00"/>
    <s v="C1"/>
    <n v="19.45"/>
    <n v="16.27"/>
    <x v="30"/>
  </r>
  <r>
    <s v="HYJUL24"/>
    <d v="2024-07-16T00:00:00"/>
    <s v="C1"/>
    <n v="23.98"/>
    <n v="17.440000000000001"/>
    <x v="30"/>
  </r>
  <r>
    <s v="WQAUG24"/>
    <d v="2024-07-31T00:00:00"/>
    <s v="C1"/>
    <n v="24.17"/>
    <n v="20.54"/>
    <x v="30"/>
  </r>
  <r>
    <s v="HYAUG24"/>
    <d v="2024-08-12T00:00:00"/>
    <s v="C1"/>
    <n v="23.48"/>
    <n v="22.15"/>
    <x v="30"/>
  </r>
  <r>
    <s v="WQSEP24"/>
    <d v="2024-08-27T00:00:00"/>
    <s v="C1"/>
    <n v="23.39"/>
    <n v="21.73"/>
    <x v="30"/>
  </r>
  <r>
    <s v="WQOCT24"/>
    <d v="2024-10-03T00:00:00"/>
    <s v="C1"/>
    <n v="20.55"/>
    <n v="20.45"/>
    <x v="30"/>
  </r>
  <r>
    <m/>
    <m/>
    <m/>
    <m/>
    <m/>
    <x v="3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9">
  <r>
    <s v="WQDEC94"/>
    <d v="1994-12-06T00:00:00"/>
    <s v="C2"/>
    <n v="9.93"/>
    <n v="9.9499999999999993"/>
    <x v="0"/>
  </r>
  <r>
    <s v="WQJAN95"/>
    <d v="1995-01-09T00:00:00"/>
    <s v="C2"/>
    <n v="4.54"/>
    <n v="4.8475000000000001"/>
    <x v="1"/>
  </r>
  <r>
    <s v="WQFEB95"/>
    <d v="1995-02-14T00:00:00"/>
    <s v="C2"/>
    <n v="1.27"/>
    <n v="1.36"/>
    <x v="1"/>
  </r>
  <r>
    <s v="WQMAR95"/>
    <d v="1995-03-10T00:00:00"/>
    <s v="C2"/>
    <n v="2.48"/>
    <n v="2.13"/>
    <x v="1"/>
  </r>
  <r>
    <s v="WQAPR95"/>
    <d v="1995-04-07T00:00:00"/>
    <s v="C2"/>
    <n v="5.07"/>
    <n v="4.55"/>
    <x v="1"/>
  </r>
  <r>
    <s v="WQMAY95"/>
    <d v="1995-05-12T00:00:00"/>
    <s v="C2"/>
    <n v="9.9499999999999993"/>
    <n v="9.3000000000000007"/>
    <x v="1"/>
  </r>
  <r>
    <s v="WQJUN95"/>
    <d v="1995-06-07T00:00:00"/>
    <s v="C2"/>
    <n v="16.7"/>
    <n v="11.46"/>
    <x v="1"/>
  </r>
  <r>
    <s v="WQJUL95"/>
    <d v="1995-07-07T00:00:00"/>
    <s v="C2"/>
    <n v="20.53"/>
    <n v="15.83"/>
    <x v="1"/>
  </r>
  <r>
    <s v="HYJUL95"/>
    <d v="1995-07-18T00:00:00"/>
    <s v="C2"/>
    <n v="20.440000000000001"/>
    <n v="17.82"/>
    <x v="1"/>
  </r>
  <r>
    <s v="WQAUG95"/>
    <d v="1995-08-03T00:00:00"/>
    <s v="C2"/>
    <n v="22.92"/>
    <n v="18.97"/>
    <x v="1"/>
  </r>
  <r>
    <s v="HYAUG95"/>
    <d v="1995-08-14T00:00:00"/>
    <s v="C2"/>
    <n v="24.47"/>
    <n v="21.52"/>
    <x v="1"/>
  </r>
  <r>
    <s v="WQSEP95"/>
    <d v="1995-09-05T00:00:00"/>
    <s v="C2"/>
    <n v="23.02"/>
    <n v="22.432400000000001"/>
    <x v="1"/>
  </r>
  <r>
    <s v="WQOCT95"/>
    <d v="1995-10-05T00:00:00"/>
    <s v="C2"/>
    <n v="19.690000000000001"/>
    <n v="19.420000000000002"/>
    <x v="1"/>
  </r>
  <r>
    <s v="WQNOV95"/>
    <d v="1995-11-13T00:00:00"/>
    <s v="C2"/>
    <n v="13.44"/>
    <n v="13.5099"/>
    <x v="1"/>
  </r>
  <r>
    <s v="WQDEC95"/>
    <d v="1995-12-07T00:00:00"/>
    <s v="C2"/>
    <n v="8.6"/>
    <n v="8.65"/>
    <x v="1"/>
  </r>
  <r>
    <s v="WQFEB96"/>
    <d v="1996-02-08T00:00:00"/>
    <s v="C2"/>
    <n v="-0.28999999999999998"/>
    <n v="0.33"/>
    <x v="2"/>
  </r>
  <r>
    <s v="WQMAR96"/>
    <d v="1996-03-05T00:00:00"/>
    <s v="C2"/>
    <n v="0.64"/>
    <n v="0.6"/>
    <x v="2"/>
  </r>
  <r>
    <s v="WQAPR96"/>
    <d v="1996-04-04T00:00:00"/>
    <s v="C2"/>
    <m/>
    <m/>
    <x v="2"/>
  </r>
  <r>
    <s v="WQMAY96"/>
    <d v="1996-05-14T00:00:00"/>
    <s v="C2"/>
    <n v="10.63"/>
    <n v="8.23"/>
    <x v="2"/>
  </r>
  <r>
    <s v="WQJUN96"/>
    <d v="1996-06-04T00:00:00"/>
    <s v="C2"/>
    <n v="13.95"/>
    <n v="11.85"/>
    <x v="2"/>
  </r>
  <r>
    <s v="HYJUN96"/>
    <d v="1996-06-26T00:00:00"/>
    <s v="C2"/>
    <n v="18.8"/>
    <n v="13.17"/>
    <x v="2"/>
  </r>
  <r>
    <s v="WQJUL96"/>
    <d v="1996-07-08T00:00:00"/>
    <s v="C2"/>
    <m/>
    <n v="14.94"/>
    <x v="2"/>
  </r>
  <r>
    <s v="HYJUL96"/>
    <d v="1996-07-24T00:00:00"/>
    <s v="C2"/>
    <n v="19.149999999999999"/>
    <n v="17.05"/>
    <x v="2"/>
  </r>
  <r>
    <s v="WQAUG96"/>
    <d v="1996-08-07T00:00:00"/>
    <s v="C2"/>
    <n v="22.06"/>
    <n v="19.2"/>
    <x v="2"/>
  </r>
  <r>
    <s v="HYAUG96"/>
    <d v="1996-08-21T00:00:00"/>
    <s v="C2"/>
    <n v="22.11"/>
    <n v="19.78"/>
    <x v="2"/>
  </r>
  <r>
    <s v="WQSEP96"/>
    <d v="1996-09-05T00:00:00"/>
    <s v="C2"/>
    <n v="23.31"/>
    <n v="20.82"/>
    <x v="2"/>
  </r>
  <r>
    <s v="HYSEP96"/>
    <d v="1996-09-20T00:00:00"/>
    <s v="C2"/>
    <n v="20.85"/>
    <m/>
    <x v="2"/>
  </r>
  <r>
    <s v="WQOCT96"/>
    <d v="1996-10-07T00:00:00"/>
    <s v="C2"/>
    <n v="18.87"/>
    <n v="18.72"/>
    <x v="2"/>
  </r>
  <r>
    <s v="WQNOV96"/>
    <d v="1996-11-06T00:00:00"/>
    <s v="C2"/>
    <m/>
    <m/>
    <x v="2"/>
  </r>
  <r>
    <s v="WQDEC96"/>
    <d v="1996-12-04T00:00:00"/>
    <s v="C2"/>
    <n v="8.24"/>
    <n v="8.8800000000000008"/>
    <x v="2"/>
  </r>
  <r>
    <s v="WQFEB97"/>
    <d v="1997-02-03T00:00:00"/>
    <s v="C2"/>
    <n v="2.09"/>
    <n v="1.84"/>
    <x v="3"/>
  </r>
  <r>
    <s v="WQMAR97"/>
    <d v="1997-03-03T00:00:00"/>
    <s v="C2"/>
    <n v="3.24"/>
    <n v="2.84"/>
    <x v="3"/>
  </r>
  <r>
    <s v="WQAPR97"/>
    <d v="1997-04-03T00:00:00"/>
    <s v="C2"/>
    <n v="5.26"/>
    <n v="4.62"/>
    <x v="3"/>
  </r>
  <r>
    <s v="WQMAY97"/>
    <d v="1997-05-08T00:00:00"/>
    <s v="C2"/>
    <n v="9.59"/>
    <n v="8.6"/>
    <x v="3"/>
  </r>
  <r>
    <s v="WQJUN97"/>
    <d v="1997-06-04T00:00:00"/>
    <s v="C2"/>
    <n v="13.81"/>
    <n v="13.07"/>
    <x v="3"/>
  </r>
  <r>
    <s v="HYJUN97"/>
    <d v="1997-06-27T00:00:00"/>
    <s v="C2"/>
    <n v="17.66"/>
    <m/>
    <x v="3"/>
  </r>
  <r>
    <s v="WQJUL97"/>
    <d v="1997-07-09T00:00:00"/>
    <s v="C2"/>
    <n v="19.91"/>
    <n v="15.09"/>
    <x v="3"/>
  </r>
  <r>
    <s v="HYJUL97"/>
    <d v="1997-07-22T00:00:00"/>
    <s v="C2"/>
    <n v="19.82"/>
    <m/>
    <x v="3"/>
  </r>
  <r>
    <s v="WQAUG97"/>
    <d v="1997-08-05T00:00:00"/>
    <s v="C2"/>
    <n v="21.07"/>
    <n v="16.57"/>
    <x v="3"/>
  </r>
  <r>
    <s v="HYAUG97"/>
    <d v="1997-08-20T00:00:00"/>
    <s v="C2"/>
    <n v="21.43"/>
    <n v="20.52"/>
    <x v="3"/>
  </r>
  <r>
    <s v="WQSEP97"/>
    <d v="1997-09-04T00:00:00"/>
    <s v="C2"/>
    <n v="21.51"/>
    <n v="21.6"/>
    <x v="3"/>
  </r>
  <r>
    <s v="WQOCT97"/>
    <d v="1997-10-08T00:00:00"/>
    <s v="C2"/>
    <n v="18.98"/>
    <n v="19.02"/>
    <x v="3"/>
  </r>
  <r>
    <s v="WQNOV97"/>
    <d v="1997-11-03T00:00:00"/>
    <s v="C2"/>
    <n v="14.38"/>
    <n v="14.35"/>
    <x v="3"/>
  </r>
  <r>
    <s v="WQDEC97"/>
    <d v="1997-12-08T00:00:00"/>
    <s v="C2"/>
    <n v="7.62"/>
    <n v="7.98"/>
    <x v="3"/>
  </r>
  <r>
    <s v="WQJAN98"/>
    <d v="1998-01-14T00:00:00"/>
    <s v="C2"/>
    <n v="4.72"/>
    <n v="4.84"/>
    <x v="4"/>
  </r>
  <r>
    <s v="WQFEB98"/>
    <d v="1998-02-02T00:00:00"/>
    <s v="C2"/>
    <n v="3.42"/>
    <n v="3.44"/>
    <x v="4"/>
  </r>
  <r>
    <s v="WQMAR98"/>
    <d v="1998-03-04T00:00:00"/>
    <s v="C2"/>
    <n v="4.43"/>
    <n v="4.22"/>
    <x v="4"/>
  </r>
  <r>
    <s v="WQAPR98"/>
    <d v="1998-04-20T00:00:00"/>
    <s v="C2"/>
    <n v="9.19"/>
    <n v="7.56"/>
    <x v="4"/>
  </r>
  <r>
    <s v="WQMAY98"/>
    <d v="1998-05-13T00:00:00"/>
    <s v="C2"/>
    <n v="11.76"/>
    <n v="11.65"/>
    <x v="4"/>
  </r>
  <r>
    <s v="WQJUN98"/>
    <d v="1998-06-02T00:00:00"/>
    <s v="C2"/>
    <n v="16.28"/>
    <n v="11.86"/>
    <x v="4"/>
  </r>
  <r>
    <s v="HYJUN98"/>
    <d v="1998-06-25T00:00:00"/>
    <s v="C2"/>
    <n v="19.2"/>
    <n v="15.76"/>
    <x v="4"/>
  </r>
  <r>
    <s v="WQJUL98"/>
    <d v="1998-07-08T00:00:00"/>
    <s v="C2"/>
    <n v="20.8"/>
    <n v="16.149999999999999"/>
    <x v="4"/>
  </r>
  <r>
    <s v="HYJUL98"/>
    <d v="1998-07-22T00:00:00"/>
    <s v="C2"/>
    <n v="21.74"/>
    <n v="17.91"/>
    <x v="4"/>
  </r>
  <r>
    <s v="WQAUG98"/>
    <d v="1998-08-03T00:00:00"/>
    <s v="C2"/>
    <n v="21.93"/>
    <n v="19.02"/>
    <x v="4"/>
  </r>
  <r>
    <s v="HYAUG98"/>
    <d v="1998-08-17T00:00:00"/>
    <s v="C2"/>
    <n v="23.4"/>
    <n v="20.58"/>
    <x v="4"/>
  </r>
  <r>
    <s v="WQSEP98"/>
    <d v="1998-09-02T00:00:00"/>
    <s v="C2"/>
    <n v="23.7"/>
    <n v="21.53"/>
    <x v="4"/>
  </r>
  <r>
    <s v="HYSEP98"/>
    <d v="1998-09-16T00:00:00"/>
    <s v="C2"/>
    <n v="22.25"/>
    <m/>
    <x v="4"/>
  </r>
  <r>
    <s v="WQOCT98"/>
    <d v="1998-10-06T00:00:00"/>
    <s v="C2"/>
    <n v="19.63"/>
    <n v="19.77"/>
    <x v="4"/>
  </r>
  <r>
    <s v="WQNOV98"/>
    <d v="1998-11-05T00:00:00"/>
    <s v="C2"/>
    <n v="14.89"/>
    <n v="14.9"/>
    <x v="4"/>
  </r>
  <r>
    <s v="WQDEC98"/>
    <d v="1998-12-02T00:00:00"/>
    <s v="C2"/>
    <n v="10.83"/>
    <n v="10.84"/>
    <x v="4"/>
  </r>
  <r>
    <s v="WQJAN99"/>
    <d v="1999-01-11T00:00:00"/>
    <s v="C2"/>
    <n v="4.16"/>
    <n v="4.3099999999999996"/>
    <x v="5"/>
  </r>
  <r>
    <s v="WQFEB99"/>
    <d v="1999-02-04T00:00:00"/>
    <s v="C2"/>
    <n v="2.99"/>
    <n v="2.97"/>
    <x v="5"/>
  </r>
  <r>
    <s v="WQMAR99"/>
    <d v="1999-03-09T00:00:00"/>
    <s v="C2"/>
    <n v="2.67"/>
    <n v="2.72"/>
    <x v="5"/>
  </r>
  <r>
    <s v="WQAPR99"/>
    <d v="1999-04-07T00:00:00"/>
    <s v="C2"/>
    <n v="6.76"/>
    <n v="5.01"/>
    <x v="5"/>
  </r>
  <r>
    <s v="WQMAY99"/>
    <d v="1999-05-06T00:00:00"/>
    <s v="C2"/>
    <n v="10.86"/>
    <n v="9.3699999999999992"/>
    <x v="5"/>
  </r>
  <r>
    <s v="WQJUN99"/>
    <d v="1999-06-01T00:00:00"/>
    <s v="C2"/>
    <n v="17.25"/>
    <n v="11.3"/>
    <x v="5"/>
  </r>
  <r>
    <s v="HYJUN99"/>
    <d v="1999-06-24T00:00:00"/>
    <s v="C2"/>
    <n v="19.29"/>
    <n v="14.97"/>
    <x v="5"/>
  </r>
  <r>
    <s v="WQJUL99"/>
    <d v="1999-07-07T00:00:00"/>
    <s v="C2"/>
    <n v="20.93"/>
    <n v="16.809999999999999"/>
    <x v="5"/>
  </r>
  <r>
    <s v="HYJUL99"/>
    <d v="1999-07-21T00:00:00"/>
    <s v="C2"/>
    <n v="22.26"/>
    <n v="18.82"/>
    <x v="5"/>
  </r>
  <r>
    <s v="WQAUG99"/>
    <d v="1999-08-04T00:00:00"/>
    <s v="C2"/>
    <n v="23.3"/>
    <n v="20.420000000000002"/>
    <x v="5"/>
  </r>
  <r>
    <s v="HYAUG99"/>
    <d v="1999-08-18T00:00:00"/>
    <s v="C2"/>
    <n v="23.32"/>
    <n v="21.55"/>
    <x v="5"/>
  </r>
  <r>
    <s v="WQSEP99"/>
    <d v="1999-09-01T00:00:00"/>
    <s v="C2"/>
    <n v="22.25"/>
    <n v="22.24"/>
    <x v="5"/>
  </r>
  <r>
    <s v="WQOCT99"/>
    <d v="1999-09-28T00:00:00"/>
    <s v="C2"/>
    <n v="20.58"/>
    <n v="20.81"/>
    <x v="5"/>
  </r>
  <r>
    <s v="WQNOV99"/>
    <d v="1999-11-05T00:00:00"/>
    <s v="C2"/>
    <n v="15.3"/>
    <n v="15.54"/>
    <x v="5"/>
  </r>
  <r>
    <s v="WQDEC99"/>
    <d v="1999-12-09T00:00:00"/>
    <s v="C2"/>
    <n v="9.66"/>
    <n v="10.130000000000001"/>
    <x v="5"/>
  </r>
  <r>
    <s v="WQJAN00"/>
    <d v="2000-01-06T00:00:00"/>
    <s v="C2"/>
    <n v="5.5"/>
    <n v="5.93"/>
    <x v="6"/>
  </r>
  <r>
    <s v="WQFEB00"/>
    <d v="2000-02-07T00:00:00"/>
    <s v="C2"/>
    <n v="0.79"/>
    <n v="0.8"/>
    <x v="6"/>
  </r>
  <r>
    <s v="WQMAR00"/>
    <d v="2000-03-06T00:00:00"/>
    <s v="C2"/>
    <n v="3.02"/>
    <n v="2.2200000000000002"/>
    <x v="6"/>
  </r>
  <r>
    <s v="WQAPR00"/>
    <d v="2000-04-10T00:00:00"/>
    <s v="C2"/>
    <n v="6.23"/>
    <n v="6.17"/>
    <x v="6"/>
  </r>
  <r>
    <s v="WQMAY00"/>
    <d v="2000-05-03T00:00:00"/>
    <s v="C2"/>
    <n v="9.83"/>
    <n v="8.11"/>
    <x v="6"/>
  </r>
  <r>
    <s v="WQJUN00"/>
    <d v="2000-06-05T00:00:00"/>
    <s v="C2"/>
    <n v="16.510000000000002"/>
    <n v="13.46"/>
    <x v="6"/>
  </r>
  <r>
    <s v="HYJUN00"/>
    <d v="2000-06-26T00:00:00"/>
    <s v="C2"/>
    <n v="19.7"/>
    <n v="14.14"/>
    <x v="6"/>
  </r>
  <r>
    <s v="WQJUL00"/>
    <d v="2000-07-10T00:00:00"/>
    <s v="C2"/>
    <n v="19.68"/>
    <n v="16.510000000000002"/>
    <x v="6"/>
  </r>
  <r>
    <s v="HYJUL00"/>
    <d v="2000-07-19T00:00:00"/>
    <s v="C2"/>
    <n v="20.85"/>
    <n v="17.649999999999999"/>
    <x v="6"/>
  </r>
  <r>
    <s v="WQAUG00"/>
    <d v="2000-08-07T00:00:00"/>
    <s v="C2"/>
    <n v="21.81"/>
    <n v="19.62"/>
    <x v="6"/>
  </r>
  <r>
    <s v="HYAUG00"/>
    <d v="2000-08-16T00:00:00"/>
    <s v="C2"/>
    <n v="21.59"/>
    <n v="20.91"/>
    <x v="6"/>
  </r>
  <r>
    <s v="WQSEP00"/>
    <d v="2000-08-31T00:00:00"/>
    <s v="C2"/>
    <n v="21.86"/>
    <n v="21.54"/>
    <x v="6"/>
  </r>
  <r>
    <s v="WQOCT00"/>
    <d v="2000-10-03T00:00:00"/>
    <s v="C2"/>
    <n v="19.420000000000002"/>
    <n v="19.309999999999999"/>
    <x v="6"/>
  </r>
  <r>
    <s v="WQNOV00"/>
    <d v="2000-11-09T00:00:00"/>
    <s v="C2"/>
    <n v="13.95"/>
    <n v="13.9"/>
    <x v="6"/>
  </r>
  <r>
    <s v="WQDEC00"/>
    <d v="2000-12-04T00:00:00"/>
    <s v="C2"/>
    <n v="8.5"/>
    <n v="8.6"/>
    <x v="6"/>
  </r>
  <r>
    <s v="WQJAN01"/>
    <d v="2001-01-17T00:00:00"/>
    <s v="C2"/>
    <n v="2.04"/>
    <n v="2.1"/>
    <x v="7"/>
  </r>
  <r>
    <s v="WQFEB01"/>
    <d v="2001-02-07T00:00:00"/>
    <s v="C2"/>
    <n v="1.68"/>
    <n v="1.69"/>
    <x v="7"/>
  </r>
  <r>
    <s v="WQMAR01"/>
    <d v="2001-03-08T00:00:00"/>
    <s v="C2"/>
    <n v="1.65"/>
    <n v="1.64"/>
    <x v="7"/>
  </r>
  <r>
    <s v="WQAPR01"/>
    <d v="2001-04-04T00:00:00"/>
    <s v="C2"/>
    <n v="4.2"/>
    <n v="3.58"/>
    <x v="7"/>
  </r>
  <r>
    <s v="WQMAY01"/>
    <d v="2001-05-01T00:00:00"/>
    <s v="C2"/>
    <m/>
    <m/>
    <x v="7"/>
  </r>
  <r>
    <s v="WQJUN01"/>
    <d v="2001-06-06T00:00:00"/>
    <s v="C2"/>
    <n v="15.84"/>
    <n v="12"/>
    <x v="7"/>
  </r>
  <r>
    <s v="HYJUN01"/>
    <d v="2001-06-21T00:00:00"/>
    <s v="C2"/>
    <n v="19.95"/>
    <n v="12.99"/>
    <x v="7"/>
  </r>
  <r>
    <s v="WQJUL01"/>
    <d v="2001-07-10T00:00:00"/>
    <s v="C2"/>
    <n v="19.62"/>
    <n v="16.13"/>
    <x v="7"/>
  </r>
  <r>
    <s v="HYJUL01"/>
    <d v="2001-07-25T00:00:00"/>
    <s v="C2"/>
    <n v="21.59"/>
    <n v="18.39"/>
    <x v="7"/>
  </r>
  <r>
    <s v="WQAUG01"/>
    <d v="2001-08-07T00:00:00"/>
    <s v="C2"/>
    <n v="22.93"/>
    <n v="19.66"/>
    <x v="7"/>
  </r>
  <r>
    <s v="HYAUG01"/>
    <d v="2001-08-21T00:00:00"/>
    <s v="C2"/>
    <m/>
    <m/>
    <x v="7"/>
  </r>
  <r>
    <s v="WQSEP01"/>
    <d v="2001-09-04T00:00:00"/>
    <s v="C2"/>
    <n v="22.59"/>
    <n v="21.65"/>
    <x v="7"/>
  </r>
  <r>
    <s v="HYSEP01"/>
    <d v="2001-09-24T00:00:00"/>
    <s v="C2"/>
    <n v="21.79"/>
    <m/>
    <x v="7"/>
  </r>
  <r>
    <s v="WQOCT01"/>
    <d v="2001-10-04T00:00:00"/>
    <s v="C2"/>
    <n v="19.260000000000002"/>
    <n v="19.45"/>
    <x v="7"/>
  </r>
  <r>
    <s v="WQNOV01"/>
    <d v="2001-11-13T00:00:00"/>
    <s v="C2"/>
    <n v="13.61"/>
    <n v="13.58"/>
    <x v="7"/>
  </r>
  <r>
    <s v="WQDEC01"/>
    <d v="2001-12-05T00:00:00"/>
    <s v="C2"/>
    <n v="11.7"/>
    <n v="11.87"/>
    <x v="7"/>
  </r>
  <r>
    <s v="WQJAN02"/>
    <d v="2002-01-15T00:00:00"/>
    <s v="C2"/>
    <n v="4.84"/>
    <n v="5.64"/>
    <x v="8"/>
  </r>
  <r>
    <s v="WQFEB02"/>
    <d v="2002-02-06T00:00:00"/>
    <s v="C2"/>
    <n v="4.38"/>
    <n v="4.41"/>
    <x v="8"/>
  </r>
  <r>
    <s v="WQMAR02"/>
    <d v="2002-03-04T00:00:00"/>
    <s v="C2"/>
    <n v="4.7300000000000004"/>
    <n v="4.7"/>
    <x v="8"/>
  </r>
  <r>
    <s v="WQAPR02"/>
    <d v="2002-04-04T00:00:00"/>
    <s v="C2"/>
    <n v="6.71"/>
    <n v="5.88"/>
    <x v="8"/>
  </r>
  <r>
    <s v="WQMAY02"/>
    <d v="2002-05-07T00:00:00"/>
    <s v="C2"/>
    <n v="11.31"/>
    <n v="9.65"/>
    <x v="8"/>
  </r>
  <r>
    <s v="WQJUN02"/>
    <d v="2002-06-06T00:00:00"/>
    <s v="C2"/>
    <n v="16.399999999999999"/>
    <n v="12.63"/>
    <x v="8"/>
  </r>
  <r>
    <s v="HYJUN02"/>
    <d v="2002-06-26T00:00:00"/>
    <s v="C2"/>
    <n v="20.5"/>
    <n v="15.87"/>
    <x v="8"/>
  </r>
  <r>
    <s v="WQJUL02"/>
    <d v="2002-07-09T00:00:00"/>
    <s v="C2"/>
    <n v="20.49"/>
    <n v="16.18"/>
    <x v="8"/>
  </r>
  <r>
    <s v="HYJUL02"/>
    <d v="2002-07-22T00:00:00"/>
    <s v="C2"/>
    <n v="22.2"/>
    <n v="18.25"/>
    <x v="8"/>
  </r>
  <r>
    <s v="WQAUG02"/>
    <d v="2002-08-07T00:00:00"/>
    <s v="C2"/>
    <n v="22.57"/>
    <n v="19.88"/>
    <x v="8"/>
  </r>
  <r>
    <s v="HYAUG02"/>
    <d v="2002-08-22T00:00:00"/>
    <s v="C2"/>
    <n v="23.73"/>
    <n v="21.8"/>
    <x v="8"/>
  </r>
  <r>
    <s v="WQSEP02"/>
    <d v="2002-09-10T00:00:00"/>
    <s v="C2"/>
    <n v="22.42"/>
    <n v="21.65"/>
    <x v="8"/>
  </r>
  <r>
    <s v="WQOCT02"/>
    <d v="2002-10-09T00:00:00"/>
    <s v="C2"/>
    <n v="20.48"/>
    <n v="20.64"/>
    <x v="8"/>
  </r>
  <r>
    <s v="WQNOV02"/>
    <d v="2002-11-13T00:00:00"/>
    <s v="C2"/>
    <n v="12.45"/>
    <n v="13.22"/>
    <x v="8"/>
  </r>
  <r>
    <s v="WQDEC02"/>
    <d v="2002-12-10T00:00:00"/>
    <s v="C2"/>
    <n v="6.36"/>
    <n v="7.09"/>
    <x v="8"/>
  </r>
  <r>
    <s v="WQFEB03"/>
    <d v="2003-02-14T00:00:00"/>
    <s v="C2"/>
    <n v="-0.25"/>
    <n v="-0.14000000000000001"/>
    <x v="9"/>
  </r>
  <r>
    <s v="WQMAR03"/>
    <d v="2003-03-10T00:00:00"/>
    <s v="C2"/>
    <n v="-0.26"/>
    <n v="-0.25"/>
    <x v="9"/>
  </r>
  <r>
    <s v="WQAPR03"/>
    <d v="2003-04-01T00:00:00"/>
    <s v="C2"/>
    <n v="4.24"/>
    <n v="1.78"/>
    <x v="9"/>
  </r>
  <r>
    <s v="WQMAY03"/>
    <d v="2003-05-06T00:00:00"/>
    <s v="C2"/>
    <n v="9.2899999999999991"/>
    <n v="6.61"/>
    <x v="9"/>
  </r>
  <r>
    <s v="WQJUN03"/>
    <d v="2003-06-05T00:00:00"/>
    <s v="C2"/>
    <n v="13.15"/>
    <n v="11.25"/>
    <x v="9"/>
  </r>
  <r>
    <s v="HYJUN03"/>
    <d v="2003-06-19T00:00:00"/>
    <s v="C2"/>
    <n v="15.76"/>
    <n v="12.72"/>
    <x v="9"/>
  </r>
  <r>
    <s v="WQJUL03"/>
    <d v="2003-07-08T00:00:00"/>
    <s v="C2"/>
    <n v="20.66"/>
    <n v="13.53"/>
    <x v="9"/>
  </r>
  <r>
    <s v="HYJUL03"/>
    <d v="2003-07-28T00:00:00"/>
    <s v="C2"/>
    <n v="19.100000000000001"/>
    <n v="15.9"/>
    <x v="9"/>
  </r>
  <r>
    <s v="WQAUG03"/>
    <d v="2003-08-06T00:00:00"/>
    <s v="C2"/>
    <n v="20.68"/>
    <n v="17.77"/>
    <x v="9"/>
  </r>
  <r>
    <s v="HYAUG03"/>
    <d v="2003-08-20T00:00:00"/>
    <s v="C2"/>
    <n v="23.11"/>
    <n v="19.329999999999998"/>
    <x v="9"/>
  </r>
  <r>
    <s v="WQSEP03"/>
    <d v="2003-09-03T00:00:00"/>
    <s v="C2"/>
    <n v="20.8"/>
    <n v="20.66"/>
    <x v="9"/>
  </r>
  <r>
    <s v="WQOCT03"/>
    <d v="2003-10-06T00:00:00"/>
    <s v="C2"/>
    <n v="19.3"/>
    <n v="19.25"/>
    <x v="9"/>
  </r>
  <r>
    <s v="WQNOV03"/>
    <d v="2003-11-05T00:00:00"/>
    <s v="C2"/>
    <n v="15.07"/>
    <n v="15.09"/>
    <x v="9"/>
  </r>
  <r>
    <s v="WQDEC03"/>
    <d v="2003-12-09T00:00:00"/>
    <s v="C2"/>
    <n v="7.47"/>
    <n v="7.52"/>
    <x v="9"/>
  </r>
  <r>
    <s v="WQFEB04"/>
    <d v="2004-02-02T00:00:00"/>
    <s v="C2"/>
    <n v="-0.62"/>
    <n v="-0.71"/>
    <x v="10"/>
  </r>
  <r>
    <s v="WQMAR04"/>
    <d v="2004-03-01T00:00:00"/>
    <s v="C2"/>
    <n v="0.57999999999999996"/>
    <n v="0.28000000000000003"/>
    <x v="10"/>
  </r>
  <r>
    <s v="WQAPR04"/>
    <d v="2004-04-14T00:00:00"/>
    <s v="C2"/>
    <n v="5.44"/>
    <n v="4.67"/>
    <x v="10"/>
  </r>
  <r>
    <s v="WQMAY04"/>
    <d v="2004-05-06T00:00:00"/>
    <s v="C2"/>
    <n v="9.75"/>
    <n v="7.25"/>
    <x v="10"/>
  </r>
  <r>
    <s v="WQJUN04"/>
    <d v="2004-06-02T00:00:00"/>
    <s v="C2"/>
    <n v="15.08"/>
    <n v="11.48"/>
    <x v="10"/>
  </r>
  <r>
    <s v="HYJUN04"/>
    <d v="2004-06-29T00:00:00"/>
    <s v="C2"/>
    <n v="16.72"/>
    <n v="13.75"/>
    <x v="10"/>
  </r>
  <r>
    <s v="WQJUL04"/>
    <d v="2004-07-06T00:00:00"/>
    <s v="C2"/>
    <n v="18.760000000000002"/>
    <n v="15.7"/>
    <x v="10"/>
  </r>
  <r>
    <s v="HYJUL04"/>
    <d v="2004-07-20T00:00:00"/>
    <s v="C2"/>
    <n v="20.73"/>
    <n v="17.54"/>
    <x v="10"/>
  </r>
  <r>
    <s v="WQAUG04"/>
    <d v="2004-08-03T00:00:00"/>
    <s v="C2"/>
    <m/>
    <n v="19.100000000000001"/>
    <x v="10"/>
  </r>
  <r>
    <s v="HYAUG04"/>
    <d v="2004-08-23T00:00:00"/>
    <s v="C2"/>
    <n v="22.22"/>
    <n v="20.3"/>
    <x v="10"/>
  </r>
  <r>
    <s v="WQSEP04"/>
    <d v="2004-09-03T00:00:00"/>
    <s v="C2"/>
    <n v="23.23"/>
    <n v="21.38"/>
    <x v="10"/>
  </r>
  <r>
    <s v="WQOCT04"/>
    <d v="2004-10-13T00:00:00"/>
    <s v="C2"/>
    <n v="18.899999999999999"/>
    <n v="19.3"/>
    <x v="10"/>
  </r>
  <r>
    <s v="WQDEC04"/>
    <d v="2004-12-09T00:00:00"/>
    <s v="C2"/>
    <n v="8.86"/>
    <n v="9.16"/>
    <x v="10"/>
  </r>
  <r>
    <s v="WQJAN05"/>
    <d v="2005-01-11T00:00:00"/>
    <s v="C2"/>
    <n v="4.3899999999999997"/>
    <n v="4.43"/>
    <x v="11"/>
  </r>
  <r>
    <s v="WQFEB05"/>
    <d v="2005-01-31T00:00:00"/>
    <s v="C2"/>
    <n v="0.91"/>
    <n v="0.83"/>
    <x v="11"/>
  </r>
  <r>
    <s v="WQMAR05"/>
    <d v="2005-03-10T00:00:00"/>
    <s v="C2"/>
    <n v="0.99"/>
    <n v="0.99"/>
    <x v="11"/>
  </r>
  <r>
    <s v="WQAPR05"/>
    <d v="2005-04-06T00:00:00"/>
    <s v="C2"/>
    <n v="4.6500000000000004"/>
    <n v="3.34"/>
    <x v="11"/>
  </r>
  <r>
    <s v="WQMAY05"/>
    <d v="2005-05-09T00:00:00"/>
    <s v="C2"/>
    <n v="9.26"/>
    <n v="8.84"/>
    <x v="11"/>
  </r>
  <r>
    <s v="WQJUN05"/>
    <d v="2005-06-09T00:00:00"/>
    <s v="C2"/>
    <n v="18.239999999999998"/>
    <n v="11.75"/>
    <x v="11"/>
  </r>
  <r>
    <s v="HYJUN05"/>
    <d v="2005-06-23T00:00:00"/>
    <s v="C2"/>
    <n v="17.54"/>
    <n v="12.95"/>
    <x v="11"/>
  </r>
  <r>
    <s v="WQJUL05"/>
    <d v="2005-07-11T00:00:00"/>
    <s v="C2"/>
    <n v="20.55"/>
    <n v="16.670000000000002"/>
    <x v="11"/>
  </r>
  <r>
    <s v="HYJUL05"/>
    <d v="2005-07-21T00:00:00"/>
    <s v="C2"/>
    <n v="23.7"/>
    <n v="17.079999999999998"/>
    <x v="11"/>
  </r>
  <r>
    <s v="WQAUG05"/>
    <d v="2005-08-03T00:00:00"/>
    <s v="C2"/>
    <n v="22.75"/>
    <n v="18.510000000000002"/>
    <x v="11"/>
  </r>
  <r>
    <s v="HYAUG05"/>
    <d v="2005-08-17T00:00:00"/>
    <s v="C2"/>
    <n v="23.1"/>
    <n v="19.649999999999999"/>
    <x v="11"/>
  </r>
  <r>
    <s v="WQSEP05"/>
    <d v="2005-08-30T00:00:00"/>
    <s v="C2"/>
    <n v="23.16"/>
    <n v="21.06"/>
    <x v="11"/>
  </r>
  <r>
    <s v="WQOCT05"/>
    <d v="2005-10-18T00:00:00"/>
    <s v="C2"/>
    <n v="18.329999999999998"/>
    <n v="18.59"/>
    <x v="11"/>
  </r>
  <r>
    <s v="WQNOV05"/>
    <d v="2005-11-18T00:00:00"/>
    <s v="C2"/>
    <n v="13.18"/>
    <n v="13.16"/>
    <x v="11"/>
  </r>
  <r>
    <s v="WQDEC05"/>
    <d v="2005-12-12T00:00:00"/>
    <s v="C2"/>
    <n v="7.54"/>
    <n v="7.63"/>
    <x v="11"/>
  </r>
  <r>
    <s v="WQMAR06"/>
    <d v="2006-03-06T00:00:00"/>
    <s v="C2"/>
    <n v="2.06"/>
    <n v="2.13"/>
    <x v="12"/>
  </r>
  <r>
    <s v="WQMAY06"/>
    <d v="2006-05-03T00:00:00"/>
    <s v="C2"/>
    <n v="10.45"/>
    <n v="9.8000000000000007"/>
    <x v="12"/>
  </r>
  <r>
    <s v="WQJUN06"/>
    <d v="2006-06-08T00:00:00"/>
    <s v="C2"/>
    <n v="15.98"/>
    <n v="14.36"/>
    <x v="12"/>
  </r>
  <r>
    <s v="HYJUN06"/>
    <d v="2006-06-23T00:00:00"/>
    <s v="C2"/>
    <n v="17.45"/>
    <n v="14.21"/>
    <x v="12"/>
  </r>
  <r>
    <s v="WQJUL06"/>
    <d v="2006-07-10T00:00:00"/>
    <s v="C2"/>
    <n v="19.86"/>
    <n v="15.85"/>
    <x v="12"/>
  </r>
  <r>
    <s v="HYJUL06"/>
    <d v="2006-07-18T00:00:00"/>
    <s v="C2"/>
    <n v="20.68"/>
    <n v="17.02"/>
    <x v="12"/>
  </r>
  <r>
    <s v="WQAUG06"/>
    <d v="2006-08-02T00:00:00"/>
    <s v="C2"/>
    <n v="24.72"/>
    <n v="18.39"/>
    <x v="12"/>
  </r>
  <r>
    <s v="HYAUG06"/>
    <d v="2006-08-17T00:00:00"/>
    <s v="C2"/>
    <n v="23.63"/>
    <n v="20.81"/>
    <x v="12"/>
  </r>
  <r>
    <s v="WQSEP06"/>
    <d v="2006-08-31T00:00:00"/>
    <s v="C2"/>
    <n v="21.64"/>
    <n v="21.52"/>
    <x v="12"/>
  </r>
  <r>
    <s v="WQOCT06"/>
    <d v="2006-10-16T00:00:00"/>
    <s v="C2"/>
    <m/>
    <m/>
    <x v="12"/>
  </r>
  <r>
    <s v="WQNOV06"/>
    <d v="2006-11-09T00:00:00"/>
    <s v="C2"/>
    <n v="13.31"/>
    <n v="13.39"/>
    <x v="12"/>
  </r>
  <r>
    <s v="WQDEC06"/>
    <d v="2006-12-14T00:00:00"/>
    <s v="C2"/>
    <n v="8.4700000000000006"/>
    <n v="9.3800000000000008"/>
    <x v="12"/>
  </r>
  <r>
    <s v="WQJAN07"/>
    <d v="2007-01-19T00:00:00"/>
    <s v="C2"/>
    <n v="5.82"/>
    <n v="6.41"/>
    <x v="13"/>
  </r>
  <r>
    <s v="WQFEB07"/>
    <d v="2007-02-07T00:00:00"/>
    <s v="C2"/>
    <n v="2.5499999999999998"/>
    <n v="2.78"/>
    <x v="13"/>
  </r>
  <r>
    <s v="WQMAR07"/>
    <d v="2007-03-12T00:00:00"/>
    <s v="C2"/>
    <n v="1.1499999999999999"/>
    <n v="0.97"/>
    <x v="13"/>
  </r>
  <r>
    <s v="WQAPR07"/>
    <d v="2007-04-03T00:00:00"/>
    <s v="C2"/>
    <n v="4.6900000000000004"/>
    <n v="2.75"/>
    <x v="13"/>
  </r>
  <r>
    <s v="WQMAY07"/>
    <d v="2007-05-08T00:00:00"/>
    <s v="C2"/>
    <n v="10.4"/>
    <n v="6.63"/>
    <x v="13"/>
  </r>
  <r>
    <s v="WQJUN07"/>
    <d v="2007-06-06T00:00:00"/>
    <s v="C2"/>
    <n v="14.78"/>
    <n v="11.1"/>
    <x v="13"/>
  </r>
  <r>
    <s v="HYJUN07"/>
    <d v="2007-06-21T00:00:00"/>
    <s v="C2"/>
    <n v="18.2"/>
    <n v="13.09"/>
    <x v="13"/>
  </r>
  <r>
    <s v="WQJUL07"/>
    <d v="2007-07-10T00:00:00"/>
    <s v="C2"/>
    <n v="19.3"/>
    <n v="15.78"/>
    <x v="13"/>
  </r>
  <r>
    <s v="HYJUL07"/>
    <d v="2007-07-24T00:00:00"/>
    <s v="C2"/>
    <n v="20.83"/>
    <n v="18.09"/>
    <x v="13"/>
  </r>
  <r>
    <s v="WQAUG07"/>
    <d v="2007-08-01T00:00:00"/>
    <s v="C2"/>
    <n v="23.15"/>
    <n v="18.809999999999999"/>
    <x v="13"/>
  </r>
  <r>
    <s v="HYAUG07"/>
    <d v="2007-08-14T00:00:00"/>
    <s v="C2"/>
    <n v="22.73"/>
    <n v="21.77"/>
    <x v="13"/>
  </r>
  <r>
    <s v="WQSEP07"/>
    <d v="2007-08-29T00:00:00"/>
    <s v="C2"/>
    <n v="22.89"/>
    <n v="21.03"/>
    <x v="13"/>
  </r>
  <r>
    <s v="HYSEP07"/>
    <d v="2007-09-10T00:00:00"/>
    <s v="C2"/>
    <n v="22.7"/>
    <n v="21.71"/>
    <x v="13"/>
  </r>
  <r>
    <s v="WQOCT07"/>
    <d v="2007-10-03T00:00:00"/>
    <s v="C2"/>
    <n v="21.12"/>
    <n v="21.18"/>
    <x v="13"/>
  </r>
  <r>
    <s v="WQNOV07"/>
    <d v="2007-11-14T00:00:00"/>
    <s v="C2"/>
    <n v="14.4"/>
    <n v="14.12"/>
    <x v="13"/>
  </r>
  <r>
    <s v="WQDEC07"/>
    <d v="2007-12-06T00:00:00"/>
    <s v="C2"/>
    <n v="8.9499999999999993"/>
    <n v="9.17"/>
    <x v="13"/>
  </r>
  <r>
    <s v="WQJAN08"/>
    <d v="2008-01-10T00:00:00"/>
    <s v="C2"/>
    <n v="4.49"/>
    <n v="4.7699999999999996"/>
    <x v="14"/>
  </r>
  <r>
    <s v="WQFEB08"/>
    <d v="2008-02-06T00:00:00"/>
    <s v="C2"/>
    <n v="3.12"/>
    <n v="3.03"/>
    <x v="14"/>
  </r>
  <r>
    <s v="WQMAR08"/>
    <d v="2008-03-03T00:00:00"/>
    <s v="C2"/>
    <n v="2.44"/>
    <n v="2.58"/>
    <x v="14"/>
  </r>
  <r>
    <s v="WQAPR08"/>
    <d v="2008-04-08T00:00:00"/>
    <s v="C2"/>
    <n v="5.73"/>
    <n v="5.7"/>
    <x v="14"/>
  </r>
  <r>
    <s v="WQMAY08"/>
    <d v="2008-05-07T00:00:00"/>
    <s v="C2"/>
    <n v="12.93"/>
    <n v="10.67"/>
    <x v="14"/>
  </r>
  <r>
    <s v="WQJUN08"/>
    <d v="2008-06-03T00:00:00"/>
    <s v="C2"/>
    <n v="15.6"/>
    <n v="11.41"/>
    <x v="14"/>
  </r>
  <r>
    <s v="HYJUN08"/>
    <d v="2008-06-17T00:00:00"/>
    <s v="C2"/>
    <n v="18.64"/>
    <n v="12.89"/>
    <x v="14"/>
  </r>
  <r>
    <s v="WQJUL08"/>
    <d v="2008-07-03T00:00:00"/>
    <s v="C2"/>
    <n v="18.54"/>
    <n v="14.35"/>
    <x v="14"/>
  </r>
  <r>
    <s v="HYJUL08"/>
    <d v="2008-07-22T00:00:00"/>
    <s v="C2"/>
    <n v="21.75"/>
    <n v="17.440000000000001"/>
    <x v="14"/>
  </r>
  <r>
    <s v="WQAUG08"/>
    <d v="2008-08-05T00:00:00"/>
    <s v="C2"/>
    <n v="22.86"/>
    <n v="19.440000000000001"/>
    <x v="14"/>
  </r>
  <r>
    <s v="HYAUG08"/>
    <d v="2008-08-20T00:00:00"/>
    <s v="C2"/>
    <n v="22.09"/>
    <n v="20.75"/>
    <x v="14"/>
  </r>
  <r>
    <s v="WQSEP08"/>
    <d v="2008-09-03T00:00:00"/>
    <s v="C2"/>
    <n v="22.81"/>
    <n v="21.8"/>
    <x v="14"/>
  </r>
  <r>
    <s v="HYSEP08"/>
    <d v="2008-09-16T00:00:00"/>
    <s v="C2"/>
    <n v="22.23"/>
    <n v="21.5"/>
    <x v="14"/>
  </r>
  <r>
    <s v="WQOCT08"/>
    <d v="2008-10-07T00:00:00"/>
    <s v="C2"/>
    <n v="19.329999999999998"/>
    <n v="19.36"/>
    <x v="14"/>
  </r>
  <r>
    <s v="WQNOV08"/>
    <d v="2008-11-07T00:00:00"/>
    <s v="C2"/>
    <n v="14.25"/>
    <n v="14.13"/>
    <x v="14"/>
  </r>
  <r>
    <s v="WQDEC08"/>
    <d v="2008-12-17T00:00:00"/>
    <s v="C2"/>
    <n v="6.92"/>
    <n v="6.92"/>
    <x v="14"/>
  </r>
  <r>
    <s v="WQJAN09"/>
    <d v="2009-01-12T00:00:00"/>
    <s v="C2"/>
    <n v="3.13"/>
    <n v="3.15"/>
    <x v="15"/>
  </r>
  <r>
    <s v="WQFEB09"/>
    <d v="2009-02-04T00:00:00"/>
    <s v="C2"/>
    <n v="0.68"/>
    <n v="0.82"/>
    <x v="15"/>
  </r>
  <r>
    <s v="WQMAR09"/>
    <d v="2009-03-05T00:00:00"/>
    <s v="C2"/>
    <n v="1.27"/>
    <n v="1.35"/>
    <x v="15"/>
  </r>
  <r>
    <s v="WQAPR09"/>
    <d v="2009-04-01T00:00:00"/>
    <s v="C2"/>
    <n v="4.79"/>
    <n v="3.94"/>
    <x v="15"/>
  </r>
  <r>
    <s v="WQMAY09"/>
    <d v="2009-05-04T00:00:00"/>
    <s v="C2"/>
    <n v="10.65"/>
    <n v="7.96"/>
    <x v="15"/>
  </r>
  <r>
    <s v="WQJUN09"/>
    <d v="2009-06-09T00:00:00"/>
    <s v="C2"/>
    <n v="16.09"/>
    <n v="12.61"/>
    <x v="15"/>
  </r>
  <r>
    <s v="HYJUN09"/>
    <d v="2009-06-23T00:00:00"/>
    <s v="C2"/>
    <n v="17.79"/>
    <n v="13.91"/>
    <x v="15"/>
  </r>
  <r>
    <s v="WQJUL09"/>
    <d v="2009-07-08T00:00:00"/>
    <s v="C2"/>
    <n v="20.81"/>
    <n v="15.24"/>
    <x v="15"/>
  </r>
  <r>
    <s v="HYJUL09"/>
    <d v="2009-07-22T00:00:00"/>
    <s v="C2"/>
    <n v="19.91"/>
    <n v="17"/>
    <x v="15"/>
  </r>
  <r>
    <s v="WQAUG09"/>
    <d v="2009-08-05T00:00:00"/>
    <s v="C2"/>
    <n v="23.12"/>
    <n v="18.149999999999999"/>
    <x v="15"/>
  </r>
  <r>
    <s v="HYAUG09"/>
    <d v="2009-08-18T00:00:00"/>
    <s v="C2"/>
    <n v="25.74"/>
    <n v="20.04"/>
    <x v="15"/>
  </r>
  <r>
    <s v="WQSEP09"/>
    <d v="2009-09-02T00:00:00"/>
    <s v="C2"/>
    <n v="22.11"/>
    <n v="21.14"/>
    <x v="15"/>
  </r>
  <r>
    <s v="WQOCT09"/>
    <d v="2009-10-06T00:00:00"/>
    <s v="C2"/>
    <n v="18.940000000000001"/>
    <n v="19.12"/>
    <x v="15"/>
  </r>
  <r>
    <s v="WQNOV09"/>
    <d v="2009-11-04T00:00:00"/>
    <s v="C2"/>
    <n v="14.12"/>
    <n v="14.11"/>
    <x v="15"/>
  </r>
  <r>
    <s v="WQDEC09"/>
    <d v="2009-12-02T00:00:00"/>
    <s v="C2"/>
    <n v="10.69"/>
    <n v="11.15"/>
    <x v="15"/>
  </r>
  <r>
    <s v="WQJAN10"/>
    <d v="2010-01-12T00:00:00"/>
    <s v="C2"/>
    <n v="2.61"/>
    <n v="2.59"/>
    <x v="16"/>
  </r>
  <r>
    <s v="WQFEB10"/>
    <d v="2010-02-08T00:00:00"/>
    <s v="C2"/>
    <n v="1.33"/>
    <n v="1.35"/>
    <x v="16"/>
  </r>
  <r>
    <s v="WQMAR10"/>
    <d v="2010-03-02T00:00:00"/>
    <s v="C2"/>
    <n v="2.09"/>
    <n v="1.74"/>
    <x v="16"/>
  </r>
  <r>
    <s v="WQAPR10"/>
    <d v="2010-03-31T00:00:00"/>
    <s v="C2"/>
    <n v="5.64"/>
    <n v="5.66"/>
    <x v="16"/>
  </r>
  <r>
    <s v="WQMAY10"/>
    <d v="2010-05-04T00:00:00"/>
    <s v="C2"/>
    <n v="12"/>
    <n v="8.24"/>
    <x v="16"/>
  </r>
  <r>
    <s v="WQJUN10"/>
    <d v="2010-05-27T00:00:00"/>
    <s v="C2"/>
    <n v="15.39"/>
    <n v="11.47"/>
    <x v="16"/>
  </r>
  <r>
    <s v="HYJUN10"/>
    <d v="2010-06-18T00:00:00"/>
    <s v="C2"/>
    <n v="16.96"/>
    <n v="13.75"/>
    <x v="16"/>
  </r>
  <r>
    <s v="WQJUL10"/>
    <d v="2010-07-08T00:00:00"/>
    <s v="C2"/>
    <n v="22.72"/>
    <n v="15.97"/>
    <x v="16"/>
  </r>
  <r>
    <s v="HYJUL10"/>
    <d v="2010-07-23T00:00:00"/>
    <s v="C2"/>
    <n v="22.83"/>
    <n v="18.64"/>
    <x v="16"/>
  </r>
  <r>
    <s v="WQAUG10"/>
    <d v="2010-08-03T00:00:00"/>
    <s v="C2"/>
    <n v="23.44"/>
    <n v="19.899999999999999"/>
    <x v="16"/>
  </r>
  <r>
    <s v="HYAUG10"/>
    <d v="2010-08-17T00:00:00"/>
    <s v="C2"/>
    <n v="22.75"/>
    <n v="22.13"/>
    <x v="16"/>
  </r>
  <r>
    <s v="WQSEP10"/>
    <d v="2010-08-31T00:00:00"/>
    <s v="C2"/>
    <n v="23.26"/>
    <n v="22.3"/>
    <x v="16"/>
  </r>
  <r>
    <s v="WQOCT10"/>
    <d v="2010-10-12T00:00:00"/>
    <s v="C2"/>
    <n v="18.88"/>
    <n v="19.04"/>
    <x v="16"/>
  </r>
  <r>
    <s v="WQNOV10"/>
    <d v="2010-11-01T00:00:00"/>
    <s v="C2"/>
    <n v="15.63"/>
    <n v="15.7"/>
    <x v="16"/>
  </r>
  <r>
    <s v="WQDEC10"/>
    <d v="2010-12-02T00:00:00"/>
    <s v="C2"/>
    <n v="10.24"/>
    <n v="10.25"/>
    <x v="16"/>
  </r>
  <r>
    <s v="WQJAN11"/>
    <d v="2011-01-14T00:00:00"/>
    <s v="C2"/>
    <n v="2.04"/>
    <n v="2.16"/>
    <x v="17"/>
  </r>
  <r>
    <s v="WQFEB11"/>
    <d v="2011-02-10T00:00:00"/>
    <s v="C2"/>
    <n v="0.42"/>
    <n v="0.49"/>
    <x v="17"/>
  </r>
  <r>
    <s v="WQMAR11"/>
    <d v="2011-03-08T00:00:00"/>
    <s v="C2"/>
    <n v="2.16"/>
    <n v="2.08"/>
    <x v="17"/>
  </r>
  <r>
    <s v="WQAPR11"/>
    <d v="2011-04-14T00:00:00"/>
    <s v="C2"/>
    <n v="6.36"/>
    <n v="5.47"/>
    <x v="17"/>
  </r>
  <r>
    <s v="WQMAY11"/>
    <d v="2011-05-03T00:00:00"/>
    <s v="C2"/>
    <n v="11.14"/>
    <n v="7.26"/>
    <x v="17"/>
  </r>
  <r>
    <s v="WQJUN11"/>
    <d v="2011-06-01T00:00:00"/>
    <s v="C2"/>
    <n v="19.850000000000001"/>
    <n v="10.89"/>
    <x v="17"/>
  </r>
  <r>
    <s v="HYJUN11"/>
    <d v="2011-06-16T00:00:00"/>
    <s v="C2"/>
    <n v="17.39"/>
    <n v="14.86"/>
    <x v="17"/>
  </r>
  <r>
    <s v="WQJUL11"/>
    <d v="2011-07-06T00:00:00"/>
    <s v="C2"/>
    <n v="19.46"/>
    <n v="15.59"/>
    <x v="17"/>
  </r>
  <r>
    <s v="HYJUL11"/>
    <d v="2011-07-18T00:00:00"/>
    <s v="C2"/>
    <n v="21.45"/>
    <m/>
    <x v="17"/>
  </r>
  <r>
    <s v="WQAUG11"/>
    <d v="2011-08-03T00:00:00"/>
    <s v="C2"/>
    <n v="23.15"/>
    <n v="19.75"/>
    <x v="17"/>
  </r>
  <r>
    <s v="HYAUG11"/>
    <d v="2011-08-15T00:00:00"/>
    <s v="C2"/>
    <n v="22.47"/>
    <n v="20.99"/>
    <x v="17"/>
  </r>
  <r>
    <s v="WQSEP11"/>
    <d v="2011-08-31T00:00:00"/>
    <s v="C2"/>
    <n v="22.61"/>
    <n v="22.08"/>
    <x v="17"/>
  </r>
  <r>
    <s v="WQOCT11"/>
    <d v="2011-10-06T00:00:00"/>
    <s v="C2"/>
    <n v="20.51"/>
    <n v="20.48"/>
    <x v="17"/>
  </r>
  <r>
    <s v="WQNOV11"/>
    <d v="2011-11-09T00:00:00"/>
    <s v="C2"/>
    <n v="14.36"/>
    <n v="14.27"/>
    <x v="17"/>
  </r>
  <r>
    <s v="WQDEC11"/>
    <d v="2011-11-29T00:00:00"/>
    <s v="C2"/>
    <n v="11.69"/>
    <n v="11.93"/>
    <x v="17"/>
  </r>
  <r>
    <s v="WQJAN12"/>
    <d v="2012-01-09T00:00:00"/>
    <s v="C2"/>
    <n v="6.49"/>
    <n v="6.73"/>
    <x v="18"/>
  </r>
  <r>
    <s v="WQFEB12"/>
    <d v="2012-02-02T00:00:00"/>
    <s v="C2"/>
    <n v="4.25"/>
    <n v="4.71"/>
    <x v="18"/>
  </r>
  <r>
    <s v="WQMAR12"/>
    <d v="2012-03-05T00:00:00"/>
    <s v="C2"/>
    <n v="4.5999999999999996"/>
    <n v="4.59"/>
    <x v="18"/>
  </r>
  <r>
    <s v="WQAPR12"/>
    <d v="2012-04-04T00:00:00"/>
    <s v="C2"/>
    <n v="8.2899999999999991"/>
    <n v="7.14"/>
    <x v="18"/>
  </r>
  <r>
    <s v="WQMAY12"/>
    <d v="2012-05-02T00:00:00"/>
    <s v="C2"/>
    <n v="11.18"/>
    <n v="9.8000000000000007"/>
    <x v="18"/>
  </r>
  <r>
    <s v="WQJUN12"/>
    <d v="2012-05-30T00:00:00"/>
    <s v="C2"/>
    <n v="17.32"/>
    <n v="13.37"/>
    <x v="18"/>
  </r>
  <r>
    <s v="HYJUN12"/>
    <d v="2012-06-12T00:00:00"/>
    <s v="C2"/>
    <n v="19.11"/>
    <n v="15.06"/>
    <x v="18"/>
  </r>
  <r>
    <s v="WQJUL12"/>
    <d v="2012-06-27T00:00:00"/>
    <s v="C2"/>
    <n v="18.739999999999998"/>
    <n v="15.94"/>
    <x v="18"/>
  </r>
  <r>
    <s v="HYJUL12"/>
    <d v="2012-07-16T00:00:00"/>
    <s v="C2"/>
    <n v="22.3"/>
    <n v="18.55"/>
    <x v="18"/>
  </r>
  <r>
    <s v="WQAUG12"/>
    <d v="2012-08-01T00:00:00"/>
    <s v="C2"/>
    <n v="22.77"/>
    <n v="20.76"/>
    <x v="18"/>
  </r>
  <r>
    <s v="HYAUG12"/>
    <d v="2012-08-16T00:00:00"/>
    <s v="C2"/>
    <n v="23.99"/>
    <n v="21.58"/>
    <x v="18"/>
  </r>
  <r>
    <s v="WQSEP12"/>
    <d v="2012-08-29T00:00:00"/>
    <s v="C2"/>
    <n v="23.81"/>
    <n v="22.93"/>
    <x v="18"/>
  </r>
  <r>
    <s v="HYSEP12"/>
    <d v="2012-09-17T00:00:00"/>
    <s v="C2"/>
    <n v="22.92"/>
    <n v="22.85"/>
    <x v="18"/>
  </r>
  <r>
    <s v="WQOCT12"/>
    <d v="2012-10-03T00:00:00"/>
    <s v="C2"/>
    <n v="20.6"/>
    <n v="21.01"/>
    <x v="18"/>
  </r>
  <r>
    <s v="WQNOV12"/>
    <d v="2012-11-14T00:00:00"/>
    <s v="C2"/>
    <n v="12.62"/>
    <n v="12.63"/>
    <x v="18"/>
  </r>
  <r>
    <s v="WQDEC12"/>
    <d v="2012-12-04T00:00:00"/>
    <s v="C2"/>
    <n v="9.02"/>
    <n v="9.44"/>
    <x v="18"/>
  </r>
  <r>
    <s v="WQJAN13"/>
    <d v="2013-01-10T00:00:00"/>
    <s v="C2"/>
    <n v="5.09"/>
    <n v="5.1100000000000003"/>
    <x v="19"/>
  </r>
  <r>
    <s v="WQFEB13"/>
    <d v="2013-01-30T00:00:00"/>
    <s v="C2"/>
    <n v="2.56"/>
    <n v="2.99"/>
    <x v="19"/>
  </r>
  <r>
    <s v="WQMAR13"/>
    <d v="2013-03-11T00:00:00"/>
    <s v="C2"/>
    <n v="3.01"/>
    <n v="2.58"/>
    <x v="19"/>
  </r>
  <r>
    <s v="WQAPR13"/>
    <d v="2013-04-04T00:00:00"/>
    <s v="C2"/>
    <n v="4.0999999999999996"/>
    <n v="3.93"/>
    <x v="19"/>
  </r>
  <r>
    <s v="WQMAY13"/>
    <d v="2013-05-01T00:00:00"/>
    <s v="C2"/>
    <n v="10.51"/>
    <n v="8.9700000000000006"/>
    <x v="19"/>
  </r>
  <r>
    <s v="WQJUN13"/>
    <d v="2013-06-05T00:00:00"/>
    <s v="C2"/>
    <n v="16.34"/>
    <n v="12.15"/>
    <x v="19"/>
  </r>
  <r>
    <s v="HYJUN13"/>
    <d v="2013-06-21T00:00:00"/>
    <s v="C2"/>
    <n v="19.48"/>
    <n v="14.86"/>
    <x v="19"/>
  </r>
  <r>
    <s v="WQJUL13"/>
    <d v="2013-07-02T00:00:00"/>
    <s v="C2"/>
    <n v="20.71"/>
    <n v="16.14"/>
    <x v="19"/>
  </r>
  <r>
    <s v="HYJUL13"/>
    <d v="2013-07-15T00:00:00"/>
    <s v="C2"/>
    <n v="22.34"/>
    <n v="18"/>
    <x v="19"/>
  </r>
  <r>
    <s v="WQAUG13"/>
    <d v="2013-07-31T00:00:00"/>
    <s v="C2"/>
    <n v="22.86"/>
    <n v="20.11"/>
    <x v="19"/>
  </r>
  <r>
    <s v="HYAUG13"/>
    <d v="2013-08-12T00:00:00"/>
    <s v="C2"/>
    <n v="22.17"/>
    <n v="20.69"/>
    <x v="19"/>
  </r>
  <r>
    <s v="WQSEP13"/>
    <d v="2013-08-28T00:00:00"/>
    <s v="C2"/>
    <n v="22.97"/>
    <n v="21.75"/>
    <x v="19"/>
  </r>
  <r>
    <s v="HYSEP13"/>
    <d v="2013-09-09T00:00:00"/>
    <s v="C2"/>
    <n v="21.89"/>
    <n v="21.87"/>
    <x v="19"/>
  </r>
  <r>
    <s v="WQOCT13"/>
    <d v="2013-10-02T00:00:00"/>
    <s v="C2"/>
    <n v="20.74"/>
    <n v="20.260000000000002"/>
    <x v="19"/>
  </r>
  <r>
    <s v="WQNOV13"/>
    <d v="2013-11-05T00:00:00"/>
    <s v="C2"/>
    <n v="15.45"/>
    <n v="15.45"/>
    <x v="19"/>
  </r>
  <r>
    <s v="WQDEC13"/>
    <d v="2013-12-03T00:00:00"/>
    <s v="C2"/>
    <n v="9.34"/>
    <n v="9.35"/>
    <x v="19"/>
  </r>
  <r>
    <s v="WQJAN14"/>
    <d v="2014-01-09T00:00:00"/>
    <s v="C2"/>
    <n v="1.91"/>
    <n v="2.8"/>
    <x v="20"/>
  </r>
  <r>
    <s v="WQFEB14"/>
    <d v="2014-02-06T00:00:00"/>
    <s v="C2"/>
    <n v="0.36"/>
    <n v="0.48"/>
    <x v="20"/>
  </r>
  <r>
    <s v="WQMAR14"/>
    <d v="2014-03-05T00:00:00"/>
    <s v="C2"/>
    <n v="0.14000000000000001"/>
    <n v="0.13"/>
    <x v="20"/>
  </r>
  <r>
    <s v="WQAPR14"/>
    <d v="2014-04-02T00:00:00"/>
    <s v="C2"/>
    <n v="2.62"/>
    <n v="2.56"/>
    <x v="20"/>
  </r>
  <r>
    <s v="WQMAY14"/>
    <d v="2014-05-07T00:00:00"/>
    <s v="C2"/>
    <n v="9.98"/>
    <n v="7.53"/>
    <x v="20"/>
  </r>
  <r>
    <s v="WQJUN14"/>
    <d v="2014-06-03T00:00:00"/>
    <s v="C2"/>
    <n v="15.84"/>
    <n v="11.59"/>
    <x v="20"/>
  </r>
  <r>
    <s v="HYJUN14"/>
    <d v="2014-06-19T00:00:00"/>
    <s v="C2"/>
    <n v="18.73"/>
    <n v="14.03"/>
    <x v="20"/>
  </r>
  <r>
    <s v="WQJUL14"/>
    <d v="2014-07-02T00:00:00"/>
    <s v="C2"/>
    <n v="21.12"/>
    <n v="14.77"/>
    <x v="20"/>
  </r>
  <r>
    <s v="HYJUL14"/>
    <d v="2014-07-14T00:00:00"/>
    <s v="C2"/>
    <n v="19.899999999999999"/>
    <n v="17.03"/>
    <x v="20"/>
  </r>
  <r>
    <s v="WQAUG14"/>
    <d v="2014-08-06T00:00:00"/>
    <s v="C2"/>
    <n v="22.67"/>
    <n v="20.11"/>
    <x v="20"/>
  </r>
  <r>
    <s v="HYAUG14"/>
    <d v="2014-08-19T00:00:00"/>
    <s v="C2"/>
    <n v="22.29"/>
    <n v="21.24"/>
    <x v="20"/>
  </r>
  <r>
    <s v="WQSEP14"/>
    <d v="2014-09-02T00:00:00"/>
    <s v="C2"/>
    <n v="23.51"/>
    <n v="21.92"/>
    <x v="20"/>
  </r>
  <r>
    <s v="HYSEP14"/>
    <d v="2014-09-16T00:00:00"/>
    <s v="C2"/>
    <n v="21.93"/>
    <n v="22.02"/>
    <x v="20"/>
  </r>
  <r>
    <s v="WQOCT14"/>
    <d v="2014-10-01T00:00:00"/>
    <s v="C2"/>
    <n v="20.52"/>
    <n v="20.62"/>
    <x v="20"/>
  </r>
  <r>
    <s v="WQNOV14"/>
    <d v="2014-11-10T00:00:00"/>
    <s v="C2"/>
    <n v="14.07"/>
    <n v="14.11"/>
    <x v="20"/>
  </r>
  <r>
    <s v="WQDEC14"/>
    <d v="2014-12-10T00:00:00"/>
    <s v="C2"/>
    <n v="7.02"/>
    <n v="7.39"/>
    <x v="20"/>
  </r>
  <r>
    <s v="WQJAN15"/>
    <d v="2015-01-14T00:00:00"/>
    <s v="C2"/>
    <n v="2.74"/>
    <n v="3.55"/>
    <x v="21"/>
  </r>
  <r>
    <s v="WQFEB15"/>
    <d v="2015-02-10T00:00:00"/>
    <s v="C2"/>
    <n v="0.08"/>
    <n v="0.06"/>
    <x v="21"/>
  </r>
  <r>
    <s v="WQMAR15"/>
    <d v="2015-03-10T00:00:00"/>
    <s v="C2"/>
    <n v="-0.7"/>
    <n v="-1.03"/>
    <x v="21"/>
  </r>
  <r>
    <s v="WQAPR15"/>
    <d v="2015-04-01T00:00:00"/>
    <s v="C2"/>
    <n v="1.4"/>
    <n v="0.71"/>
    <x v="21"/>
  </r>
  <r>
    <s v="WQMAY15"/>
    <d v="2015-05-01T00:00:00"/>
    <s v="C2"/>
    <n v="8.34"/>
    <n v="5.33"/>
    <x v="21"/>
  </r>
  <r>
    <s v="WQJUN15"/>
    <d v="2015-05-29T00:00:00"/>
    <s v="C2"/>
    <n v="14.76"/>
    <n v="8.9600000000000009"/>
    <x v="21"/>
  </r>
  <r>
    <s v="WQJUL15"/>
    <d v="2015-07-07T00:00:00"/>
    <s v="C2"/>
    <n v="21.81"/>
    <n v="16.54"/>
    <x v="21"/>
  </r>
  <r>
    <s v="HYJUL15"/>
    <d v="2015-07-20T00:00:00"/>
    <s v="C2"/>
    <n v="21.28"/>
    <n v="17.86"/>
    <x v="21"/>
  </r>
  <r>
    <s v="WQAUG15"/>
    <d v="2015-08-04T00:00:00"/>
    <s v="C2"/>
    <n v="22.85"/>
    <n v="18.95"/>
    <x v="21"/>
  </r>
  <r>
    <s v="HYAUG15"/>
    <d v="2015-08-17T00:00:00"/>
    <s v="C2"/>
    <n v="23.92"/>
    <n v="21.14"/>
    <x v="21"/>
  </r>
  <r>
    <s v="WQSEP15"/>
    <d v="2015-09-01T00:00:00"/>
    <s v="C2"/>
    <n v="24.08"/>
    <n v="22.55"/>
    <x v="21"/>
  </r>
  <r>
    <s v="HYSEP15"/>
    <d v="2015-09-16T00:00:00"/>
    <s v="C2"/>
    <n v="23.12"/>
    <n v="23.14"/>
    <x v="21"/>
  </r>
  <r>
    <s v="WQOCT15"/>
    <d v="2015-10-08T00:00:00"/>
    <s v="C2"/>
    <n v="18.89"/>
    <n v="18.98"/>
    <x v="21"/>
  </r>
  <r>
    <s v="WQNOV15"/>
    <d v="2015-11-09T00:00:00"/>
    <s v="C2"/>
    <n v="15.25"/>
    <n v="15.54"/>
    <x v="21"/>
  </r>
  <r>
    <s v="WQDEC15"/>
    <d v="2015-11-30T00:00:00"/>
    <s v="C2"/>
    <n v="11.74"/>
    <n v="11.9"/>
    <x v="21"/>
  </r>
  <r>
    <s v="WQJAN16"/>
    <d v="2016-01-12T00:00:00"/>
    <s v="C2"/>
    <n v="6.47"/>
    <n v="7.08"/>
    <x v="22"/>
  </r>
  <r>
    <s v="WQFEB16"/>
    <d v="2016-02-01T00:00:00"/>
    <s v="C2"/>
    <n v="3.52"/>
    <n v="3.99"/>
    <x v="22"/>
  </r>
  <r>
    <s v="WQMAR16"/>
    <d v="2016-03-08T00:00:00"/>
    <s v="C2"/>
    <n v="3.63"/>
    <n v="3.34"/>
    <x v="22"/>
  </r>
  <r>
    <s v="WQAPR16"/>
    <d v="2016-04-04T00:00:00"/>
    <s v="C2"/>
    <n v="6.91"/>
    <n v="6.3"/>
    <x v="22"/>
  </r>
  <r>
    <s v="WQMAY16"/>
    <d v="2016-05-12T00:00:00"/>
    <s v="C2"/>
    <n v="12.11"/>
    <n v="10.24"/>
    <x v="22"/>
  </r>
  <r>
    <s v="WQJUN16"/>
    <d v="2016-06-10T00:00:00"/>
    <s v="C2"/>
    <n v="14.73"/>
    <n v="12.63"/>
    <x v="22"/>
  </r>
  <r>
    <s v="HYJUN16"/>
    <d v="2016-06-20T00:00:00"/>
    <s v="C2"/>
    <n v="17.72"/>
    <n v="14.39"/>
    <x v="22"/>
  </r>
  <r>
    <s v="WQJUL16"/>
    <d v="2016-07-06T00:00:00"/>
    <s v="C2"/>
    <n v="20.75"/>
    <n v="16.87"/>
    <x v="22"/>
  </r>
  <r>
    <s v="HYJUL16"/>
    <d v="2016-07-19T00:00:00"/>
    <s v="C2"/>
    <n v="21.85"/>
    <n v="17.72"/>
    <x v="22"/>
  </r>
  <r>
    <s v="WQAUG16"/>
    <d v="2016-08-03T00:00:00"/>
    <s v="C2"/>
    <n v="23.18"/>
    <n v="20.97"/>
    <x v="22"/>
  </r>
  <r>
    <s v="HYAUG16"/>
    <d v="2016-08-18T00:00:00"/>
    <s v="C2"/>
    <m/>
    <m/>
    <x v="22"/>
  </r>
  <r>
    <s v="WQSEP16"/>
    <d v="2016-08-30T00:00:00"/>
    <s v="C2"/>
    <n v="24.38"/>
    <n v="23.14"/>
    <x v="22"/>
  </r>
  <r>
    <s v="HYSEP16"/>
    <d v="2016-09-13T00:00:00"/>
    <s v="C2"/>
    <n v="23.75"/>
    <n v="23.25"/>
    <x v="22"/>
  </r>
  <r>
    <s v="WQOCT16"/>
    <d v="2016-10-05T00:00:00"/>
    <s v="C2"/>
    <n v="20.18"/>
    <n v="20.170000000000002"/>
    <x v="22"/>
  </r>
  <r>
    <s v="WQNOV16"/>
    <d v="2016-11-09T00:00:00"/>
    <s v="C2"/>
    <n v="15.21"/>
    <n v="15.21"/>
    <x v="22"/>
  </r>
  <r>
    <s v="WQDEC16"/>
    <d v="2016-12-05T00:00:00"/>
    <s v="C2"/>
    <n v="9.3800000000000008"/>
    <n v="10.57"/>
    <x v="22"/>
  </r>
  <r>
    <s v="WQJAN17"/>
    <d v="2017-01-10T00:00:00"/>
    <s v="C2"/>
    <n v="4.54"/>
    <n v="4.54"/>
    <x v="23"/>
  </r>
  <r>
    <s v="WQFEB17"/>
    <d v="2017-02-08T00:00:00"/>
    <s v="C2"/>
    <n v="3.27"/>
    <n v="3.45"/>
    <x v="23"/>
  </r>
  <r>
    <s v="WQMAR17"/>
    <d v="2017-03-07T00:00:00"/>
    <s v="C2"/>
    <n v="3.62"/>
    <n v="3.4"/>
    <x v="23"/>
  </r>
  <r>
    <s v="WQAPR17"/>
    <d v="2017-04-04T00:00:00"/>
    <s v="C2"/>
    <n v="4.8"/>
    <n v="3.98"/>
    <x v="23"/>
  </r>
  <r>
    <s v="WQMAY17"/>
    <d v="2017-05-03T00:00:00"/>
    <s v="C2"/>
    <n v="11.06"/>
    <n v="8.7100000000000009"/>
    <x v="23"/>
  </r>
  <r>
    <s v="WQJUN17"/>
    <d v="2017-06-07T00:00:00"/>
    <s v="C2"/>
    <n v="15.01"/>
    <n v="12.97"/>
    <x v="23"/>
  </r>
  <r>
    <s v="HYJUN17"/>
    <d v="2017-06-21T00:00:00"/>
    <s v="C2"/>
    <n v="19.05"/>
    <n v="14"/>
    <x v="23"/>
  </r>
  <r>
    <s v="WQJUL17"/>
    <d v="2017-07-06T00:00:00"/>
    <s v="C2"/>
    <n v="21.37"/>
    <n v="16.02"/>
    <x v="23"/>
  </r>
  <r>
    <s v="HYJUL17"/>
    <d v="2017-07-18T00:00:00"/>
    <s v="C2"/>
    <n v="22.56"/>
    <n v="18.29"/>
    <x v="23"/>
  </r>
  <r>
    <s v="WQAUG17"/>
    <d v="2017-08-01T00:00:00"/>
    <s v="C2"/>
    <n v="22.4"/>
    <n v="20.9"/>
    <x v="23"/>
  </r>
  <r>
    <s v="HYAUG17"/>
    <d v="2017-08-15T00:00:00"/>
    <s v="C2"/>
    <n v="22.97"/>
    <n v="21"/>
    <x v="23"/>
  </r>
  <r>
    <s v="WQSEP17"/>
    <d v="2017-08-28T00:00:00"/>
    <s v="C2"/>
    <n v="22.62"/>
    <n v="22.15"/>
    <x v="23"/>
  </r>
  <r>
    <s v="WQOCT17"/>
    <d v="2017-10-10T00:00:00"/>
    <s v="C2"/>
    <n v="21.5"/>
    <n v="21.05"/>
    <x v="23"/>
  </r>
  <r>
    <s v="WQNOV17"/>
    <d v="2017-11-13T00:00:00"/>
    <s v="C2"/>
    <n v="14.98"/>
    <n v="14.8"/>
    <x v="23"/>
  </r>
  <r>
    <s v="WQDEC17"/>
    <d v="2017-11-30T00:00:00"/>
    <s v="C2"/>
    <n v="11.39"/>
    <n v="11.4"/>
    <x v="23"/>
  </r>
  <r>
    <s v="WQJAN18"/>
    <d v="2018-01-11T00:00:00"/>
    <s v="C2"/>
    <n v="1.95"/>
    <n v="1.94"/>
    <x v="24"/>
  </r>
  <r>
    <s v="WQFEB18"/>
    <d v="2018-02-08T00:00:00"/>
    <s v="C2"/>
    <n v="1.23"/>
    <n v="1.3"/>
    <x v="24"/>
  </r>
  <r>
    <s v="WQMAR18"/>
    <d v="2018-03-19T00:00:00"/>
    <s v="C2"/>
    <n v="3.14"/>
    <n v="2.95"/>
    <x v="24"/>
  </r>
  <r>
    <s v="WQAPR18"/>
    <d v="2018-04-10T00:00:00"/>
    <s v="C2"/>
    <n v="4.5199999999999996"/>
    <n v="4.0599999999999996"/>
    <x v="24"/>
  </r>
  <r>
    <s v="WQMAY18"/>
    <d v="2018-05-02T00:00:00"/>
    <s v="C2"/>
    <n v="9.34"/>
    <n v="6.45"/>
    <x v="24"/>
  </r>
  <r>
    <s v="WQJUN18"/>
    <d v="2018-06-05T00:00:00"/>
    <s v="C2"/>
    <n v="15.85"/>
    <n v="12.93"/>
    <x v="24"/>
  </r>
  <r>
    <s v="HYJUN18"/>
    <d v="2018-06-12T00:00:00"/>
    <s v="C2"/>
    <n v="17.38"/>
    <n v="12.08"/>
    <x v="24"/>
  </r>
  <r>
    <s v="WQJUL18"/>
    <d v="2018-07-05T00:00:00"/>
    <s v="C2"/>
    <n v="23.97"/>
    <n v="15.14"/>
    <x v="24"/>
  </r>
  <r>
    <s v="HYJUL18"/>
    <d v="2018-07-16T00:00:00"/>
    <s v="C2"/>
    <n v="21.07"/>
    <n v="17.38"/>
    <x v="24"/>
  </r>
  <r>
    <s v="WQAUG18"/>
    <d v="2018-08-02T00:00:00"/>
    <s v="C2"/>
    <n v="23.74"/>
    <n v="19.96"/>
    <x v="24"/>
  </r>
  <r>
    <s v="HYAUG18"/>
    <d v="2018-08-15T00:00:00"/>
    <s v="C2"/>
    <n v="23.55"/>
    <n v="21.85"/>
    <x v="24"/>
  </r>
  <r>
    <s v="WQSEP18"/>
    <d v="2018-08-27T00:00:00"/>
    <s v="C2"/>
    <n v="23.87"/>
    <n v="22.1"/>
    <x v="24"/>
  </r>
  <r>
    <s v="HYSEP18"/>
    <d v="2018-09-12T00:00:00"/>
    <s v="C2"/>
    <n v="22.71"/>
    <n v="22.62"/>
    <x v="24"/>
  </r>
  <r>
    <s v="WQOCT18"/>
    <d v="2018-10-03T00:00:00"/>
    <s v="C2"/>
    <n v="21.2"/>
    <n v="21.25"/>
    <x v="24"/>
  </r>
  <r>
    <s v="WQNOV18"/>
    <d v="2018-11-06T00:00:00"/>
    <s v="C2"/>
    <n v="14.69"/>
    <n v="14.62"/>
    <x v="24"/>
  </r>
  <r>
    <s v="WQDEC18"/>
    <d v="2018-12-03T00:00:00"/>
    <s v="C2"/>
    <n v="8.39"/>
    <n v="8.39"/>
    <x v="24"/>
  </r>
  <r>
    <s v="WQJAN19"/>
    <d v="2019-01-03T00:00:00"/>
    <s v="C2"/>
    <n v="5.38"/>
    <n v="5.85"/>
    <x v="25"/>
  </r>
  <r>
    <s v="WQFEB19"/>
    <d v="2019-02-07T00:00:00"/>
    <s v="C2"/>
    <n v="1.67"/>
    <n v="1.9"/>
    <x v="25"/>
  </r>
  <r>
    <s v="WQMAR19"/>
    <d v="2019-03-05T00:00:00"/>
    <s v="C2"/>
    <n v="1.78"/>
    <n v="1.88"/>
    <x v="25"/>
  </r>
  <r>
    <s v="WQAPR19"/>
    <d v="2019-04-03T00:00:00"/>
    <s v="C2"/>
    <n v="5.37"/>
    <n v="3.98"/>
    <x v="25"/>
  </r>
  <r>
    <s v="WQMAY19"/>
    <d v="2019-05-07T00:00:00"/>
    <s v="C2"/>
    <n v="11.34"/>
    <n v="9.75"/>
    <x v="25"/>
  </r>
  <r>
    <s v="WQJUN19"/>
    <d v="2019-05-30T00:00:00"/>
    <s v="C2"/>
    <n v="15.14"/>
    <n v="10.67"/>
    <x v="25"/>
  </r>
  <r>
    <s v="HYJUN19"/>
    <d v="2019-06-12T00:00:00"/>
    <s v="C2"/>
    <n v="16.59"/>
    <n v="13.36"/>
    <x v="25"/>
  </r>
  <r>
    <s v="WQJUL19"/>
    <d v="2019-07-02T00:00:00"/>
    <s v="C2"/>
    <n v="19.02"/>
    <n v="15.18"/>
    <x v="25"/>
  </r>
  <r>
    <s v="HYJUL19"/>
    <d v="2019-07-15T00:00:00"/>
    <s v="C2"/>
    <n v="21.85"/>
    <n v="17.010000000000002"/>
    <x v="25"/>
  </r>
  <r>
    <s v="WQAUG19"/>
    <d v="2019-07-30T00:00:00"/>
    <s v="C2"/>
    <n v="23.6"/>
    <n v="17.88"/>
    <x v="25"/>
  </r>
  <r>
    <s v="HYAUG19"/>
    <d v="2019-08-12T00:00:00"/>
    <s v="C2"/>
    <n v="22.72"/>
    <n v="20.52"/>
    <x v="25"/>
  </r>
  <r>
    <s v="WQSEP19"/>
    <d v="2019-08-28T00:00:00"/>
    <s v="C2"/>
    <n v="22.7"/>
    <n v="22.03"/>
    <x v="25"/>
  </r>
  <r>
    <s v="HYSEP19"/>
    <d v="2019-09-10T00:00:00"/>
    <s v="C2"/>
    <n v="21.91"/>
    <n v="21.93"/>
    <x v="25"/>
  </r>
  <r>
    <s v="WQOCT19"/>
    <d v="2019-10-01T00:00:00"/>
    <s v="C2"/>
    <n v="21.28"/>
    <n v="21.42"/>
    <x v="25"/>
  </r>
  <r>
    <s v="WQNOV19"/>
    <d v="2019-11-05T00:00:00"/>
    <s v="C2"/>
    <n v="15"/>
    <n v="15.87"/>
    <x v="25"/>
  </r>
  <r>
    <s v="WQDEC19"/>
    <d v="2019-12-06T00:00:00"/>
    <s v="C2"/>
    <n v="8.19"/>
    <n v="8.36"/>
    <x v="25"/>
  </r>
  <r>
    <s v="WQJAN20"/>
    <d v="2020-01-09T00:00:00"/>
    <s v="C2"/>
    <n v="4.8"/>
    <n v="4.9400000000000004"/>
    <x v="26"/>
  </r>
  <r>
    <s v="WQFEB20"/>
    <d v="2020-02-03T00:00:00"/>
    <s v="C2"/>
    <m/>
    <m/>
    <x v="26"/>
  </r>
  <r>
    <s v="WQMAR20"/>
    <d v="2020-03-10T00:00:00"/>
    <s v="C2"/>
    <n v="4.5199999999999996"/>
    <n v="4.26"/>
    <x v="26"/>
  </r>
  <r>
    <s v="WQJUN20"/>
    <d v="2020-06-17T00:00:00"/>
    <s v="C2"/>
    <n v="18.05"/>
    <n v="13.12"/>
    <x v="26"/>
  </r>
  <r>
    <s v="WQJUL20"/>
    <d v="2020-07-07T00:00:00"/>
    <s v="C2"/>
    <n v="22.16"/>
    <n v="16.53"/>
    <x v="26"/>
  </r>
  <r>
    <s v="HYJUL20"/>
    <d v="2020-07-20T00:00:00"/>
    <s v="C2"/>
    <n v="23.38"/>
    <n v="17.75"/>
    <x v="26"/>
  </r>
  <r>
    <s v="WQAUG20"/>
    <d v="2020-08-03T00:00:00"/>
    <s v="C2"/>
    <n v="23.18"/>
    <n v="19.829999999999998"/>
    <x v="26"/>
  </r>
  <r>
    <s v="HYAUG20"/>
    <d v="2020-09-01T00:00:00"/>
    <s v="C2"/>
    <n v="23.31"/>
    <n v="22.97"/>
    <x v="26"/>
  </r>
  <r>
    <s v="WQSEP20"/>
    <d v="2020-09-09T00:00:00"/>
    <s v="C2"/>
    <n v="23.58"/>
    <n v="23.09"/>
    <x v="26"/>
  </r>
  <r>
    <s v="WQOCT20"/>
    <d v="2020-10-14T00:00:00"/>
    <s v="C2"/>
    <n v="18.600000000000001"/>
    <n v="18.59"/>
    <x v="26"/>
  </r>
  <r>
    <s v="WQNOV20"/>
    <d v="2020-11-06T00:00:00"/>
    <s v="C2"/>
    <n v="14.47"/>
    <n v="14.88"/>
    <x v="26"/>
  </r>
  <r>
    <s v="WQMAR21"/>
    <d v="2021-03-10T00:00:00"/>
    <s v="C2"/>
    <n v="2.61"/>
    <n v="2.21"/>
    <x v="27"/>
  </r>
  <r>
    <s v="WQAPR21"/>
    <d v="2021-04-07T00:00:00"/>
    <s v="C2"/>
    <n v="5.91"/>
    <n v="4.92"/>
    <x v="27"/>
  </r>
  <r>
    <s v="WQMAY21"/>
    <d v="2021-05-05T00:00:00"/>
    <s v="C2"/>
    <n v="10.29"/>
    <n v="9.1"/>
    <x v="27"/>
  </r>
  <r>
    <s v="WQJUN21"/>
    <d v="2021-06-08T00:00:00"/>
    <s v="C2"/>
    <n v="17.29"/>
    <n v="12.57"/>
    <x v="27"/>
  </r>
  <r>
    <s v="HYJUN21"/>
    <d v="2021-06-22T00:00:00"/>
    <s v="C2"/>
    <n v="18.62"/>
    <n v="13.99"/>
    <x v="27"/>
  </r>
  <r>
    <s v="WQJUL21"/>
    <d v="2021-07-08T00:00:00"/>
    <s v="C2"/>
    <n v="21.24"/>
    <n v="16.32"/>
    <x v="27"/>
  </r>
  <r>
    <s v="HYJUL21"/>
    <d v="2021-07-19T00:00:00"/>
    <s v="C2"/>
    <n v="23.55"/>
    <n v="17.940000000000001"/>
    <x v="27"/>
  </r>
  <r>
    <s v="WQAUG21"/>
    <d v="2021-08-03T00:00:00"/>
    <s v="C2"/>
    <n v="21.95"/>
    <n v="19.670000000000002"/>
    <x v="27"/>
  </r>
  <r>
    <s v="HYAUG21"/>
    <d v="2021-08-16T00:00:00"/>
    <s v="C2"/>
    <n v="23.57"/>
    <n v="21.25"/>
    <x v="27"/>
  </r>
  <r>
    <s v="WQSEP21"/>
    <d v="2021-08-31T00:00:00"/>
    <s v="C2"/>
    <n v="23.86"/>
    <n v="22.46"/>
    <x v="27"/>
  </r>
  <r>
    <s v="HYSEP21"/>
    <d v="2021-09-14T00:00:00"/>
    <s v="C2"/>
    <n v="22.84"/>
    <n v="22.47"/>
    <x v="27"/>
  </r>
  <r>
    <s v="WQOCT21"/>
    <d v="2021-10-05T00:00:00"/>
    <s v="C2"/>
    <n v="21.42"/>
    <n v="21.47"/>
    <x v="27"/>
  </r>
  <r>
    <s v="WQNOV21"/>
    <d v="2021-11-08T00:00:00"/>
    <s v="C2"/>
    <n v="15.89"/>
    <n v="15.97"/>
    <x v="27"/>
  </r>
  <r>
    <s v="WQDEC21"/>
    <d v="2021-12-07T00:00:00"/>
    <s v="C2"/>
    <n v="10.14"/>
    <n v="10.35"/>
    <x v="27"/>
  </r>
  <r>
    <s v="WQFEB22"/>
    <d v="2022-02-02T00:00:00"/>
    <s v="C2"/>
    <n v="1.96"/>
    <n v="2.5"/>
    <x v="28"/>
  </r>
  <r>
    <s v="CHFEB22"/>
    <d v="2022-02-15T00:00:00"/>
    <s v="C2"/>
    <m/>
    <m/>
    <x v="28"/>
  </r>
  <r>
    <s v="WQMAR22"/>
    <d v="2022-03-03T00:00:00"/>
    <s v="C2"/>
    <n v="2.92"/>
    <n v="2.78"/>
    <x v="28"/>
  </r>
  <r>
    <s v="WQAPR22"/>
    <d v="2022-04-05T00:00:00"/>
    <s v="C2"/>
    <n v="5.78"/>
    <n v="5.0999999999999996"/>
    <x v="28"/>
  </r>
  <r>
    <s v="WQMAY22"/>
    <d v="2022-05-05T00:00:00"/>
    <s v="C2"/>
    <n v="9.94"/>
    <n v="9.01"/>
    <x v="28"/>
  </r>
  <r>
    <s v="WQJUN22"/>
    <d v="2022-06-03T00:00:00"/>
    <s v="C2"/>
    <n v="16.27"/>
    <n v="13.17"/>
    <x v="28"/>
  </r>
  <r>
    <s v="HYJUN22"/>
    <d v="2022-06-14T00:00:00"/>
    <s v="C2"/>
    <n v="16.079999999999998"/>
    <n v="13.17"/>
    <x v="28"/>
  </r>
  <r>
    <s v="WQJUL22"/>
    <d v="2022-07-07T00:00:00"/>
    <s v="C2"/>
    <n v="19.91"/>
    <n v="16.32"/>
    <x v="28"/>
  </r>
  <r>
    <s v="HYJUL22"/>
    <d v="2022-07-19T00:00:00"/>
    <s v="C2"/>
    <n v="21.55"/>
    <n v="18.46"/>
    <x v="28"/>
  </r>
  <r>
    <s v="WQAUG22"/>
    <d v="2022-08-02T00:00:00"/>
    <s v="C2"/>
    <n v="22.81"/>
    <n v="19.88"/>
    <x v="28"/>
  </r>
  <r>
    <s v="HYAUG22"/>
    <d v="2022-08-17T00:00:00"/>
    <s v="C2"/>
    <n v="22.83"/>
    <n v="22.07"/>
    <x v="28"/>
  </r>
  <r>
    <s v="WQSEP22"/>
    <d v="2022-09-01T00:00:00"/>
    <s v="C2"/>
    <n v="24.38"/>
    <n v="22.97"/>
    <x v="28"/>
  </r>
  <r>
    <s v="HYSEP22"/>
    <d v="2022-09-13T00:00:00"/>
    <s v="C2"/>
    <n v="23.44"/>
    <n v="23.23"/>
    <x v="28"/>
  </r>
  <r>
    <s v="WQOCT22"/>
    <d v="2022-10-11T00:00:00"/>
    <s v="C2"/>
    <n v="17.93"/>
    <n v="18.05"/>
    <x v="28"/>
  </r>
  <r>
    <s v="WQNOV22"/>
    <d v="2022-11-09T00:00:00"/>
    <s v="C2"/>
    <n v="15.96"/>
    <n v="15.91"/>
    <x v="28"/>
  </r>
  <r>
    <s v="WQDEC22"/>
    <d v="2022-12-05T00:00:00"/>
    <s v="C2"/>
    <n v="10.58"/>
    <n v="10.79"/>
    <x v="28"/>
  </r>
  <r>
    <s v="WQJAN23"/>
    <d v="2023-01-05T00:00:00"/>
    <s v="C2"/>
    <n v="5.65"/>
    <n v="5.62"/>
    <x v="29"/>
  </r>
  <r>
    <s v="WQFEB23"/>
    <d v="2023-02-07T00:00:00"/>
    <s v="C2"/>
    <n v="4.03"/>
    <n v="4.04"/>
    <x v="29"/>
  </r>
  <r>
    <s v="WQAPR23"/>
    <d v="2023-04-18T00:00:00"/>
    <s v="C2"/>
    <n v="9.4"/>
    <n v="7.5"/>
    <x v="29"/>
  </r>
  <r>
    <s v="WQMAY23"/>
    <d v="2023-05-04T00:00:00"/>
    <s v="C2"/>
    <n v="11.41"/>
    <n v="10.050000000000001"/>
    <x v="29"/>
  </r>
  <r>
    <s v="WQJUN23"/>
    <d v="2023-06-01T00:00:00"/>
    <s v="C2"/>
    <n v="16.43"/>
    <n v="12.56"/>
    <x v="29"/>
  </r>
  <r>
    <s v="HYJUN23"/>
    <d v="2023-06-23T00:00:00"/>
    <s v="C2"/>
    <n v="17.68"/>
    <n v="16.75"/>
    <x v="29"/>
  </r>
  <r>
    <s v="WQJUL23"/>
    <d v="2023-07-10T00:00:00"/>
    <s v="C2"/>
    <n v="23.47"/>
    <n v="17.739999999999998"/>
    <x v="29"/>
  </r>
  <r>
    <s v="HYJUL23"/>
    <d v="2023-07-17T00:00:00"/>
    <s v="C2"/>
    <n v="23.84"/>
    <n v="18"/>
    <x v="29"/>
  </r>
  <r>
    <s v="WQAUG23"/>
    <d v="2023-08-02T00:00:00"/>
    <s v="C2"/>
    <n v="22.36"/>
    <n v="20.079999999999998"/>
    <x v="29"/>
  </r>
  <r>
    <s v="HYAUG23"/>
    <d v="2023-08-14T00:00:00"/>
    <s v="C2"/>
    <n v="23.03"/>
    <n v="20.73"/>
    <x v="29"/>
  </r>
  <r>
    <s v="WQSEP23"/>
    <d v="2023-09-07T00:00:00"/>
    <s v="C2"/>
    <n v="24.45"/>
    <n v="22.18"/>
    <x v="29"/>
  </r>
  <r>
    <s v="WQOCT23"/>
    <d v="2023-10-10T00:00:00"/>
    <s v="C2"/>
    <n v="18.43"/>
    <n v="19.420000000000002"/>
    <x v="29"/>
  </r>
  <r>
    <s v="WQNOV23"/>
    <d v="2023-11-08T00:00:00"/>
    <s v="C2"/>
    <n v="15.37"/>
    <n v="15.46"/>
    <x v="29"/>
  </r>
  <r>
    <s v="WQDEC23"/>
    <d v="2023-12-06T00:00:00"/>
    <s v="C2"/>
    <n v="9.48"/>
    <n v="10.119999999999999"/>
    <x v="29"/>
  </r>
  <r>
    <s v="WQJAN24"/>
    <d v="2024-01-08T00:00:00"/>
    <s v="C2"/>
    <n v="6.48"/>
    <n v="6.48"/>
    <x v="30"/>
  </r>
  <r>
    <s v="WQFEB24"/>
    <d v="2024-02-06T00:00:00"/>
    <s v="C2"/>
    <n v="3.77"/>
    <n v="4.2699999999999996"/>
    <x v="30"/>
  </r>
  <r>
    <s v="CHFEB24"/>
    <d v="2024-02-22T00:00:00"/>
    <s v="C2"/>
    <n v="3.49"/>
    <n v="3.8"/>
    <x v="30"/>
  </r>
  <r>
    <s v="WQMAR24"/>
    <d v="2024-03-06T00:00:00"/>
    <s v="C2"/>
    <n v="4.9800000000000004"/>
    <n v="4.07"/>
    <x v="30"/>
  </r>
  <r>
    <s v="CHMAR24"/>
    <d v="2024-03-18T00:00:00"/>
    <s v="C2"/>
    <n v="6.61"/>
    <n v="5.1100000000000003"/>
    <x v="30"/>
  </r>
  <r>
    <s v="WQAPR24"/>
    <d v="2024-04-08T00:00:00"/>
    <s v="C2"/>
    <n v="6.58"/>
    <n v="6.33"/>
    <x v="30"/>
  </r>
  <r>
    <s v="WQMAY24"/>
    <d v="2024-05-03T00:00:00"/>
    <s v="C2"/>
    <n v="11.95"/>
    <n v="9.61"/>
    <x v="30"/>
  </r>
  <r>
    <s v="WQJUN24"/>
    <d v="2024-06-04T00:00:00"/>
    <s v="C2"/>
    <n v="17.52"/>
    <n v="11.71"/>
    <x v="30"/>
  </r>
  <r>
    <s v="HYJUN24"/>
    <d v="2024-06-17T00:00:00"/>
    <s v="C2"/>
    <n v="18.45"/>
    <n v="13.76"/>
    <x v="30"/>
  </r>
  <r>
    <s v="WQJUL24"/>
    <d v="2024-07-02T00:00:00"/>
    <s v="C2"/>
    <n v="18.940000000000001"/>
    <n v="16.43"/>
    <x v="30"/>
  </r>
  <r>
    <s v="HYJUL24"/>
    <d v="2024-07-16T00:00:00"/>
    <s v="C2"/>
    <n v="22.23"/>
    <n v="17.8"/>
    <x v="30"/>
  </r>
  <r>
    <s v="WQAUG24"/>
    <d v="2024-07-31T00:00:00"/>
    <s v="C2"/>
    <n v="23.13"/>
    <n v="19.47"/>
    <x v="30"/>
  </r>
  <r>
    <s v="HYAUG24"/>
    <d v="2024-08-12T00:00:00"/>
    <s v="C2"/>
    <n v="23"/>
    <n v="21.17"/>
    <x v="30"/>
  </r>
  <r>
    <s v="WQSEP24"/>
    <d v="2024-08-27T00:00:00"/>
    <s v="C2"/>
    <n v="22.96"/>
    <n v="21.61"/>
    <x v="30"/>
  </r>
  <r>
    <s v="WQOCT24"/>
    <d v="2024-10-03T00:00:00"/>
    <s v="C2"/>
    <n v="20.58"/>
    <n v="20.399999999999999"/>
    <x v="30"/>
  </r>
  <r>
    <m/>
    <m/>
    <m/>
    <m/>
    <m/>
    <x v="31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s v="WQJAN95"/>
    <s v="A4"/>
    <d v="1995-01-04T00:00:00"/>
    <n v="4.45"/>
    <n v="4.62"/>
    <x v="0"/>
  </r>
  <r>
    <s v="WQFEB95"/>
    <s v="A4"/>
    <d v="1995-02-08T00:00:00"/>
    <n v="0.68"/>
    <n v="1.51"/>
    <x v="0"/>
  </r>
  <r>
    <s v="WQMAR95"/>
    <s v="A4"/>
    <d v="1995-03-08T00:00:00"/>
    <n v="3.29"/>
    <n v="2.02"/>
    <x v="0"/>
  </r>
  <r>
    <s v="WQAPR95"/>
    <s v="A4"/>
    <d v="1995-04-06T00:00:00"/>
    <n v="5.55"/>
    <n v="5.19"/>
    <x v="0"/>
  </r>
  <r>
    <s v="WQMAY95"/>
    <s v="A4"/>
    <d v="1995-05-10T00:00:00"/>
    <n v="11.690200000000001"/>
    <n v="10.32"/>
    <x v="0"/>
  </r>
  <r>
    <s v="WQJUN95"/>
    <s v="A4"/>
    <d v="1995-06-07T00:00:00"/>
    <n v="15.2"/>
    <n v="13.27"/>
    <x v="0"/>
  </r>
  <r>
    <s v="WQJUL95"/>
    <s v="A4"/>
    <d v="1995-07-06T00:00:00"/>
    <n v="20.73"/>
    <n v="17.809999999999999"/>
    <x v="0"/>
  </r>
  <r>
    <s v="HYJUL95"/>
    <s v="A4"/>
    <d v="1995-07-18T00:00:00"/>
    <n v="21.35"/>
    <n v="18.72"/>
    <x v="0"/>
  </r>
  <r>
    <s v="WQAUG95"/>
    <s v="A4"/>
    <d v="1995-08-04T00:00:00"/>
    <n v="22.5"/>
    <n v="19.239999999999998"/>
    <x v="0"/>
  </r>
  <r>
    <s v="HYAUG95"/>
    <s v="A4"/>
    <d v="1995-08-14T00:00:00"/>
    <n v="23.39"/>
    <n v="22.42"/>
    <x v="0"/>
  </r>
  <r>
    <s v="WQSEP95"/>
    <s v="A4"/>
    <d v="1995-09-05T00:00:00"/>
    <n v="23.71"/>
    <n v="23.11"/>
    <x v="0"/>
  </r>
  <r>
    <s v="WQOCT95"/>
    <s v="A4"/>
    <d v="1995-10-05T00:00:00"/>
    <n v="19.78"/>
    <n v="19.141400000000001"/>
    <x v="0"/>
  </r>
  <r>
    <s v="WQNOV95"/>
    <s v="A4"/>
    <d v="1995-11-13T00:00:00"/>
    <n v="11.33"/>
    <n v="11.8851"/>
    <x v="0"/>
  </r>
  <r>
    <s v="WQDEC95"/>
    <s v="A4"/>
    <d v="1995-12-07T00:00:00"/>
    <n v="7.01"/>
    <n v="7.35"/>
    <x v="0"/>
  </r>
  <r>
    <s v="WQFEB96"/>
    <s v="A4"/>
    <d v="1996-02-08T00:00:00"/>
    <n v="-0.51"/>
    <n v="-0.36"/>
    <x v="1"/>
  </r>
  <r>
    <s v="WQMAR96"/>
    <s v="A4"/>
    <d v="1996-03-05T00:00:00"/>
    <n v="1.06"/>
    <n v="0.67"/>
    <x v="1"/>
  </r>
  <r>
    <s v="WQMAY96"/>
    <s v="A4"/>
    <d v="1996-05-14T00:00:00"/>
    <n v="11.34"/>
    <n v="10"/>
    <x v="1"/>
  </r>
  <r>
    <s v="WQJUN96"/>
    <s v="A4"/>
    <d v="1996-06-04T00:00:00"/>
    <n v="13.23"/>
    <n v="12.47"/>
    <x v="1"/>
  </r>
  <r>
    <s v="HYJUN96"/>
    <s v="A4"/>
    <d v="1996-06-26T00:00:00"/>
    <n v="191.46"/>
    <n v="15.94"/>
    <x v="1"/>
  </r>
  <r>
    <s v="WQJUL96"/>
    <s v="A4"/>
    <d v="1996-07-08T00:00:00"/>
    <n v="19.48"/>
    <n v="15.86"/>
    <x v="1"/>
  </r>
  <r>
    <s v="HYJUL96"/>
    <s v="A4"/>
    <d v="1996-07-24T00:00:00"/>
    <n v="19.39"/>
    <n v="17.420000000000002"/>
    <x v="1"/>
  </r>
  <r>
    <s v="WQAUG96"/>
    <s v="A4"/>
    <d v="1996-08-07T00:00:00"/>
    <n v="21.68"/>
    <n v="20.53"/>
    <x v="1"/>
  </r>
  <r>
    <s v="HYAUG96"/>
    <s v="A4"/>
    <d v="1996-08-21T00:00:00"/>
    <n v="21.92"/>
    <n v="20.350000000000001"/>
    <x v="1"/>
  </r>
  <r>
    <s v="WQSEP96"/>
    <s v="A4"/>
    <d v="1996-09-05T00:00:00"/>
    <n v="22.95"/>
    <n v="21.82"/>
    <x v="1"/>
  </r>
  <r>
    <s v="HYSEP96"/>
    <s v="A4"/>
    <d v="1996-09-20T00:00:00"/>
    <n v="20.49"/>
    <m/>
    <x v="1"/>
  </r>
  <r>
    <s v="WQOCT96"/>
    <s v="A4"/>
    <d v="1996-10-07T00:00:00"/>
    <n v="17.690000000000001"/>
    <n v="17.84"/>
    <x v="1"/>
  </r>
  <r>
    <s v="WQNOV96"/>
    <s v="A4"/>
    <d v="1996-11-06T00:00:00"/>
    <n v="13.64"/>
    <n v="13.68"/>
    <x v="1"/>
  </r>
  <r>
    <s v="WQDEC96"/>
    <s v="A4"/>
    <d v="1996-12-04T00:00:00"/>
    <n v="8.07"/>
    <n v="8.27"/>
    <x v="1"/>
  </r>
  <r>
    <s v="WQFEB97"/>
    <s v="A4"/>
    <d v="1997-02-03T00:00:00"/>
    <n v="1.86"/>
    <n v="1.58"/>
    <x v="2"/>
  </r>
  <r>
    <s v="WQMAR97"/>
    <s v="A4"/>
    <d v="1997-03-03T00:00:00"/>
    <n v="3.86"/>
    <n v="3.06"/>
    <x v="2"/>
  </r>
  <r>
    <s v="WQAPR97"/>
    <s v="A4"/>
    <d v="1997-04-03T00:00:00"/>
    <n v="5.8"/>
    <n v="5.32"/>
    <x v="2"/>
  </r>
  <r>
    <s v="WQMAY97"/>
    <s v="A4"/>
    <d v="1997-05-08T00:00:00"/>
    <n v="10.18"/>
    <n v="9.8000000000000007"/>
    <x v="2"/>
  </r>
  <r>
    <s v="WQJUN97"/>
    <s v="A4"/>
    <d v="1997-06-04T00:00:00"/>
    <n v="14.28"/>
    <n v="14.14"/>
    <x v="2"/>
  </r>
  <r>
    <s v="HYJUN97"/>
    <s v="A4"/>
    <d v="1997-06-27T00:00:00"/>
    <n v="19.16"/>
    <m/>
    <x v="2"/>
  </r>
  <r>
    <s v="WQJUL97"/>
    <s v="A4"/>
    <d v="1997-07-09T00:00:00"/>
    <n v="19.28"/>
    <n v="15.99"/>
    <x v="2"/>
  </r>
  <r>
    <s v="HYJUL97"/>
    <s v="A4"/>
    <d v="1997-07-22T00:00:00"/>
    <n v="19.66"/>
    <m/>
    <x v="2"/>
  </r>
  <r>
    <s v="WQAUG97"/>
    <s v="A4"/>
    <d v="1997-08-05T00:00:00"/>
    <n v="21.09"/>
    <n v="19.07"/>
    <x v="2"/>
  </r>
  <r>
    <s v="HYAUG97"/>
    <s v="A4"/>
    <d v="1997-08-20T00:00:00"/>
    <n v="21.72"/>
    <n v="21.49"/>
    <x v="2"/>
  </r>
  <r>
    <s v="WQSEP97"/>
    <s v="A4"/>
    <d v="1997-09-04T00:00:00"/>
    <n v="21.44"/>
    <n v="21.35"/>
    <x v="2"/>
  </r>
  <r>
    <s v="WQOCT97"/>
    <s v="A4"/>
    <d v="1997-10-08T00:00:00"/>
    <n v="18.91"/>
    <n v="18.71"/>
    <x v="2"/>
  </r>
  <r>
    <s v="WQNOV97"/>
    <s v="A4"/>
    <d v="1997-11-03T00:00:00"/>
    <n v="13.62"/>
    <n v="13.67"/>
    <x v="2"/>
  </r>
  <r>
    <s v="WQDEC97"/>
    <s v="A4"/>
    <d v="1997-12-08T00:00:00"/>
    <n v="6.39"/>
    <n v="6.92"/>
    <x v="2"/>
  </r>
  <r>
    <s v="WQJAN98"/>
    <s v="A4"/>
    <d v="1998-01-14T00:00:00"/>
    <n v="4.5599999999999996"/>
    <n v="4.8600000000000003"/>
    <x v="3"/>
  </r>
  <r>
    <s v="WQFEB98"/>
    <s v="A4"/>
    <d v="1998-02-02T00:00:00"/>
    <n v="3.58"/>
    <n v="3.37"/>
    <x v="3"/>
  </r>
  <r>
    <s v="CHFEB98"/>
    <s v="A4"/>
    <d v="1998-02-19T00:00:00"/>
    <n v="3.61"/>
    <n v="3.28"/>
    <x v="3"/>
  </r>
  <r>
    <s v="WQMAR98"/>
    <s v="A4"/>
    <d v="1998-03-04T00:00:00"/>
    <n v="5.0599999999999996"/>
    <n v="4.58"/>
    <x v="3"/>
  </r>
  <r>
    <s v="CHMAR98"/>
    <s v="A4"/>
    <d v="1998-03-24T00:00:00"/>
    <n v="4.38"/>
    <m/>
    <x v="3"/>
  </r>
  <r>
    <s v="WQAPR98"/>
    <s v="A4"/>
    <d v="1998-04-20T00:00:00"/>
    <n v="9.89"/>
    <n v="9.0399999999999991"/>
    <x v="3"/>
  </r>
  <r>
    <s v="WQMAY98"/>
    <s v="A4"/>
    <d v="1998-05-13T00:00:00"/>
    <n v="12.69"/>
    <n v="12.34"/>
    <x v="3"/>
  </r>
  <r>
    <s v="WQJUN98"/>
    <s v="A4"/>
    <d v="1998-06-02T00:00:00"/>
    <n v="16.579999999999998"/>
    <n v="13"/>
    <x v="3"/>
  </r>
  <r>
    <s v="HYJUN98"/>
    <s v="A4"/>
    <d v="1998-06-25T00:00:00"/>
    <n v="19.62"/>
    <n v="16.52"/>
    <x v="3"/>
  </r>
  <r>
    <s v="WQJUL98"/>
    <s v="A4"/>
    <d v="1998-07-08T00:00:00"/>
    <n v="19.329999999999998"/>
    <n v="17.03"/>
    <x v="3"/>
  </r>
  <r>
    <s v="HYJUL98"/>
    <s v="A4"/>
    <d v="1998-07-22T00:00:00"/>
    <n v="21.13"/>
    <n v="19.45"/>
    <x v="3"/>
  </r>
  <r>
    <s v="WQAUG98"/>
    <s v="A4"/>
    <d v="1998-08-03T00:00:00"/>
    <n v="22.61"/>
    <n v="19.75"/>
    <x v="3"/>
  </r>
  <r>
    <s v="HYAUG98"/>
    <s v="A4"/>
    <d v="1998-08-17T00:00:00"/>
    <n v="23.59"/>
    <n v="21.74"/>
    <x v="3"/>
  </r>
  <r>
    <s v="WQSEP98"/>
    <s v="A4"/>
    <d v="1998-09-02T00:00:00"/>
    <n v="23.74"/>
    <n v="22.58"/>
    <x v="3"/>
  </r>
  <r>
    <s v="HYSEP98"/>
    <s v="A4"/>
    <d v="1998-09-16T00:00:00"/>
    <n v="22.18"/>
    <m/>
    <x v="3"/>
  </r>
  <r>
    <s v="WQOCT98"/>
    <s v="A4"/>
    <d v="1998-10-06T00:00:00"/>
    <n v="19.12"/>
    <n v="19.09"/>
    <x v="3"/>
  </r>
  <r>
    <s v="WQNOV98"/>
    <s v="A4"/>
    <d v="1998-11-05T00:00:00"/>
    <n v="13.31"/>
    <n v="13.51"/>
    <x v="3"/>
  </r>
  <r>
    <s v="WQDEC98"/>
    <s v="A4"/>
    <d v="1998-12-02T00:00:00"/>
    <n v="10.01"/>
    <n v="10.09"/>
    <x v="3"/>
  </r>
  <r>
    <s v="WQJAN99"/>
    <s v="A4"/>
    <d v="1999-01-11T00:00:00"/>
    <n v="2.33"/>
    <n v="2.7"/>
    <x v="4"/>
  </r>
  <r>
    <s v="WQFEB99"/>
    <s v="A4"/>
    <d v="1999-02-04T00:00:00"/>
    <n v="3.28"/>
    <n v="2.86"/>
    <x v="4"/>
  </r>
  <r>
    <s v="CHFEB99"/>
    <s v="A4"/>
    <d v="1999-02-16T00:00:00"/>
    <n v="3.09"/>
    <n v="3.1"/>
    <x v="4"/>
  </r>
  <r>
    <s v="WQMAR99"/>
    <s v="A4"/>
    <d v="1999-03-09T00:00:00"/>
    <n v="2.6341000000000001"/>
    <n v="2.9533999999999998"/>
    <x v="4"/>
  </r>
  <r>
    <s v="CHMAR99"/>
    <s v="A4"/>
    <d v="1999-03-25T00:00:00"/>
    <n v="5.3"/>
    <n v="3.93"/>
    <x v="4"/>
  </r>
  <r>
    <s v="WQAPR99"/>
    <s v="A4"/>
    <d v="1999-04-07T00:00:00"/>
    <n v="7.68"/>
    <n v="6.04"/>
    <x v="4"/>
  </r>
  <r>
    <s v="WQMAY99"/>
    <s v="A4"/>
    <d v="1999-05-06T00:00:00"/>
    <n v="11.65"/>
    <n v="10.83"/>
    <x v="4"/>
  </r>
  <r>
    <s v="WQJUN99"/>
    <s v="A4"/>
    <d v="1999-06-01T00:00:00"/>
    <n v="16.43"/>
    <n v="12.25"/>
    <x v="4"/>
  </r>
  <r>
    <s v="HYJUN99"/>
    <s v="A4"/>
    <d v="1999-06-24T00:00:00"/>
    <n v="20.47"/>
    <n v="17.68"/>
    <x v="4"/>
  </r>
  <r>
    <s v="WQJUL99"/>
    <s v="A4"/>
    <d v="1999-07-07T00:00:00"/>
    <n v="21.18"/>
    <n v="16.649999999999999"/>
    <x v="4"/>
  </r>
  <r>
    <s v="HYJUL99"/>
    <s v="A4"/>
    <d v="1999-07-21T00:00:00"/>
    <n v="21.9"/>
    <n v="19.29"/>
    <x v="4"/>
  </r>
  <r>
    <s v="WQAUG99"/>
    <s v="A4"/>
    <d v="1999-08-04T00:00:00"/>
    <n v="23.95"/>
    <n v="21.09"/>
    <x v="4"/>
  </r>
  <r>
    <s v="HYAUG99"/>
    <s v="A4"/>
    <d v="1999-08-18T00:00:00"/>
    <n v="23.96"/>
    <n v="22.04"/>
    <x v="4"/>
  </r>
  <r>
    <s v="WQSEP99"/>
    <s v="A4"/>
    <d v="1999-09-01T00:00:00"/>
    <n v="22.3"/>
    <n v="22.21"/>
    <x v="4"/>
  </r>
  <r>
    <s v="WQOCT99"/>
    <s v="A4"/>
    <d v="1999-09-28T00:00:00"/>
    <n v="20.38"/>
    <n v="20.41"/>
    <x v="4"/>
  </r>
  <r>
    <s v="WQNOV99"/>
    <s v="A4"/>
    <d v="1999-11-05T00:00:00"/>
    <n v="14.1"/>
    <n v="14.47"/>
    <x v="4"/>
  </r>
  <r>
    <s v="WQDEC99"/>
    <s v="A4"/>
    <d v="1999-12-09T00:00:00"/>
    <n v="8.9"/>
    <n v="9.33"/>
    <x v="4"/>
  </r>
  <r>
    <s v="WQJAN00"/>
    <s v="A4"/>
    <d v="2000-01-06T00:00:00"/>
    <n v="5.36"/>
    <n v="5.34"/>
    <x v="5"/>
  </r>
  <r>
    <s v="WQFEB00"/>
    <s v="A4"/>
    <d v="2000-02-07T00:00:00"/>
    <n v="-0.02"/>
    <n v="-0.06"/>
    <x v="5"/>
  </r>
  <r>
    <s v="CHFEB00"/>
    <s v="A4"/>
    <d v="2000-02-16T00:00:00"/>
    <n v="1.18"/>
    <n v="1.01"/>
    <x v="5"/>
  </r>
  <r>
    <s v="WQMAR00"/>
    <s v="A4"/>
    <d v="2000-03-06T00:00:00"/>
    <n v="3.46"/>
    <n v="2.98"/>
    <x v="5"/>
  </r>
  <r>
    <s v="CHMAR00"/>
    <s v="A4"/>
    <d v="2000-03-15T00:00:00"/>
    <n v="5.35"/>
    <n v="4.26"/>
    <x v="5"/>
  </r>
  <r>
    <s v="WQAPR00"/>
    <s v="A4"/>
    <d v="2000-04-10T00:00:00"/>
    <n v="6.82"/>
    <n v="6.55"/>
    <x v="5"/>
  </r>
  <r>
    <s v="WQMAY00"/>
    <s v="A4"/>
    <d v="2000-05-03T00:00:00"/>
    <n v="10.09"/>
    <n v="9.11"/>
    <x v="5"/>
  </r>
  <r>
    <s v="WQJUN00"/>
    <s v="A4"/>
    <d v="2000-06-05T00:00:00"/>
    <n v="16.03"/>
    <n v="14.64"/>
    <x v="5"/>
  </r>
  <r>
    <s v="HYJUN00"/>
    <s v="A4"/>
    <d v="2000-06-26T00:00:00"/>
    <n v="19.05"/>
    <n v="15.1"/>
    <x v="5"/>
  </r>
  <r>
    <s v="WQJUL00"/>
    <s v="A4"/>
    <d v="2000-07-10T00:00:00"/>
    <n v="20.69"/>
    <n v="16.89"/>
    <x v="5"/>
  </r>
  <r>
    <s v="HYJUL00"/>
    <s v="A4"/>
    <d v="2000-07-19T00:00:00"/>
    <n v="20.37"/>
    <n v="18.260000000000002"/>
    <x v="5"/>
  </r>
  <r>
    <s v="WQAUG00"/>
    <s v="A4"/>
    <d v="2000-08-07T00:00:00"/>
    <n v="22.82"/>
    <n v="20.6"/>
    <x v="5"/>
  </r>
  <r>
    <s v="HYAUG00"/>
    <s v="A4"/>
    <d v="2000-08-16T00:00:00"/>
    <n v="22.15"/>
    <n v="21.45"/>
    <x v="5"/>
  </r>
  <r>
    <s v="WQSEP00"/>
    <s v="A4"/>
    <d v="2000-08-31T00:00:00"/>
    <n v="22.34"/>
    <n v="22.04"/>
    <x v="5"/>
  </r>
  <r>
    <s v="WQOCT00"/>
    <s v="A4"/>
    <d v="2000-10-03T00:00:00"/>
    <n v="18.8"/>
    <n v="18.87"/>
    <x v="5"/>
  </r>
  <r>
    <s v="WQNOV00"/>
    <s v="A4"/>
    <d v="2000-11-09T00:00:00"/>
    <n v="12.25"/>
    <n v="12.69"/>
    <x v="5"/>
  </r>
  <r>
    <s v="WQDEC00"/>
    <s v="A4"/>
    <d v="2000-12-04T00:00:00"/>
    <n v="6.59"/>
    <n v="7.49"/>
    <x v="5"/>
  </r>
  <r>
    <s v="WQJAN01"/>
    <s v="A4"/>
    <d v="2001-01-17T00:00:00"/>
    <n v="1.9"/>
    <n v="1.81"/>
    <x v="6"/>
  </r>
  <r>
    <s v="WQFEB01"/>
    <s v="A4"/>
    <d v="2001-02-07T00:00:00"/>
    <n v="1.76"/>
    <n v="1.66"/>
    <x v="6"/>
  </r>
  <r>
    <s v="CHFEB01"/>
    <s v="A4"/>
    <d v="2001-02-20T00:00:00"/>
    <m/>
    <m/>
    <x v="6"/>
  </r>
  <r>
    <s v="WQMAR01"/>
    <s v="A4"/>
    <d v="2001-03-08T00:00:00"/>
    <n v="1.76"/>
    <n v="1.79"/>
    <x v="6"/>
  </r>
  <r>
    <s v="WQAPR01"/>
    <s v="A4"/>
    <d v="2001-04-04T00:00:00"/>
    <n v="5.08"/>
    <n v="4.4000000000000004"/>
    <x v="6"/>
  </r>
  <r>
    <s v="WQMAY01"/>
    <s v="A4"/>
    <d v="2001-05-01T00:00:00"/>
    <m/>
    <m/>
    <x v="6"/>
  </r>
  <r>
    <s v="WQJUN01"/>
    <s v="A4"/>
    <d v="2001-06-06T00:00:00"/>
    <n v="15.29"/>
    <n v="14.11"/>
    <x v="6"/>
  </r>
  <r>
    <s v="HYJUN01"/>
    <s v="A4"/>
    <d v="2001-06-21T00:00:00"/>
    <n v="18.22"/>
    <n v="14.19"/>
    <x v="6"/>
  </r>
  <r>
    <s v="WQJUL01"/>
    <s v="A4"/>
    <d v="2001-07-10T00:00:00"/>
    <n v="20.16"/>
    <n v="15.98"/>
    <x v="6"/>
  </r>
  <r>
    <s v="HYJUL01"/>
    <s v="A4"/>
    <d v="2001-07-25T00:00:00"/>
    <n v="22.52"/>
    <n v="19.510000000000002"/>
    <x v="6"/>
  </r>
  <r>
    <s v="WQAUG01"/>
    <s v="A4"/>
    <d v="2001-08-07T00:00:00"/>
    <n v="21.84"/>
    <n v="20"/>
    <x v="6"/>
  </r>
  <r>
    <s v="HYAUG01"/>
    <s v="A4"/>
    <d v="2001-08-21T00:00:00"/>
    <n v="23.13"/>
    <n v="22.26"/>
    <x v="6"/>
  </r>
  <r>
    <s v="WQSEP01"/>
    <s v="A4"/>
    <d v="2001-09-04T00:00:00"/>
    <n v="22.63"/>
    <n v="22.17"/>
    <x v="6"/>
  </r>
  <r>
    <s v="HYSEP01"/>
    <s v="A4"/>
    <d v="2001-09-24T00:00:00"/>
    <n v="21.93"/>
    <m/>
    <x v="6"/>
  </r>
  <r>
    <s v="WQOCT01"/>
    <s v="A4"/>
    <d v="2001-10-04T00:00:00"/>
    <n v="18.71"/>
    <n v="18.68"/>
    <x v="6"/>
  </r>
  <r>
    <s v="WQNOV01"/>
    <s v="A4"/>
    <d v="2001-11-13T00:00:00"/>
    <n v="11.84"/>
    <n v="12.09"/>
    <x v="6"/>
  </r>
  <r>
    <s v="WQDEC01"/>
    <s v="A4"/>
    <d v="2001-12-05T00:00:00"/>
    <n v="11.51"/>
    <n v="11.49"/>
    <x v="6"/>
  </r>
  <r>
    <s v="WQJAN02"/>
    <s v="A4"/>
    <d v="2002-01-15T00:00:00"/>
    <n v="4.4800000000000004"/>
    <n v="4.84"/>
    <x v="7"/>
  </r>
  <r>
    <s v="WQFEB02"/>
    <s v="A4"/>
    <d v="2002-02-06T00:00:00"/>
    <n v="3.91"/>
    <n v="4.1500000000000004"/>
    <x v="7"/>
  </r>
  <r>
    <s v="CHFEB02"/>
    <s v="A4"/>
    <d v="2002-02-19T00:00:00"/>
    <n v="3.79"/>
    <n v="3.9"/>
    <x v="7"/>
  </r>
  <r>
    <s v="WQMAR02"/>
    <s v="A4"/>
    <d v="2002-03-04T00:00:00"/>
    <n v="5.4"/>
    <n v="5.03"/>
    <x v="7"/>
  </r>
  <r>
    <s v="CHMAR02"/>
    <s v="A4"/>
    <d v="2002-03-21T00:00:00"/>
    <n v="5.81"/>
    <n v="5.3"/>
    <x v="7"/>
  </r>
  <r>
    <s v="WQAPR02"/>
    <s v="A4"/>
    <d v="2002-04-04T00:00:00"/>
    <n v="7.66"/>
    <n v="6.3"/>
    <x v="7"/>
  </r>
  <r>
    <s v="WQMAY02"/>
    <s v="A4"/>
    <d v="2002-05-07T00:00:00"/>
    <n v="12.04"/>
    <n v="10.119999999999999"/>
    <x v="7"/>
  </r>
  <r>
    <s v="WQJUN02"/>
    <s v="A4"/>
    <d v="2002-06-06T00:00:00"/>
    <n v="16.96"/>
    <n v="14.01"/>
    <x v="7"/>
  </r>
  <r>
    <s v="HYJUN02"/>
    <s v="A4"/>
    <d v="2002-06-26T00:00:00"/>
    <n v="20.45"/>
    <n v="17.52"/>
    <x v="7"/>
  </r>
  <r>
    <s v="WQJUL02"/>
    <s v="A4"/>
    <d v="2002-07-09T00:00:00"/>
    <n v="20.16"/>
    <n v="16.93"/>
    <x v="7"/>
  </r>
  <r>
    <s v="HYJUL02"/>
    <s v="A4"/>
    <d v="2002-07-22T00:00:00"/>
    <n v="21.87"/>
    <n v="19.510000000000002"/>
    <x v="7"/>
  </r>
  <r>
    <s v="WQAUG02"/>
    <s v="A4"/>
    <d v="2002-08-07T00:00:00"/>
    <n v="23.5"/>
    <n v="21.24"/>
    <x v="7"/>
  </r>
  <r>
    <s v="HYAUG02"/>
    <s v="A4"/>
    <d v="2002-08-22T00:00:00"/>
    <n v="23.89"/>
    <n v="22.8"/>
    <x v="7"/>
  </r>
  <r>
    <s v="WQSEP02"/>
    <s v="A4"/>
    <d v="2002-09-10T00:00:00"/>
    <n v="22.61"/>
    <n v="21.69"/>
    <x v="7"/>
  </r>
  <r>
    <s v="WQOCT02"/>
    <s v="A4"/>
    <d v="2002-10-09T00:00:00"/>
    <n v="20.12"/>
    <n v="19.97"/>
    <x v="7"/>
  </r>
  <r>
    <s v="WQNOV02"/>
    <s v="A4"/>
    <d v="2002-11-13T00:00:00"/>
    <n v="11.67"/>
    <n v="12.15"/>
    <x v="7"/>
  </r>
  <r>
    <s v="WQDEC02"/>
    <s v="A4"/>
    <d v="2002-12-10T00:00:00"/>
    <n v="4.97"/>
    <n v="5.68"/>
    <x v="7"/>
  </r>
  <r>
    <s v="WQFEB03"/>
    <s v="A4"/>
    <d v="2003-02-14T00:00:00"/>
    <n v="-0.55000000000000004"/>
    <n v="-0.3"/>
    <x v="8"/>
  </r>
  <r>
    <s v="WQMAR03"/>
    <s v="A4"/>
    <d v="2003-03-10T00:00:00"/>
    <n v="0.23"/>
    <n v="-0.35"/>
    <x v="8"/>
  </r>
  <r>
    <s v="CHMAR03"/>
    <s v="A4"/>
    <d v="2003-03-18T00:00:00"/>
    <n v="1.59"/>
    <n v="0.57999999999999996"/>
    <x v="8"/>
  </r>
  <r>
    <s v="WQAPR03"/>
    <s v="A4"/>
    <d v="2003-04-01T00:00:00"/>
    <n v="4.5599999999999996"/>
    <n v="4.45"/>
    <x v="8"/>
  </r>
  <r>
    <s v="WQMAY03"/>
    <s v="A4"/>
    <d v="2003-05-06T00:00:00"/>
    <n v="9.7200000000000006"/>
    <n v="7.26"/>
    <x v="8"/>
  </r>
  <r>
    <s v="WQJUN03"/>
    <s v="A4"/>
    <d v="2003-06-05T00:00:00"/>
    <n v="13.85"/>
    <n v="12.65"/>
    <x v="8"/>
  </r>
  <r>
    <s v="HYJUN03"/>
    <s v="A4"/>
    <d v="2003-06-19T00:00:00"/>
    <n v="16.22"/>
    <n v="14.63"/>
    <x v="8"/>
  </r>
  <r>
    <s v="WQJUL03"/>
    <s v="A4"/>
    <d v="2003-07-08T00:00:00"/>
    <n v="18.82"/>
    <n v="14"/>
    <x v="8"/>
  </r>
  <r>
    <s v="HYJUL03"/>
    <s v="A4"/>
    <d v="2003-07-28T00:00:00"/>
    <n v="19"/>
    <n v="15.68"/>
    <x v="8"/>
  </r>
  <r>
    <s v="WQAUG03"/>
    <s v="A4"/>
    <d v="2003-08-06T00:00:00"/>
    <m/>
    <n v="18.62"/>
    <x v="8"/>
  </r>
  <r>
    <s v="HYAUG03"/>
    <s v="A4"/>
    <d v="2003-08-20T00:00:00"/>
    <n v="22.42"/>
    <n v="19.510000000000002"/>
    <x v="8"/>
  </r>
  <r>
    <s v="WQSEP03"/>
    <s v="A4"/>
    <d v="2003-09-03T00:00:00"/>
    <n v="20.72"/>
    <n v="20.86"/>
    <x v="8"/>
  </r>
  <r>
    <s v="WQOCT03"/>
    <s v="A4"/>
    <d v="2003-10-06T00:00:00"/>
    <n v="18.18"/>
    <n v="18.350000000000001"/>
    <x v="8"/>
  </r>
  <r>
    <s v="WQNOV03"/>
    <s v="A4"/>
    <d v="2003-11-05T00:00:00"/>
    <n v="14.77"/>
    <n v="14.96"/>
    <x v="8"/>
  </r>
  <r>
    <s v="WQDEC03"/>
    <s v="A4"/>
    <d v="2003-12-09T00:00:00"/>
    <n v="5.76"/>
    <n v="6.03"/>
    <x v="8"/>
  </r>
  <r>
    <s v="WQFEB04"/>
    <s v="A4"/>
    <d v="2004-02-02T00:00:00"/>
    <n v="-1.22"/>
    <n v="-1.32"/>
    <x v="9"/>
  </r>
  <r>
    <s v="CHFEB04"/>
    <s v="A4"/>
    <d v="2004-02-19T00:00:00"/>
    <n v="-0.34"/>
    <n v="-0.36"/>
    <x v="9"/>
  </r>
  <r>
    <s v="WQMAR04"/>
    <s v="A4"/>
    <d v="2004-03-01T00:00:00"/>
    <n v="1.45"/>
    <n v="0.64"/>
    <x v="9"/>
  </r>
  <r>
    <s v="CHMAR04"/>
    <s v="A4"/>
    <d v="2004-03-18T00:00:00"/>
    <n v="2.7"/>
    <n v="2.27"/>
    <x v="9"/>
  </r>
  <r>
    <s v="WQAPR04"/>
    <s v="A4"/>
    <d v="2004-04-14T00:00:00"/>
    <n v="6.73"/>
    <n v="6.15"/>
    <x v="9"/>
  </r>
  <r>
    <s v="WQMAY04"/>
    <s v="A4"/>
    <d v="2004-05-06T00:00:00"/>
    <n v="10.119999999999999"/>
    <n v="7.98"/>
    <x v="9"/>
  </r>
  <r>
    <s v="WQJUN04"/>
    <s v="A4"/>
    <d v="2004-06-02T00:00:00"/>
    <n v="16.62"/>
    <n v="15.77"/>
    <x v="9"/>
  </r>
  <r>
    <s v="HYJUN04"/>
    <s v="A4"/>
    <d v="2004-06-29T00:00:00"/>
    <n v="17.52"/>
    <n v="14.11"/>
    <x v="9"/>
  </r>
  <r>
    <s v="WQJUL04"/>
    <s v="A4"/>
    <d v="2004-07-06T00:00:00"/>
    <n v="18.690000000000001"/>
    <n v="16.25"/>
    <x v="9"/>
  </r>
  <r>
    <s v="HYJUL04"/>
    <s v="A4"/>
    <d v="2004-07-20T00:00:00"/>
    <n v="21.09"/>
    <n v="18.649999999999999"/>
    <x v="9"/>
  </r>
  <r>
    <s v="WQAUG04"/>
    <s v="A4"/>
    <d v="2004-08-03T00:00:00"/>
    <n v="21.84"/>
    <n v="20.36"/>
    <x v="9"/>
  </r>
  <r>
    <s v="HYAUG04"/>
    <s v="A4"/>
    <d v="2004-08-23T00:00:00"/>
    <n v="22.14"/>
    <n v="20.6"/>
    <x v="9"/>
  </r>
  <r>
    <s v="WQSEP04"/>
    <s v="A4"/>
    <d v="2004-09-02T00:00:00"/>
    <n v="22.71"/>
    <n v="21.87"/>
    <x v="9"/>
  </r>
  <r>
    <s v="WQOCT04"/>
    <s v="A4"/>
    <d v="2004-10-13T00:00:00"/>
    <n v="18.43"/>
    <n v="18.64"/>
    <x v="9"/>
  </r>
  <r>
    <s v="WQDEC04"/>
    <s v="A4"/>
    <d v="2004-12-09T00:00:00"/>
    <n v="8.14"/>
    <n v="8.3000000000000007"/>
    <x v="9"/>
  </r>
  <r>
    <s v="WQJAN05"/>
    <s v="A4"/>
    <d v="2005-01-13T00:00:00"/>
    <n v="4.1500000000000004"/>
    <n v="4.16"/>
    <x v="10"/>
  </r>
  <r>
    <s v="WQFEB05"/>
    <s v="A4"/>
    <d v="2005-01-31T00:00:00"/>
    <n v="-0.55000000000000004"/>
    <n v="-0.52"/>
    <x v="10"/>
  </r>
  <r>
    <s v="WQMAR05"/>
    <s v="A4"/>
    <d v="2005-03-10T00:00:00"/>
    <n v="1"/>
    <n v="0.84"/>
    <x v="10"/>
  </r>
  <r>
    <s v="WQAPR05"/>
    <s v="A4"/>
    <d v="2005-04-06T00:00:00"/>
    <n v="6"/>
    <n v="4.88"/>
    <x v="10"/>
  </r>
  <r>
    <s v="WQMAY05"/>
    <s v="A4"/>
    <d v="2005-05-09T00:00:00"/>
    <n v="9.64"/>
    <n v="9.1999999999999993"/>
    <x v="10"/>
  </r>
  <r>
    <s v="WQJUN05"/>
    <s v="A4"/>
    <d v="2005-06-09T00:00:00"/>
    <n v="17.43"/>
    <m/>
    <x v="10"/>
  </r>
  <r>
    <s v="HYJUN05"/>
    <s v="A4"/>
    <d v="2005-06-23T00:00:00"/>
    <n v="16.89"/>
    <n v="15.56"/>
    <x v="10"/>
  </r>
  <r>
    <s v="WQJUL05"/>
    <s v="A4"/>
    <d v="2005-07-11T00:00:00"/>
    <n v="20.81"/>
    <n v="19.54"/>
    <x v="10"/>
  </r>
  <r>
    <s v="HYJUL05"/>
    <s v="A4"/>
    <d v="2005-07-21T00:00:00"/>
    <n v="23.08"/>
    <n v="19.170000000000002"/>
    <x v="10"/>
  </r>
  <r>
    <s v="WQAUG05"/>
    <s v="A4"/>
    <d v="2005-08-03T00:00:00"/>
    <n v="23.06"/>
    <n v="18.89"/>
    <x v="10"/>
  </r>
  <r>
    <s v="HYAUG05"/>
    <s v="A4"/>
    <d v="2005-08-17T00:00:00"/>
    <n v="24.05"/>
    <n v="20.59"/>
    <x v="10"/>
  </r>
  <r>
    <s v="WQSEP05"/>
    <s v="A4"/>
    <d v="2005-08-30T00:00:00"/>
    <n v="23.66"/>
    <n v="21.46"/>
    <x v="10"/>
  </r>
  <r>
    <s v="SSSEP05"/>
    <s v="A4"/>
    <d v="2005-09-15T00:00:00"/>
    <n v="23.4"/>
    <n v="22.32"/>
    <x v="10"/>
  </r>
  <r>
    <s v="WQOCT05"/>
    <s v="A4"/>
    <d v="2005-10-18T00:00:00"/>
    <n v="17.350000000000001"/>
    <n v="17.690000000000001"/>
    <x v="10"/>
  </r>
  <r>
    <s v="WQNOV05"/>
    <s v="A4"/>
    <d v="2005-11-18T00:00:00"/>
    <n v="12.31"/>
    <n v="12.35"/>
    <x v="10"/>
  </r>
  <r>
    <s v="WQDEC05"/>
    <s v="A4"/>
    <d v="2005-12-12T00:00:00"/>
    <n v="6.26"/>
    <n v="6.89"/>
    <x v="10"/>
  </r>
  <r>
    <s v="WQMAR06"/>
    <s v="A4"/>
    <d v="2006-03-06T00:00:00"/>
    <n v="1.78"/>
    <n v="1.81"/>
    <x v="11"/>
  </r>
  <r>
    <s v="WQMAY06"/>
    <s v="A4"/>
    <d v="2006-05-03T00:00:00"/>
    <n v="11.9"/>
    <n v="10.82"/>
    <x v="11"/>
  </r>
  <r>
    <s v="WQJUN06"/>
    <s v="A4"/>
    <d v="2006-06-08T00:00:00"/>
    <n v="17.22"/>
    <n v="16.239999999999998"/>
    <x v="11"/>
  </r>
  <r>
    <s v="HYJUN06"/>
    <s v="A4"/>
    <d v="2006-06-23T00:00:00"/>
    <n v="17.12"/>
    <n v="15.27"/>
    <x v="11"/>
  </r>
  <r>
    <s v="WQJUL06"/>
    <s v="A4"/>
    <d v="2006-07-10T00:00:00"/>
    <n v="18.53"/>
    <n v="15.88"/>
    <x v="11"/>
  </r>
  <r>
    <s v="HYJUL06"/>
    <s v="A4"/>
    <d v="2006-07-18T00:00:00"/>
    <n v="20.56"/>
    <n v="17.39"/>
    <x v="11"/>
  </r>
  <r>
    <s v="WQAUG06"/>
    <s v="A4"/>
    <d v="2006-08-02T00:00:00"/>
    <n v="23.04"/>
    <n v="18.72"/>
    <x v="11"/>
  </r>
  <r>
    <s v="HYAUG06"/>
    <s v="A4"/>
    <d v="2006-08-17T00:00:00"/>
    <n v="22.58"/>
    <n v="21.27"/>
    <x v="11"/>
  </r>
  <r>
    <s v="WQSEP06"/>
    <s v="A4"/>
    <d v="2006-08-31T00:00:00"/>
    <n v="21.74"/>
    <n v="21.6"/>
    <x v="11"/>
  </r>
  <r>
    <s v="WQOCT06"/>
    <s v="A4"/>
    <d v="2006-10-16T00:00:00"/>
    <m/>
    <m/>
    <x v="11"/>
  </r>
  <r>
    <s v="WQNOV06"/>
    <s v="A4"/>
    <d v="2006-11-09T00:00:00"/>
    <n v="13.09"/>
    <n v="13.03"/>
    <x v="11"/>
  </r>
  <r>
    <s v="WQDEC06"/>
    <s v="A4"/>
    <d v="2006-12-14T00:00:00"/>
    <n v="8.11"/>
    <n v="8.68"/>
    <x v="11"/>
  </r>
  <r>
    <s v="WQJAN07"/>
    <s v="A4"/>
    <d v="2007-01-19T00:00:00"/>
    <n v="5.37"/>
    <n v="5.78"/>
    <x v="12"/>
  </r>
  <r>
    <s v="WQFEB07"/>
    <s v="A4"/>
    <d v="2007-02-07T00:00:00"/>
    <n v="0.99"/>
    <n v="1.71"/>
    <x v="12"/>
  </r>
  <r>
    <s v="WQMAR07"/>
    <s v="A4"/>
    <d v="2007-03-12T00:00:00"/>
    <n v="1.1100000000000001"/>
    <n v="0.66"/>
    <x v="12"/>
  </r>
  <r>
    <s v="CHMAR07"/>
    <s v="A4"/>
    <d v="2007-03-19T00:00:00"/>
    <n v="1.45"/>
    <n v="1.25"/>
    <x v="12"/>
  </r>
  <r>
    <s v="WQAPR07"/>
    <s v="A4"/>
    <d v="2007-04-03T00:00:00"/>
    <n v="5.3"/>
    <n v="3.55"/>
    <x v="12"/>
  </r>
  <r>
    <s v="WQMAY07"/>
    <s v="A4"/>
    <d v="2007-05-08T00:00:00"/>
    <n v="10.14"/>
    <n v="7.6"/>
    <x v="12"/>
  </r>
  <r>
    <s v="WQJUN07"/>
    <s v="A4"/>
    <d v="2007-06-06T00:00:00"/>
    <n v="15.38"/>
    <n v="12.42"/>
    <x v="12"/>
  </r>
  <r>
    <s v="HYJUN07"/>
    <s v="A4"/>
    <d v="2007-06-21T00:00:00"/>
    <n v="17.7"/>
    <n v="14.19"/>
    <x v="12"/>
  </r>
  <r>
    <s v="WQJUL07"/>
    <s v="A4"/>
    <d v="2007-07-10T00:00:00"/>
    <n v="19.18"/>
    <n v="15.71"/>
    <x v="12"/>
  </r>
  <r>
    <s v="HYJUL07"/>
    <s v="A4"/>
    <d v="2007-07-24T00:00:00"/>
    <n v="20.39"/>
    <n v="18.61"/>
    <x v="12"/>
  </r>
  <r>
    <s v="WQAUG07"/>
    <s v="A4"/>
    <d v="2007-08-01T00:00:00"/>
    <n v="21.76"/>
    <n v="19.62"/>
    <x v="12"/>
  </r>
  <r>
    <s v="HYAUG07"/>
    <s v="A4"/>
    <d v="2007-08-14T00:00:00"/>
    <n v="22.47"/>
    <n v="21.76"/>
    <x v="12"/>
  </r>
  <r>
    <s v="WQSEP07"/>
    <s v="A4"/>
    <d v="2007-08-29T00:00:00"/>
    <n v="22.26"/>
    <n v="21.19"/>
    <x v="12"/>
  </r>
  <r>
    <s v="HYSEP07"/>
    <s v="A4"/>
    <d v="2007-09-10T00:00:00"/>
    <n v="23.03"/>
    <n v="21.73"/>
    <x v="12"/>
  </r>
  <r>
    <s v="WQOCT07"/>
    <s v="A4"/>
    <d v="2007-10-03T00:00:00"/>
    <n v="21.1"/>
    <n v="21.62"/>
    <x v="12"/>
  </r>
  <r>
    <s v="WQNOV07"/>
    <s v="A4"/>
    <d v="2007-11-14T00:00:00"/>
    <n v="12.08"/>
    <n v="12.28"/>
    <x v="12"/>
  </r>
  <r>
    <s v="WQDEC07"/>
    <s v="A4"/>
    <d v="2007-12-06T00:00:00"/>
    <n v="6.12"/>
    <n v="8.06"/>
    <x v="12"/>
  </r>
  <r>
    <s v="WQJAN08"/>
    <s v="A4"/>
    <d v="2008-01-10T00:00:00"/>
    <n v="4.53"/>
    <n v="4.42"/>
    <x v="13"/>
  </r>
  <r>
    <s v="WQFEB08"/>
    <s v="A4"/>
    <d v="2008-02-06T00:00:00"/>
    <n v="3.07"/>
    <n v="2.84"/>
    <x v="13"/>
  </r>
  <r>
    <s v="CHFEB08"/>
    <s v="A4"/>
    <d v="2008-02-22T00:00:00"/>
    <n v="2.2200000000000002"/>
    <n v="2.71"/>
    <x v="13"/>
  </r>
  <r>
    <s v="WQMAR08"/>
    <s v="A4"/>
    <d v="2008-03-03T00:00:00"/>
    <n v="2.87"/>
    <n v="2.4"/>
    <x v="13"/>
  </r>
  <r>
    <s v="CHMAR08"/>
    <s v="A4"/>
    <d v="2008-03-18T00:00:00"/>
    <n v="4.59"/>
    <n v="4.58"/>
    <x v="13"/>
  </r>
  <r>
    <s v="WQAPR08"/>
    <s v="A4"/>
    <d v="2008-04-08T00:00:00"/>
    <n v="6.15"/>
    <n v="6.11"/>
    <x v="13"/>
  </r>
  <r>
    <s v="WQMAY08"/>
    <s v="A4"/>
    <d v="2008-05-07T00:00:00"/>
    <n v="12.87"/>
    <n v="11.67"/>
    <x v="13"/>
  </r>
  <r>
    <s v="WQJUN08"/>
    <s v="A4"/>
    <d v="2008-06-03T00:00:00"/>
    <n v="14.59"/>
    <n v="12.6"/>
    <x v="13"/>
  </r>
  <r>
    <s v="HYJUN08"/>
    <s v="A4"/>
    <d v="2008-06-17T00:00:00"/>
    <n v="18.809999999999999"/>
    <n v="14.36"/>
    <x v="13"/>
  </r>
  <r>
    <s v="WQJUL08"/>
    <s v="A4"/>
    <d v="2008-07-03T00:00:00"/>
    <n v="17.77"/>
    <n v="15.52"/>
    <x v="13"/>
  </r>
  <r>
    <s v="HYJUL08"/>
    <s v="A4"/>
    <d v="2008-07-22T00:00:00"/>
    <n v="21.15"/>
    <n v="16.940000000000001"/>
    <x v="13"/>
  </r>
  <r>
    <s v="WQAUG08"/>
    <s v="A4"/>
    <d v="2008-08-05T00:00:00"/>
    <n v="22.03"/>
    <n v="20.2"/>
    <x v="13"/>
  </r>
  <r>
    <s v="HYAUG08"/>
    <s v="A4"/>
    <d v="2008-08-20T00:00:00"/>
    <n v="21.8"/>
    <n v="20.95"/>
    <x v="13"/>
  </r>
  <r>
    <s v="WQSEP08"/>
    <s v="A4"/>
    <d v="2008-09-03T00:00:00"/>
    <n v="22.94"/>
    <n v="22.5"/>
    <x v="13"/>
  </r>
  <r>
    <s v="HYSEP08"/>
    <s v="A4"/>
    <d v="2008-09-16T00:00:00"/>
    <n v="22.29"/>
    <n v="22.11"/>
    <x v="13"/>
  </r>
  <r>
    <s v="WQOCT08"/>
    <s v="A4"/>
    <d v="2008-10-07T00:00:00"/>
    <n v="18.39"/>
    <n v="19.05"/>
    <x v="13"/>
  </r>
  <r>
    <s v="WQNOV08"/>
    <s v="A4"/>
    <d v="2008-11-07T00:00:00"/>
    <n v="13.59"/>
    <n v="13.56"/>
    <x v="13"/>
  </r>
  <r>
    <s v="WQDEC08"/>
    <s v="A4"/>
    <d v="2008-12-17T00:00:00"/>
    <n v="6.29"/>
    <n v="6.53"/>
    <x v="13"/>
  </r>
  <r>
    <s v="WQJAN09"/>
    <s v="A4"/>
    <d v="2009-01-12T00:00:00"/>
    <n v="2"/>
    <n v="2.08"/>
    <x v="14"/>
  </r>
  <r>
    <s v="WQFEB09"/>
    <s v="A4"/>
    <d v="2009-02-04T00:00:00"/>
    <n v="0.3"/>
    <n v="0.46"/>
    <x v="14"/>
  </r>
  <r>
    <s v="CHFEB09"/>
    <s v="A4"/>
    <d v="2009-02-17T00:00:00"/>
    <n v="1.72"/>
    <n v="1.39"/>
    <x v="14"/>
  </r>
  <r>
    <s v="WQMAR09"/>
    <s v="A4"/>
    <d v="2009-03-05T00:00:00"/>
    <n v="0.92"/>
    <n v="1.1200000000000001"/>
    <x v="14"/>
  </r>
  <r>
    <s v="CHMAR09"/>
    <s v="A4"/>
    <d v="2009-03-16T00:00:00"/>
    <n v="3.25"/>
    <n v="2.73"/>
    <x v="14"/>
  </r>
  <r>
    <s v="WQAPR09"/>
    <s v="A4"/>
    <d v="2009-04-01T00:00:00"/>
    <n v="5.52"/>
    <n v="5.0999999999999996"/>
    <x v="14"/>
  </r>
  <r>
    <s v="WQMAY09"/>
    <s v="A4"/>
    <d v="2009-05-04T00:00:00"/>
    <n v="11"/>
    <n v="9.1999999999999993"/>
    <x v="14"/>
  </r>
  <r>
    <s v="WQJUN09"/>
    <s v="A4"/>
    <d v="2009-06-09T00:00:00"/>
    <n v="16.63"/>
    <n v="14.55"/>
    <x v="14"/>
  </r>
  <r>
    <s v="HYJUN09"/>
    <s v="A4"/>
    <d v="2009-06-23T00:00:00"/>
    <n v="18.54"/>
    <n v="17.079999999999998"/>
    <x v="14"/>
  </r>
  <r>
    <s v="WQJUL09"/>
    <s v="A4"/>
    <d v="2009-07-08T00:00:00"/>
    <n v="19.670000000000002"/>
    <n v="15.66"/>
    <x v="14"/>
  </r>
  <r>
    <s v="HYJUL09"/>
    <s v="A4"/>
    <d v="2009-07-22T00:00:00"/>
    <n v="20.39"/>
    <n v="18.8"/>
    <x v="14"/>
  </r>
  <r>
    <s v="WQAUG09"/>
    <s v="A4"/>
    <d v="2009-08-05T00:00:00"/>
    <n v="21.49"/>
    <n v="19.13"/>
    <x v="14"/>
  </r>
  <r>
    <s v="HYAUG09"/>
    <s v="A4"/>
    <d v="2009-08-18T00:00:00"/>
    <n v="22.86"/>
    <n v="20.97"/>
    <x v="14"/>
  </r>
  <r>
    <s v="WQSEP09"/>
    <s v="A4"/>
    <d v="2009-09-02T00:00:00"/>
    <n v="22.55"/>
    <n v="22.32"/>
    <x v="14"/>
  </r>
  <r>
    <s v="WQOCT09"/>
    <s v="A4"/>
    <d v="2009-10-06T00:00:00"/>
    <n v="18.39"/>
    <n v="18.48"/>
    <x v="14"/>
  </r>
  <r>
    <s v="WQNOV09"/>
    <s v="A4"/>
    <d v="2009-11-04T00:00:00"/>
    <m/>
    <m/>
    <x v="14"/>
  </r>
  <r>
    <s v="WQDEC09"/>
    <s v="A4"/>
    <d v="2009-12-02T00:00:00"/>
    <n v="10.039999999999999"/>
    <n v="10.38"/>
    <x v="14"/>
  </r>
  <r>
    <s v="WQJAN10"/>
    <s v="A4"/>
    <d v="2010-01-12T00:00:00"/>
    <n v="1.06"/>
    <n v="1.62"/>
    <x v="15"/>
  </r>
  <r>
    <s v="WQFEB10"/>
    <s v="A4"/>
    <d v="2010-02-08T00:00:00"/>
    <n v="0.55000000000000004"/>
    <n v="0.75"/>
    <x v="15"/>
  </r>
  <r>
    <s v="WQMAR10"/>
    <s v="A4"/>
    <d v="2010-03-02T00:00:00"/>
    <n v="2.0099999999999998"/>
    <n v="1.91"/>
    <x v="15"/>
  </r>
  <r>
    <s v="CHMAR10"/>
    <s v="A4"/>
    <d v="2010-03-17T00:00:00"/>
    <n v="5.29"/>
    <n v="4.46"/>
    <x v="15"/>
  </r>
  <r>
    <s v="WQAPR10"/>
    <s v="A4"/>
    <d v="2010-03-31T00:00:00"/>
    <n v="6.59"/>
    <n v="6.33"/>
    <x v="15"/>
  </r>
  <r>
    <s v="WQMAY10"/>
    <s v="A4"/>
    <d v="2010-05-04T00:00:00"/>
    <n v="13.3"/>
    <n v="8.86"/>
    <x v="15"/>
  </r>
  <r>
    <s v="WQJUN10"/>
    <s v="A4"/>
    <d v="2010-05-27T00:00:00"/>
    <n v="15.79"/>
    <n v="13.61"/>
    <x v="15"/>
  </r>
  <r>
    <s v="HYJUN10"/>
    <s v="A4"/>
    <d v="2010-06-18T00:00:00"/>
    <n v="17.11"/>
    <n v="14.93"/>
    <x v="15"/>
  </r>
  <r>
    <s v="WQJUL10"/>
    <s v="A4"/>
    <d v="2010-07-08T00:00:00"/>
    <n v="20.75"/>
    <n v="16.63"/>
    <x v="15"/>
  </r>
  <r>
    <s v="HYJUL10"/>
    <s v="A4"/>
    <d v="2010-07-23T00:00:00"/>
    <n v="23.05"/>
    <n v="19.27"/>
    <x v="15"/>
  </r>
  <r>
    <s v="WQAUG10"/>
    <s v="A4"/>
    <d v="2010-08-03T00:00:00"/>
    <n v="22.04"/>
    <n v="20.57"/>
    <x v="15"/>
  </r>
  <r>
    <s v="HYAUG10"/>
    <s v="A4"/>
    <d v="2010-08-17T00:00:00"/>
    <n v="23.22"/>
    <n v="22.95"/>
    <x v="15"/>
  </r>
  <r>
    <s v="WQSEP10"/>
    <s v="A4"/>
    <d v="2010-08-31T00:00:00"/>
    <n v="23.18"/>
    <n v="22.71"/>
    <x v="15"/>
  </r>
  <r>
    <s v="WQOCT10"/>
    <s v="A4"/>
    <d v="2010-10-12T00:00:00"/>
    <n v="18.510000000000002"/>
    <n v="18.63"/>
    <x v="15"/>
  </r>
  <r>
    <s v="WQNOV10"/>
    <s v="A4"/>
    <d v="2010-11-01T00:00:00"/>
    <n v="14.26"/>
    <n v="15"/>
    <x v="15"/>
  </r>
  <r>
    <s v="WQDEC10"/>
    <s v="A4"/>
    <d v="2010-12-02T00:00:00"/>
    <n v="9.64"/>
    <n v="9.7200000000000006"/>
    <x v="15"/>
  </r>
  <r>
    <s v="WQJAN11"/>
    <s v="A4"/>
    <d v="2011-01-14T00:00:00"/>
    <n v="0.64"/>
    <n v="1.32"/>
    <x v="16"/>
  </r>
  <r>
    <s v="WQFEB11"/>
    <s v="A4"/>
    <d v="2011-02-10T00:00:00"/>
    <n v="0.2"/>
    <n v="0.37"/>
    <x v="16"/>
  </r>
  <r>
    <s v="CHFEB11"/>
    <s v="A4"/>
    <d v="2011-02-17T00:00:00"/>
    <n v="1.01"/>
    <n v="0.69"/>
    <x v="16"/>
  </r>
  <r>
    <s v="WQMAR11"/>
    <s v="A4"/>
    <d v="2011-03-08T00:00:00"/>
    <n v="3.84"/>
    <n v="3.01"/>
    <x v="16"/>
  </r>
  <r>
    <s v="WQAPR11"/>
    <s v="A4"/>
    <d v="2011-04-14T00:00:00"/>
    <n v="6.84"/>
    <n v="6"/>
    <x v="16"/>
  </r>
  <r>
    <s v="WQMAY11"/>
    <s v="A4"/>
    <d v="2011-05-03T00:00:00"/>
    <n v="10.38"/>
    <n v="7.74"/>
    <x v="16"/>
  </r>
  <r>
    <s v="WQJUN11"/>
    <s v="A4"/>
    <d v="2011-06-01T00:00:00"/>
    <n v="18.309999999999999"/>
    <n v="12.58"/>
    <x v="16"/>
  </r>
  <r>
    <s v="HYJUN11"/>
    <s v="A4"/>
    <d v="2011-06-16T00:00:00"/>
    <n v="18.079999999999998"/>
    <n v="17.46"/>
    <x v="16"/>
  </r>
  <r>
    <s v="WQJUL11"/>
    <s v="A4"/>
    <d v="2011-07-06T00:00:00"/>
    <n v="19.690000000000001"/>
    <n v="16.55"/>
    <x v="16"/>
  </r>
  <r>
    <s v="HYJUL11"/>
    <s v="A4"/>
    <d v="2011-07-18T00:00:00"/>
    <n v="21.33"/>
    <n v="17.829999999999998"/>
    <x v="16"/>
  </r>
  <r>
    <s v="WQAUG11"/>
    <s v="A4"/>
    <d v="2011-08-03T00:00:00"/>
    <n v="22.41"/>
    <n v="19.86"/>
    <x v="16"/>
  </r>
  <r>
    <s v="HYAUG11"/>
    <s v="A4"/>
    <d v="2011-08-15T00:00:00"/>
    <n v="22.45"/>
    <n v="21.29"/>
    <x v="16"/>
  </r>
  <r>
    <s v="WQSEP11"/>
    <s v="A4"/>
    <d v="2011-08-31T00:00:00"/>
    <m/>
    <m/>
    <x v="16"/>
  </r>
  <r>
    <s v="WQOCT11"/>
    <s v="A4"/>
    <d v="2011-10-06T00:00:00"/>
    <n v="19.73"/>
    <n v="20.059999999999999"/>
    <x v="16"/>
  </r>
  <r>
    <s v="WQNOV11"/>
    <s v="A4"/>
    <d v="2011-11-09T00:00:00"/>
    <n v="12.98"/>
    <n v="13.3"/>
    <x v="16"/>
  </r>
  <r>
    <s v="WQDEC11"/>
    <s v="A4"/>
    <d v="2011-11-29T00:00:00"/>
    <n v="11.46"/>
    <n v="11.58"/>
    <x v="16"/>
  </r>
  <r>
    <s v="WQJAN12"/>
    <s v="A4"/>
    <d v="2012-01-09T00:00:00"/>
    <n v="5.74"/>
    <n v="6.14"/>
    <x v="17"/>
  </r>
  <r>
    <s v="WQFEB12"/>
    <s v="A4"/>
    <d v="2012-02-02T00:00:00"/>
    <n v="4.5199999999999996"/>
    <n v="4.25"/>
    <x v="17"/>
  </r>
  <r>
    <s v="CHFEB12"/>
    <s v="A4"/>
    <d v="2012-02-16T00:00:00"/>
    <n v="3.85"/>
    <n v="3.99"/>
    <x v="17"/>
  </r>
  <r>
    <s v="WQMAR12"/>
    <s v="A4"/>
    <d v="2012-03-05T00:00:00"/>
    <n v="4.79"/>
    <n v="4.4800000000000004"/>
    <x v="17"/>
  </r>
  <r>
    <s v="CHMAR12"/>
    <s v="A4"/>
    <d v="2012-03-15T00:00:00"/>
    <n v="6.45"/>
    <n v="5.46"/>
    <x v="17"/>
  </r>
  <r>
    <s v="WQAPR12"/>
    <s v="A4"/>
    <d v="2012-04-05T00:00:00"/>
    <n v="9.0500000000000007"/>
    <n v="8.58"/>
    <x v="17"/>
  </r>
  <r>
    <s v="WQMAY12"/>
    <s v="A4"/>
    <d v="2012-05-02T00:00:00"/>
    <n v="11.75"/>
    <n v="10.96"/>
    <x v="17"/>
  </r>
  <r>
    <s v="WQJUN12"/>
    <s v="A4"/>
    <d v="2012-05-30T00:00:00"/>
    <n v="18.399999999999999"/>
    <n v="15.48"/>
    <x v="17"/>
  </r>
  <r>
    <s v="HYJUN12"/>
    <s v="A4"/>
    <d v="2012-06-12T00:00:00"/>
    <n v="19.13"/>
    <n v="16.78"/>
    <x v="17"/>
  </r>
  <r>
    <s v="WQJUL12"/>
    <s v="A4"/>
    <d v="2012-06-27T00:00:00"/>
    <n v="20.11"/>
    <n v="17.62"/>
    <x v="17"/>
  </r>
  <r>
    <s v="HYJUL12"/>
    <s v="A4"/>
    <d v="2012-07-16T00:00:00"/>
    <n v="21.88"/>
    <n v="18.62"/>
    <x v="17"/>
  </r>
  <r>
    <s v="WQAUG12"/>
    <s v="A4"/>
    <d v="2012-08-01T00:00:00"/>
    <n v="23.35"/>
    <n v="22.33"/>
    <x v="17"/>
  </r>
  <r>
    <s v="HYAUG12"/>
    <s v="A4"/>
    <d v="2012-08-16T00:00:00"/>
    <n v="24.15"/>
    <n v="22.19"/>
    <x v="17"/>
  </r>
  <r>
    <s v="WQSEP12"/>
    <s v="A4"/>
    <d v="2012-08-29T00:00:00"/>
    <n v="24.44"/>
    <n v="24.16"/>
    <x v="17"/>
  </r>
  <r>
    <s v="HYSEP12"/>
    <s v="A4"/>
    <d v="2012-09-17T00:00:00"/>
    <n v="22.9"/>
    <n v="22.81"/>
    <x v="17"/>
  </r>
  <r>
    <s v="WQOCT12"/>
    <s v="A4"/>
    <d v="2012-10-03T00:00:00"/>
    <n v="20.37"/>
    <n v="20.51"/>
    <x v="17"/>
  </r>
  <r>
    <s v="WQNOV12"/>
    <s v="A4"/>
    <d v="2012-11-14T00:00:00"/>
    <n v="11.07"/>
    <n v="11.08"/>
    <x v="17"/>
  </r>
  <r>
    <s v="WQDEC12"/>
    <s v="A4"/>
    <d v="2012-12-04T00:00:00"/>
    <n v="8.14"/>
    <n v="8.16"/>
    <x v="17"/>
  </r>
  <r>
    <s v="WQJAN13"/>
    <s v="A4"/>
    <d v="2013-01-10T00:00:00"/>
    <n v="4.5599999999999996"/>
    <n v="4.58"/>
    <x v="18"/>
  </r>
  <r>
    <s v="WQFEB13"/>
    <s v="A4"/>
    <d v="2013-01-30T00:00:00"/>
    <n v="2.4700000000000002"/>
    <n v="2.4500000000000002"/>
    <x v="18"/>
  </r>
  <r>
    <s v="CHFEB13"/>
    <s v="A4"/>
    <d v="2013-02-14T00:00:00"/>
    <n v="2.12"/>
    <n v="1.81"/>
    <x v="18"/>
  </r>
  <r>
    <s v="WQMAR13"/>
    <s v="A4"/>
    <d v="2013-03-11T00:00:00"/>
    <n v="3.25"/>
    <n v="3.02"/>
    <x v="18"/>
  </r>
  <r>
    <s v="WQAPR13"/>
    <s v="A4"/>
    <d v="2013-04-04T00:00:00"/>
    <n v="4.9800000000000004"/>
    <n v="4.54"/>
    <x v="18"/>
  </r>
  <r>
    <s v="WQMAY13"/>
    <s v="A4"/>
    <d v="2013-05-01T00:00:00"/>
    <n v="10.79"/>
    <n v="9.65"/>
    <x v="18"/>
  </r>
  <r>
    <s v="WQJUN13"/>
    <s v="A4"/>
    <d v="2013-06-05T00:00:00"/>
    <n v="16.18"/>
    <n v="12.96"/>
    <x v="18"/>
  </r>
  <r>
    <s v="HYJUN13"/>
    <s v="A4"/>
    <d v="2013-06-21T00:00:00"/>
    <n v="19.12"/>
    <n v="16.850000000000001"/>
    <x v="18"/>
  </r>
  <r>
    <s v="WQJUL13"/>
    <s v="A4"/>
    <d v="2013-07-02T00:00:00"/>
    <n v="20.100000000000001"/>
    <n v="16.86"/>
    <x v="18"/>
  </r>
  <r>
    <s v="HYJUL13"/>
    <s v="A4"/>
    <d v="2013-07-15T00:00:00"/>
    <n v="22.01"/>
    <n v="19.260000000000002"/>
    <x v="18"/>
  </r>
  <r>
    <s v="WQAUG13"/>
    <s v="A4"/>
    <d v="2013-07-31T00:00:00"/>
    <n v="22.86"/>
    <n v="21.46"/>
    <x v="18"/>
  </r>
  <r>
    <s v="HYAUG13"/>
    <s v="A4"/>
    <d v="2013-08-12T00:00:00"/>
    <n v="22.18"/>
    <n v="20.94"/>
    <x v="18"/>
  </r>
  <r>
    <s v="WQSEP13"/>
    <s v="A4"/>
    <d v="2013-08-28T00:00:00"/>
    <n v="23.17"/>
    <n v="22.15"/>
    <x v="18"/>
  </r>
  <r>
    <s v="HYSEP13"/>
    <s v="A4"/>
    <d v="2013-09-09T00:00:00"/>
    <n v="22.11"/>
    <n v="22.14"/>
    <x v="18"/>
  </r>
  <r>
    <s v="WQOCT13"/>
    <s v="A4"/>
    <d v="2013-10-02T00:00:00"/>
    <n v="20.04"/>
    <n v="19.96"/>
    <x v="18"/>
  </r>
  <r>
    <s v="WQNOV13"/>
    <s v="A4"/>
    <d v="2013-11-05T00:00:00"/>
    <n v="13.87"/>
    <n v="13.76"/>
    <x v="18"/>
  </r>
  <r>
    <s v="WQDEC13"/>
    <s v="A4"/>
    <d v="2013-12-03T00:00:00"/>
    <n v="7.22"/>
    <n v="7.87"/>
    <x v="18"/>
  </r>
  <r>
    <s v="WQJAN14"/>
    <s v="A4"/>
    <d v="2014-01-09T00:00:00"/>
    <n v="1.98"/>
    <n v="1.44"/>
    <x v="19"/>
  </r>
  <r>
    <s v="WQFEB14"/>
    <s v="A4"/>
    <d v="2014-02-06T00:00:00"/>
    <n v="0.02"/>
    <n v="0.04"/>
    <x v="19"/>
  </r>
  <r>
    <s v="CHFEB14"/>
    <s v="A4"/>
    <d v="2014-02-20T00:00:00"/>
    <n v="-0.27"/>
    <n v="-0.27"/>
    <x v="19"/>
  </r>
  <r>
    <s v="WQMAR14"/>
    <s v="A4"/>
    <d v="2014-03-05T00:00:00"/>
    <n v="0.03"/>
    <n v="-0.05"/>
    <x v="19"/>
  </r>
  <r>
    <s v="WQAPR14"/>
    <s v="A4"/>
    <d v="2014-04-02T00:00:00"/>
    <n v="3.46"/>
    <n v="3.1"/>
    <x v="19"/>
  </r>
  <r>
    <s v="WQMAY14"/>
    <s v="A4"/>
    <d v="2014-05-07T00:00:00"/>
    <n v="10.25"/>
    <n v="8.3000000000000007"/>
    <x v="19"/>
  </r>
  <r>
    <s v="WQJUN14"/>
    <s v="A4"/>
    <d v="2014-06-03T00:00:00"/>
    <n v="17.34"/>
    <n v="13.31"/>
    <x v="19"/>
  </r>
  <r>
    <s v="HYJUN14"/>
    <s v="A4"/>
    <d v="2014-06-19T00:00:00"/>
    <n v="19.2"/>
    <n v="16.63"/>
    <x v="19"/>
  </r>
  <r>
    <s v="WQJUL14"/>
    <s v="A4"/>
    <d v="2014-07-02T00:00:00"/>
    <n v="20.38"/>
    <n v="15.38"/>
    <x v="19"/>
  </r>
  <r>
    <s v="HYJUL14"/>
    <s v="A4"/>
    <d v="2014-07-14T00:00:00"/>
    <n v="18.8"/>
    <n v="17.78"/>
    <x v="19"/>
  </r>
  <r>
    <s v="WQAUG14"/>
    <s v="A4"/>
    <d v="2014-08-06T00:00:00"/>
    <n v="23.53"/>
    <n v="20.7"/>
    <x v="19"/>
  </r>
  <r>
    <s v="HYAUG14"/>
    <s v="A4"/>
    <d v="2014-08-19T00:00:00"/>
    <n v="22.45"/>
    <n v="22.05"/>
    <x v="19"/>
  </r>
  <r>
    <s v="WQSEP14"/>
    <s v="A4"/>
    <d v="2014-09-02T00:00:00"/>
    <n v="23.98"/>
    <n v="22.57"/>
    <x v="19"/>
  </r>
  <r>
    <s v="HYSEP14"/>
    <s v="A4"/>
    <d v="2014-09-16T00:00:00"/>
    <n v="21.74"/>
    <n v="21.81"/>
    <x v="19"/>
  </r>
  <r>
    <s v="WQOCT14"/>
    <s v="A4"/>
    <d v="2014-10-01T00:00:00"/>
    <n v="20.239999999999998"/>
    <n v="20.440000000000001"/>
    <x v="19"/>
  </r>
  <r>
    <s v="WQNOV14"/>
    <s v="A4"/>
    <d v="2014-11-10T00:00:00"/>
    <n v="12.39"/>
    <n v="12.43"/>
    <x v="19"/>
  </r>
  <r>
    <s v="WQDEC14"/>
    <s v="A4"/>
    <d v="2014-12-10T00:00:00"/>
    <n v="6.4"/>
    <n v="6.45"/>
    <x v="19"/>
  </r>
  <r>
    <s v="WQJAN15"/>
    <s v="A4"/>
    <d v="2015-01-14T00:00:00"/>
    <n v="1.25"/>
    <n v="2.73"/>
    <x v="20"/>
  </r>
  <r>
    <s v="WQFEB15"/>
    <s v="A4"/>
    <d v="2015-02-10T00:00:00"/>
    <n v="-0.46"/>
    <n v="-0.35"/>
    <x v="20"/>
  </r>
  <r>
    <s v="WQMAR15"/>
    <s v="A4"/>
    <d v="2015-03-10T00:00:00"/>
    <n v="-0.57999999999999996"/>
    <n v="-0.74"/>
    <x v="20"/>
  </r>
  <r>
    <s v="CHMAR15"/>
    <s v="A4"/>
    <d v="2015-03-19T00:00:00"/>
    <n v="0.78"/>
    <n v="0.51"/>
    <x v="20"/>
  </r>
  <r>
    <s v="WQAPR15"/>
    <s v="A4"/>
    <d v="2015-04-01T00:00:00"/>
    <n v="1.2"/>
    <n v="1.59"/>
    <x v="20"/>
  </r>
  <r>
    <s v="WQMAY15"/>
    <s v="A4"/>
    <d v="2015-05-01T00:00:00"/>
    <n v="9.6300000000000008"/>
    <n v="7.4"/>
    <x v="20"/>
  </r>
  <r>
    <s v="WQJUN15"/>
    <s v="A4"/>
    <d v="2015-05-29T00:00:00"/>
    <n v="15"/>
    <n v="10.210000000000001"/>
    <x v="20"/>
  </r>
  <r>
    <s v="WQJUL15"/>
    <s v="A4"/>
    <d v="2015-07-07T00:00:00"/>
    <n v="21.31"/>
    <n v="18.21"/>
    <x v="20"/>
  </r>
  <r>
    <s v="HYJUL15"/>
    <s v="A4"/>
    <d v="2015-07-20T00:00:00"/>
    <n v="21.66"/>
    <n v="19.2"/>
    <x v="20"/>
  </r>
  <r>
    <s v="WQAUG15"/>
    <s v="A4"/>
    <d v="2015-08-03T00:00:00"/>
    <n v="21.86"/>
    <n v="20.399999999999999"/>
    <x v="20"/>
  </r>
  <r>
    <s v="HYAUG15"/>
    <s v="A4"/>
    <d v="2015-08-17T00:00:00"/>
    <n v="23.23"/>
    <n v="21.25"/>
    <x v="20"/>
  </r>
  <r>
    <s v="WQSEP15"/>
    <s v="A4"/>
    <d v="2015-09-01T00:00:00"/>
    <n v="24.32"/>
    <n v="23.26"/>
    <x v="20"/>
  </r>
  <r>
    <s v="HYSEP15"/>
    <s v="A4"/>
    <d v="2015-09-16T00:00:00"/>
    <n v="23.44"/>
    <n v="23.28"/>
    <x v="20"/>
  </r>
  <r>
    <s v="WQOCT15"/>
    <s v="A4"/>
    <d v="2015-10-08T00:00:00"/>
    <n v="18.190000000000001"/>
    <n v="18.34"/>
    <x v="20"/>
  </r>
  <r>
    <s v="WQNOV15"/>
    <s v="A4"/>
    <d v="2015-11-09T00:00:00"/>
    <n v="14.82"/>
    <n v="15.13"/>
    <x v="20"/>
  </r>
  <r>
    <s v="WQDEC15"/>
    <s v="A4"/>
    <d v="2015-11-30T00:00:00"/>
    <n v="10.36"/>
    <n v="10.77"/>
    <x v="20"/>
  </r>
  <r>
    <s v="WQJAN16"/>
    <s v="A4"/>
    <d v="2016-01-12T00:00:00"/>
    <n v="5.75"/>
    <n v="5.9"/>
    <x v="21"/>
  </r>
  <r>
    <s v="WQFEB16"/>
    <s v="A4"/>
    <d v="2016-02-01T00:00:00"/>
    <n v="3.33"/>
    <n v="3.43"/>
    <x v="21"/>
  </r>
  <r>
    <s v="CHFEB16"/>
    <s v="A4"/>
    <d v="2016-02-17T00:00:00"/>
    <n v="1.89"/>
    <n v="1.67"/>
    <x v="21"/>
  </r>
  <r>
    <s v="WQMAR16"/>
    <s v="A4"/>
    <d v="2016-03-08T00:00:00"/>
    <n v="4.1100000000000003"/>
    <n v="3.58"/>
    <x v="21"/>
  </r>
  <r>
    <s v="CHMAR16"/>
    <s v="A4"/>
    <d v="2016-03-23T00:00:00"/>
    <n v="6.32"/>
    <n v="5.96"/>
    <x v="21"/>
  </r>
  <r>
    <s v="WQAPR16"/>
    <s v="A4"/>
    <d v="2016-04-04T00:00:00"/>
    <n v="7.21"/>
    <n v="6.86"/>
    <x v="21"/>
  </r>
  <r>
    <s v="WQMAY16"/>
    <s v="A4"/>
    <d v="2016-05-12T00:00:00"/>
    <m/>
    <n v="11.65"/>
    <x v="21"/>
  </r>
  <r>
    <s v="WQJUN16"/>
    <s v="A4"/>
    <d v="2016-06-10T00:00:00"/>
    <n v="17.14"/>
    <n v="15.25"/>
    <x v="21"/>
  </r>
  <r>
    <s v="HYJUN16"/>
    <s v="A4"/>
    <d v="2016-06-20T00:00:00"/>
    <n v="18.73"/>
    <n v="15.74"/>
    <x v="21"/>
  </r>
  <r>
    <s v="WQJUL16"/>
    <s v="A4"/>
    <d v="2016-07-06T00:00:00"/>
    <n v="19.21"/>
    <n v="17.63"/>
    <x v="21"/>
  </r>
  <r>
    <s v="HYJUL16"/>
    <s v="A4"/>
    <d v="2016-07-19T00:00:00"/>
    <n v="21.96"/>
    <n v="18.59"/>
    <x v="21"/>
  </r>
  <r>
    <s v="WQAUG16"/>
    <s v="A4"/>
    <d v="2016-08-03T00:00:00"/>
    <n v="23.1"/>
    <n v="22.98"/>
    <x v="21"/>
  </r>
  <r>
    <s v="HYAUG16"/>
    <s v="A4"/>
    <d v="2016-08-18T00:00:00"/>
    <n v="24.48"/>
    <n v="22.11"/>
    <x v="21"/>
  </r>
  <r>
    <s v="WQSEP16"/>
    <s v="A4"/>
    <d v="2016-08-30T00:00:00"/>
    <n v="24.93"/>
    <n v="23.57"/>
    <x v="21"/>
  </r>
  <r>
    <s v="HYSEP16"/>
    <s v="A4"/>
    <d v="2016-09-13T00:00:00"/>
    <n v="23.66"/>
    <n v="23.57"/>
    <x v="21"/>
  </r>
  <r>
    <s v="WQOCT16"/>
    <s v="A4"/>
    <d v="2016-10-05T00:00:00"/>
    <n v="19.649999999999999"/>
    <n v="19.420000000000002"/>
    <x v="21"/>
  </r>
  <r>
    <s v="WQNOV16"/>
    <s v="A4"/>
    <d v="2016-11-09T00:00:00"/>
    <n v="13.44"/>
    <n v="13.83"/>
    <x v="21"/>
  </r>
  <r>
    <s v="WQDEC16"/>
    <s v="A4"/>
    <d v="2016-12-05T00:00:00"/>
    <n v="9.02"/>
    <n v="9.8800000000000008"/>
    <x v="21"/>
  </r>
  <r>
    <s v="WQJAN17"/>
    <s v="A4"/>
    <d v="2017-01-10T00:00:00"/>
    <n v="2.5"/>
    <n v="3.03"/>
    <x v="22"/>
  </r>
  <r>
    <s v="WQFEB17"/>
    <s v="A4"/>
    <d v="2017-02-08T00:00:00"/>
    <n v="3.26"/>
    <n v="3.14"/>
    <x v="22"/>
  </r>
  <r>
    <s v="CHFEB17"/>
    <s v="A4"/>
    <d v="2017-02-21T00:00:00"/>
    <n v="3.36"/>
    <n v="2.77"/>
    <x v="22"/>
  </r>
  <r>
    <s v="WQMAR17"/>
    <s v="A4"/>
    <d v="2017-03-07T00:00:00"/>
    <n v="3.99"/>
    <n v="3.54"/>
    <x v="22"/>
  </r>
  <r>
    <s v="WQAPR17"/>
    <s v="A4"/>
    <d v="2017-04-04T00:00:00"/>
    <n v="5.54"/>
    <n v="4.72"/>
    <x v="22"/>
  </r>
  <r>
    <s v="WQMAY17"/>
    <s v="A4"/>
    <d v="2017-05-03T00:00:00"/>
    <n v="11.95"/>
    <n v="11.04"/>
    <x v="22"/>
  </r>
  <r>
    <s v="WQJUN17"/>
    <s v="A4"/>
    <d v="2017-06-07T00:00:00"/>
    <n v="15.94"/>
    <n v="15.54"/>
    <x v="22"/>
  </r>
  <r>
    <s v="HYJUN17"/>
    <s v="A4"/>
    <d v="2017-06-21T00:00:00"/>
    <n v="18.88"/>
    <n v="14.79"/>
    <x v="22"/>
  </r>
  <r>
    <s v="WQJUL17"/>
    <s v="A4"/>
    <d v="2017-07-06T00:00:00"/>
    <n v="20.3"/>
    <n v="16.37"/>
    <x v="22"/>
  </r>
  <r>
    <s v="HYJUL17"/>
    <s v="A4"/>
    <d v="2017-07-18T00:00:00"/>
    <n v="21.46"/>
    <n v="19.71"/>
    <x v="22"/>
  </r>
  <r>
    <s v="WQAUG17"/>
    <s v="A4"/>
    <d v="2017-08-01T00:00:00"/>
    <n v="23.46"/>
    <n v="22.04"/>
    <x v="22"/>
  </r>
  <r>
    <s v="HYAUG17"/>
    <s v="A4"/>
    <d v="2017-08-15T00:00:00"/>
    <n v="22.89"/>
    <n v="21.59"/>
    <x v="22"/>
  </r>
  <r>
    <s v="WQSEP17"/>
    <s v="A4"/>
    <d v="2017-08-28T00:00:00"/>
    <n v="22.9"/>
    <n v="22.51"/>
    <x v="22"/>
  </r>
  <r>
    <s v="WQOCT17"/>
    <s v="A4"/>
    <d v="2017-10-10T00:00:00"/>
    <n v="21.93"/>
    <n v="21.38"/>
    <x v="22"/>
  </r>
  <r>
    <s v="WQNOV17"/>
    <s v="A4"/>
    <d v="2017-11-13T00:00:00"/>
    <n v="12.64"/>
    <n v="13.66"/>
    <x v="22"/>
  </r>
  <r>
    <s v="WQDEC17"/>
    <s v="A4"/>
    <d v="2017-11-30T00:00:00"/>
    <n v="9.92"/>
    <n v="10.37"/>
    <x v="22"/>
  </r>
  <r>
    <s v="WQJAN18"/>
    <s v="A4"/>
    <d v="2018-01-11T00:00:00"/>
    <n v="0.16"/>
    <n v="0.72"/>
    <x v="23"/>
  </r>
  <r>
    <s v="WQFEB18"/>
    <s v="A4"/>
    <d v="2018-02-08T00:00:00"/>
    <m/>
    <m/>
    <x v="23"/>
  </r>
  <r>
    <s v="CHFEB18"/>
    <s v="A4"/>
    <d v="2018-02-20T00:00:00"/>
    <n v="2.4300000000000002"/>
    <n v="1.82"/>
    <x v="23"/>
  </r>
  <r>
    <s v="WQMAR18"/>
    <s v="A4"/>
    <d v="2018-03-19T00:00:00"/>
    <n v="3.46"/>
    <n v="3.23"/>
    <x v="23"/>
  </r>
  <r>
    <s v="WQAPR18"/>
    <s v="A4"/>
    <d v="2018-04-10T00:00:00"/>
    <n v="5.45"/>
    <n v="4.72"/>
    <x v="23"/>
  </r>
  <r>
    <s v="WQMAY18"/>
    <s v="A4"/>
    <d v="2018-05-02T00:00:00"/>
    <n v="9.7799999999999994"/>
    <n v="8.86"/>
    <x v="23"/>
  </r>
  <r>
    <s v="WQJUN18"/>
    <s v="A4"/>
    <d v="2018-06-05T00:00:00"/>
    <n v="17.07"/>
    <n v="15.07"/>
    <x v="23"/>
  </r>
  <r>
    <s v="HYJUN18"/>
    <s v="A4"/>
    <d v="2018-06-12T00:00:00"/>
    <n v="17.28"/>
    <n v="15.03"/>
    <x v="23"/>
  </r>
  <r>
    <s v="WQJUL18"/>
    <s v="A4"/>
    <d v="2018-07-05T00:00:00"/>
    <n v="21.68"/>
    <n v="16.04"/>
    <x v="23"/>
  </r>
  <r>
    <s v="HYJUL18"/>
    <s v="A4"/>
    <d v="2018-07-16T00:00:00"/>
    <n v="20.38"/>
    <n v="17.91"/>
    <x v="23"/>
  </r>
  <r>
    <s v="WQAUG18"/>
    <s v="A4"/>
    <d v="2018-08-02T00:00:00"/>
    <n v="23.42"/>
    <n v="20.99"/>
    <x v="23"/>
  </r>
  <r>
    <s v="HYAUG18"/>
    <s v="A4"/>
    <d v="2018-08-15T00:00:00"/>
    <n v="23.63"/>
    <n v="23.24"/>
    <x v="23"/>
  </r>
  <r>
    <s v="WQSEP18"/>
    <s v="A4"/>
    <d v="2018-08-27T00:00:00"/>
    <n v="24.11"/>
    <n v="23.12"/>
    <x v="23"/>
  </r>
  <r>
    <s v="HYSEP18"/>
    <s v="A4"/>
    <d v="2018-09-12T00:00:00"/>
    <n v="22.59"/>
    <n v="22.59"/>
    <x v="23"/>
  </r>
  <r>
    <s v="WQOCT18"/>
    <s v="A4"/>
    <d v="2018-10-03T00:00:00"/>
    <n v="21.4"/>
    <n v="21.04"/>
    <x v="23"/>
  </r>
  <r>
    <s v="WQNOV18"/>
    <s v="A4"/>
    <d v="2018-11-06T00:00:00"/>
    <n v="13.84"/>
    <n v="14.07"/>
    <x v="23"/>
  </r>
  <r>
    <s v="WQDEC18"/>
    <s v="A4"/>
    <d v="2018-12-03T00:00:00"/>
    <n v="7.63"/>
    <n v="7.72"/>
    <x v="23"/>
  </r>
  <r>
    <s v="WQJAN19"/>
    <s v="A4"/>
    <d v="2019-01-03T00:00:00"/>
    <n v="5.42"/>
    <n v="5.59"/>
    <x v="24"/>
  </r>
  <r>
    <s v="WQFEB19"/>
    <s v="A4"/>
    <d v="2019-02-07T00:00:00"/>
    <n v="1.44"/>
    <n v="1.45"/>
    <x v="24"/>
  </r>
  <r>
    <s v="CHFEB19"/>
    <s v="A4"/>
    <d v="2019-02-21T00:00:00"/>
    <n v="1.65"/>
    <n v="1.61"/>
    <x v="24"/>
  </r>
  <r>
    <s v="WQMAR19"/>
    <s v="A4"/>
    <d v="2019-03-05T00:00:00"/>
    <n v="1.82"/>
    <n v="1.78"/>
    <x v="24"/>
  </r>
  <r>
    <s v="WQAPR19"/>
    <s v="A4"/>
    <d v="2019-04-03T00:00:00"/>
    <n v="5.36"/>
    <n v="4.25"/>
    <x v="24"/>
  </r>
  <r>
    <s v="WQMAY19"/>
    <s v="A4"/>
    <d v="2019-05-07T00:00:00"/>
    <n v="11.99"/>
    <n v="11.23"/>
    <x v="24"/>
  </r>
  <r>
    <s v="WQJUN19"/>
    <s v="A4"/>
    <d v="2019-05-30T00:00:00"/>
    <n v="15.52"/>
    <n v="11.83"/>
    <x v="24"/>
  </r>
  <r>
    <s v="HYJUN19"/>
    <s v="A4"/>
    <d v="2019-06-12T00:00:00"/>
    <n v="17.100000000000001"/>
    <n v="16.010000000000002"/>
    <x v="24"/>
  </r>
  <r>
    <s v="WQJUL19"/>
    <s v="A4"/>
    <d v="2019-07-02T00:00:00"/>
    <n v="17.82"/>
    <n v="15.27"/>
    <x v="24"/>
  </r>
  <r>
    <s v="HYJUL19"/>
    <s v="A4"/>
    <d v="2019-07-15T00:00:00"/>
    <n v="20.34"/>
    <n v="17.350000000000001"/>
    <x v="24"/>
  </r>
  <r>
    <s v="WQAUG19"/>
    <s v="A4"/>
    <d v="2019-07-30T00:00:00"/>
    <n v="23.1"/>
    <n v="18.559999999999999"/>
    <x v="24"/>
  </r>
  <r>
    <s v="HYAUG19"/>
    <s v="A4"/>
    <d v="2019-08-12T00:00:00"/>
    <n v="22.25"/>
    <n v="20.59"/>
    <x v="24"/>
  </r>
  <r>
    <s v="WQSEP19"/>
    <s v="A4"/>
    <d v="2019-08-28T00:00:00"/>
    <n v="22.88"/>
    <n v="22.81"/>
    <x v="24"/>
  </r>
  <r>
    <s v="HYSEP19"/>
    <s v="A4"/>
    <d v="2019-09-10T00:00:00"/>
    <n v="22.2"/>
    <n v="22.19"/>
    <x v="24"/>
  </r>
  <r>
    <s v="WQOCT19"/>
    <s v="A4"/>
    <d v="2019-10-01T00:00:00"/>
    <n v="21.25"/>
    <n v="21.23"/>
    <x v="24"/>
  </r>
  <r>
    <s v="WQNOV19"/>
    <s v="A4"/>
    <d v="2019-11-05T00:00:00"/>
    <n v="14.67"/>
    <n v="15.43"/>
    <x v="24"/>
  </r>
  <r>
    <s v="WQDEC19"/>
    <s v="A4"/>
    <d v="2019-12-06T00:00:00"/>
    <n v="6.27"/>
    <n v="6.94"/>
    <x v="24"/>
  </r>
  <r>
    <s v="WQJAN20"/>
    <s v="A4"/>
    <d v="2020-01-09T00:00:00"/>
    <n v="4.25"/>
    <n v="4.3"/>
    <x v="25"/>
  </r>
  <r>
    <s v="WQFEB20"/>
    <s v="A4"/>
    <d v="2020-02-03T00:00:00"/>
    <m/>
    <m/>
    <x v="25"/>
  </r>
  <r>
    <s v="WQMAR20"/>
    <s v="A4"/>
    <d v="2020-03-10T00:00:00"/>
    <n v="4.9800000000000004"/>
    <n v="4.74"/>
    <x v="25"/>
  </r>
  <r>
    <s v="WQJUN20"/>
    <s v="A4"/>
    <d v="2020-06-17T00:00:00"/>
    <n v="18.41"/>
    <n v="14.37"/>
    <x v="25"/>
  </r>
  <r>
    <s v="WQJUL20"/>
    <s v="A4"/>
    <d v="2020-07-07T00:00:00"/>
    <n v="21.21"/>
    <n v="17.670000000000002"/>
    <x v="25"/>
  </r>
  <r>
    <s v="HYJUL20"/>
    <s v="A4"/>
    <d v="2020-07-20T00:00:00"/>
    <n v="22.59"/>
    <n v="19.16"/>
    <x v="25"/>
  </r>
  <r>
    <s v="WQAUG20"/>
    <s v="A4"/>
    <d v="2020-08-12T00:00:00"/>
    <n v="24.5"/>
    <n v="21.58"/>
    <x v="25"/>
  </r>
  <r>
    <s v="HYAUG20"/>
    <s v="A4"/>
    <d v="2020-09-01T00:00:00"/>
    <n v="23.38"/>
    <n v="23.15"/>
    <x v="25"/>
  </r>
  <r>
    <s v="WQSEP20"/>
    <s v="A4"/>
    <d v="2020-09-09T00:00:00"/>
    <n v="23.86"/>
    <n v="23.26"/>
    <x v="25"/>
  </r>
  <r>
    <s v="WQOCT20"/>
    <s v="A4"/>
    <d v="2020-10-14T00:00:00"/>
    <n v="17.98"/>
    <n v="17.93"/>
    <x v="25"/>
  </r>
  <r>
    <s v="WQNOV20"/>
    <s v="A4"/>
    <d v="2020-11-06T00:00:00"/>
    <n v="13.65"/>
    <n v="14.02"/>
    <x v="25"/>
  </r>
  <r>
    <s v="WQMAR21"/>
    <s v="A4"/>
    <d v="2021-03-10T00:00:00"/>
    <n v="3.22"/>
    <n v="2.4700000000000002"/>
    <x v="26"/>
  </r>
  <r>
    <s v="WQAPR21"/>
    <s v="A4"/>
    <d v="2021-04-07T00:00:00"/>
    <n v="7.87"/>
    <n v="6.51"/>
    <x v="26"/>
  </r>
  <r>
    <s v="WQMAY21"/>
    <s v="A4"/>
    <d v="2021-05-05T00:00:00"/>
    <n v="10.87"/>
    <n v="9.94"/>
    <x v="26"/>
  </r>
  <r>
    <s v="WQJUN21"/>
    <s v="A4"/>
    <d v="2021-06-08T00:00:00"/>
    <n v="15.75"/>
    <n v="13.62"/>
    <x v="26"/>
  </r>
  <r>
    <s v="HYJUN21"/>
    <s v="A4"/>
    <d v="2021-06-22T00:00:00"/>
    <n v="18.23"/>
    <n v="14.92"/>
    <x v="26"/>
  </r>
  <r>
    <s v="WQJUL21"/>
    <s v="A4"/>
    <d v="2021-07-08T00:00:00"/>
    <n v="22.29"/>
    <n v="18.170000000000002"/>
    <x v="26"/>
  </r>
  <r>
    <s v="HYJUL21"/>
    <s v="A4"/>
    <d v="2021-07-19T00:00:00"/>
    <n v="23.44"/>
    <n v="19.39"/>
    <x v="26"/>
  </r>
  <r>
    <s v="WQAUG21"/>
    <s v="A4"/>
    <d v="2021-08-03T00:00:00"/>
    <n v="21.76"/>
    <n v="19.95"/>
    <x v="26"/>
  </r>
  <r>
    <s v="HYAUG21"/>
    <s v="A4"/>
    <d v="2021-08-16T00:00:00"/>
    <n v="23.76"/>
    <n v="22.21"/>
    <x v="26"/>
  </r>
  <r>
    <s v="WQSEP21"/>
    <s v="A4"/>
    <d v="2021-08-31T00:00:00"/>
    <n v="23.98"/>
    <n v="23.14"/>
    <x v="26"/>
  </r>
  <r>
    <s v="HYSEP21"/>
    <s v="A4"/>
    <d v="2021-09-13T00:00:00"/>
    <n v="25.08"/>
    <n v="22.58"/>
    <x v="26"/>
  </r>
  <r>
    <s v="WQOCT21"/>
    <s v="A4"/>
    <d v="2021-10-05T00:00:00"/>
    <n v="21.03"/>
    <n v="21.22"/>
    <x v="26"/>
  </r>
  <r>
    <s v="WQNOV21"/>
    <s v="A4"/>
    <d v="2021-11-08T00:00:00"/>
    <n v="14.49"/>
    <n v="14.67"/>
    <x v="26"/>
  </r>
  <r>
    <s v="WQDEC21"/>
    <s v="A4"/>
    <d v="2021-12-07T00:00:00"/>
    <n v="9.44"/>
    <n v="9.5"/>
    <x v="26"/>
  </r>
  <r>
    <s v="WQFEB22"/>
    <s v="A4"/>
    <d v="2022-02-02T00:00:00"/>
    <n v="1.07"/>
    <n v="1.04"/>
    <x v="27"/>
  </r>
  <r>
    <s v="CHFEB22"/>
    <s v="A4"/>
    <d v="2022-02-15T00:00:00"/>
    <n v="1.9"/>
    <n v="1.74"/>
    <x v="27"/>
  </r>
  <r>
    <s v="WQMAR22"/>
    <s v="A4"/>
    <d v="2022-03-03T00:00:00"/>
    <n v="3.27"/>
    <n v="2.9"/>
    <x v="27"/>
  </r>
  <r>
    <s v="WQAPR22"/>
    <s v="A4"/>
    <d v="2022-04-05T00:00:00"/>
    <n v="6.03"/>
    <n v="5.54"/>
    <x v="27"/>
  </r>
  <r>
    <s v="WQMAY22"/>
    <s v="A4"/>
    <d v="2022-05-05T00:00:00"/>
    <n v="10.94"/>
    <n v="10.11"/>
    <x v="27"/>
  </r>
  <r>
    <s v="WQJUN22"/>
    <s v="A4"/>
    <d v="2022-06-03T00:00:00"/>
    <n v="16.579999999999998"/>
    <n v="14.47"/>
    <x v="27"/>
  </r>
  <r>
    <s v="HYJUN22"/>
    <s v="A4"/>
    <d v="2022-06-14T00:00:00"/>
    <n v="15.83"/>
    <n v="13.54"/>
    <x v="27"/>
  </r>
  <r>
    <s v="WQJUL22"/>
    <s v="A4"/>
    <d v="2022-07-07T00:00:00"/>
    <n v="19.3"/>
    <n v="16.28"/>
    <x v="27"/>
  </r>
  <r>
    <s v="HYJUL22"/>
    <s v="A4"/>
    <d v="2022-07-19T00:00:00"/>
    <n v="22.62"/>
    <n v="19.53"/>
    <x v="27"/>
  </r>
  <r>
    <s v="WQAUG22"/>
    <s v="A4"/>
    <d v="2022-08-02T00:00:00"/>
    <n v="21.88"/>
    <n v="19.78"/>
    <x v="27"/>
  </r>
  <r>
    <s v="HYAUG22"/>
    <s v="A4"/>
    <d v="2022-08-17T00:00:00"/>
    <n v="23.06"/>
    <n v="22.53"/>
    <x v="27"/>
  </r>
  <r>
    <s v="WQSEP22"/>
    <s v="A4"/>
    <d v="2022-09-01T00:00:00"/>
    <n v="24.35"/>
    <n v="23.38"/>
    <x v="27"/>
  </r>
  <r>
    <s v="HYSEP22"/>
    <s v="A4"/>
    <d v="2022-09-13T00:00:00"/>
    <n v="23.66"/>
    <n v="23.39"/>
    <x v="27"/>
  </r>
  <r>
    <s v="WQOCT22"/>
    <s v="A4"/>
    <d v="2022-10-11T00:00:00"/>
    <n v="17.03"/>
    <n v="17.18"/>
    <x v="27"/>
  </r>
  <r>
    <s v="WQNOV22"/>
    <s v="A4"/>
    <d v="2022-11-09T00:00:00"/>
    <n v="15.23"/>
    <n v="15.51"/>
    <x v="27"/>
  </r>
  <r>
    <s v="WQDEC22"/>
    <s v="A4"/>
    <d v="2022-12-05T00:00:00"/>
    <n v="9.1199999999999992"/>
    <n v="9.5299999999999994"/>
    <x v="27"/>
  </r>
  <r>
    <s v="WQJAN23"/>
    <s v="A4"/>
    <d v="2023-01-05T00:00:00"/>
    <n v="5.76"/>
    <n v="5.35"/>
    <x v="28"/>
  </r>
  <r>
    <s v="WQFEB23"/>
    <s v="A4"/>
    <d v="2023-02-07T00:00:00"/>
    <n v="3.17"/>
    <n v="3.39"/>
    <x v="28"/>
  </r>
  <r>
    <s v="WQAPR23"/>
    <s v="A4"/>
    <d v="2023-04-18T00:00:00"/>
    <n v="10.72"/>
    <n v="10.46"/>
    <x v="28"/>
  </r>
  <r>
    <s v="WQMAY23"/>
    <s v="A4"/>
    <d v="2023-05-04T00:00:00"/>
    <n v="11.7"/>
    <n v="10.78"/>
    <x v="28"/>
  </r>
  <r>
    <s v="WQJUN23"/>
    <s v="A4"/>
    <d v="2023-06-01T00:00:00"/>
    <n v="17.48"/>
    <n v="15.61"/>
    <x v="28"/>
  </r>
  <r>
    <s v="HYJUN23"/>
    <s v="A4"/>
    <d v="2023-06-23T00:00:00"/>
    <n v="18.73"/>
    <n v="17.54"/>
    <x v="28"/>
  </r>
  <r>
    <s v="WQJUL23"/>
    <s v="A4"/>
    <d v="2023-07-10T00:00:00"/>
    <n v="22.57"/>
    <n v="19.079999999999998"/>
    <x v="28"/>
  </r>
  <r>
    <s v="HYJUL23"/>
    <s v="A4"/>
    <d v="2023-07-17T00:00:00"/>
    <n v="23.26"/>
    <n v="19.41"/>
    <x v="28"/>
  </r>
  <r>
    <s v="WQAUG23"/>
    <s v="A4"/>
    <d v="2023-08-02T00:00:00"/>
    <n v="22.65"/>
    <n v="20.89"/>
    <x v="28"/>
  </r>
  <r>
    <s v="HYAUG23"/>
    <s v="A4"/>
    <d v="2023-08-14T00:00:00"/>
    <n v="23.08"/>
    <n v="21.56"/>
    <x v="28"/>
  </r>
  <r>
    <s v="WQSEP23"/>
    <s v="A4"/>
    <d v="2023-09-07T00:00:00"/>
    <n v="24.98"/>
    <n v="22.72"/>
    <x v="28"/>
  </r>
  <r>
    <s v="WQOCT23"/>
    <s v="A4"/>
    <d v="2023-10-10T00:00:00"/>
    <n v="18.309999999999999"/>
    <n v="18.98"/>
    <x v="28"/>
  </r>
  <r>
    <s v="WQNOV23"/>
    <s v="A4"/>
    <d v="2023-11-08T00:00:00"/>
    <n v="14.29"/>
    <n v="14.64"/>
    <x v="28"/>
  </r>
  <r>
    <s v="WQDEC23"/>
    <s v="A4"/>
    <d v="2023-12-06T00:00:00"/>
    <n v="8.65"/>
    <n v="9.5399999999999991"/>
    <x v="28"/>
  </r>
  <r>
    <s v="WQJAN24"/>
    <s v="A4"/>
    <d v="2024-01-08T00:00:00"/>
    <n v="5.94"/>
    <n v="5.96"/>
    <x v="29"/>
  </r>
  <r>
    <s v="WQFEB24"/>
    <s v="A4"/>
    <d v="2024-02-06T00:00:00"/>
    <n v="3.95"/>
    <n v="3.95"/>
    <x v="29"/>
  </r>
  <r>
    <s v="CHFEB24"/>
    <s v="A4"/>
    <d v="2024-02-22T00:00:00"/>
    <n v="3.64"/>
    <n v="3.56"/>
    <x v="29"/>
  </r>
  <r>
    <s v="WQMAR24"/>
    <s v="A4"/>
    <d v="2024-03-06T00:00:00"/>
    <n v="5.24"/>
    <n v="4.3600000000000003"/>
    <x v="29"/>
  </r>
  <r>
    <s v="CHMAR24"/>
    <s v="A4"/>
    <d v="2024-03-18T00:00:00"/>
    <n v="7.19"/>
    <n v="5.13"/>
    <x v="29"/>
  </r>
  <r>
    <s v="WQAPR24"/>
    <s v="A4"/>
    <d v="2024-04-08T00:00:00"/>
    <n v="7.39"/>
    <n v="6.86"/>
    <x v="29"/>
  </r>
  <r>
    <s v="WQMAY24"/>
    <s v="A4"/>
    <d v="2024-05-03T00:00:00"/>
    <n v="12.6"/>
    <n v="10.7"/>
    <x v="29"/>
  </r>
  <r>
    <s v="WQJUN24"/>
    <s v="A4"/>
    <d v="2024-06-04T00:00:00"/>
    <n v="16.73"/>
    <n v="12.72"/>
    <x v="29"/>
  </r>
  <r>
    <s v="HYJUN24"/>
    <s v="A4"/>
    <d v="2024-06-17T00:00:00"/>
    <n v="18.12"/>
    <n v="13.46"/>
    <x v="29"/>
  </r>
  <r>
    <s v="WQJUL24"/>
    <s v="A4"/>
    <d v="2024-07-02T00:00:00"/>
    <n v="19.350000000000001"/>
    <n v="16.64"/>
    <x v="29"/>
  </r>
  <r>
    <s v="HYJUL24"/>
    <s v="A4"/>
    <d v="2024-07-16T00:00:00"/>
    <n v="21.74"/>
    <n v="17.52"/>
    <x v="29"/>
  </r>
  <r>
    <s v="WQAUG24"/>
    <s v="A4"/>
    <d v="2024-07-31T00:00:00"/>
    <n v="23.22"/>
    <n v="20.49"/>
    <x v="29"/>
  </r>
  <r>
    <s v="HYAUG24"/>
    <s v="A4"/>
    <d v="2024-08-12T00:00:00"/>
    <n v="23.67"/>
    <n v="22.08"/>
    <x v="29"/>
  </r>
  <r>
    <s v="WQSEP24"/>
    <s v="A4"/>
    <d v="2024-08-27T00:00:00"/>
    <n v="23.41"/>
    <n v="22.27"/>
    <x v="29"/>
  </r>
  <r>
    <s v="WQOCT24"/>
    <s v="A4"/>
    <d v="2024-10-03T00:00:00"/>
    <n v="20.27"/>
    <n v="20.239999999999998"/>
    <x v="29"/>
  </r>
  <r>
    <m/>
    <m/>
    <m/>
    <m/>
    <m/>
    <x v="30"/>
  </r>
  <r>
    <m/>
    <m/>
    <m/>
    <m/>
    <m/>
    <x v="30"/>
  </r>
  <r>
    <m/>
    <m/>
    <m/>
    <m/>
    <m/>
    <x v="30"/>
  </r>
  <r>
    <m/>
    <m/>
    <m/>
    <m/>
    <m/>
    <x v="3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4">
  <r>
    <s v="WQFEB91"/>
    <s v="B3"/>
    <d v="1991-02-21T00:00:00"/>
    <m/>
    <n v="2.4106000000000001"/>
    <x v="0"/>
  </r>
  <r>
    <s v="WQMAR91"/>
    <s v="B3"/>
    <d v="1991-03-26T00:00:00"/>
    <n v="4.9800000000000004"/>
    <n v="4.5479000000000003"/>
    <x v="0"/>
  </r>
  <r>
    <s v="WQAPR91"/>
    <s v="B3"/>
    <d v="1991-04-03T00:00:00"/>
    <n v="5.7895000000000003"/>
    <m/>
    <x v="0"/>
  </r>
  <r>
    <s v="WQMAY91"/>
    <s v="B3"/>
    <d v="1991-05-02T00:00:00"/>
    <m/>
    <m/>
    <x v="0"/>
  </r>
  <r>
    <s v="WQJUN91"/>
    <s v="B3"/>
    <d v="1991-06-05T00:00:00"/>
    <n v="18.557200000000002"/>
    <n v="17.075099999999999"/>
    <x v="0"/>
  </r>
  <r>
    <s v="WQJUL91"/>
    <s v="B3"/>
    <d v="1991-07-09T00:00:00"/>
    <n v="21.735299999999999"/>
    <n v="19.57"/>
    <x v="0"/>
  </r>
  <r>
    <s v="WQAUG91"/>
    <s v="B3"/>
    <d v="1991-08-12T00:00:00"/>
    <n v="22.646799999999999"/>
    <n v="21.273900000000001"/>
    <x v="0"/>
  </r>
  <r>
    <s v="WQSEP91"/>
    <s v="B3"/>
    <d v="1991-09-06T00:00:00"/>
    <n v="22.465599999999998"/>
    <n v="22.385999999999999"/>
    <x v="0"/>
  </r>
  <r>
    <s v="WQOCT91"/>
    <s v="B3"/>
    <d v="1991-10-02T00:00:00"/>
    <n v="19.5565"/>
    <n v="19.596299999999999"/>
    <x v="0"/>
  </r>
  <r>
    <s v="WQNOV91"/>
    <s v="B3"/>
    <d v="1991-11-14T00:00:00"/>
    <n v="10.4778"/>
    <n v="10.77"/>
    <x v="0"/>
  </r>
  <r>
    <s v="WQJAN92"/>
    <s v="B3"/>
    <d v="1992-01-08T00:00:00"/>
    <n v="4.4394"/>
    <n v="4.5061999999999998"/>
    <x v="1"/>
  </r>
  <r>
    <s v="WQFEB92"/>
    <s v="B3"/>
    <d v="1992-02-06T00:00:00"/>
    <n v="1.5304"/>
    <n v="1.9635"/>
    <x v="1"/>
  </r>
  <r>
    <s v="WQMAY92"/>
    <s v="B3"/>
    <d v="1992-05-06T00:00:00"/>
    <m/>
    <n v="8.4094999999999995"/>
    <x v="1"/>
  </r>
  <r>
    <s v="WQJUN92"/>
    <s v="B3"/>
    <d v="1992-06-03T00:00:00"/>
    <n v="15.8651"/>
    <n v="12.571999999999999"/>
    <x v="1"/>
  </r>
  <r>
    <s v="WQJUL92"/>
    <s v="B3"/>
    <d v="1992-07-09T00:00:00"/>
    <m/>
    <n v="15.1859"/>
    <x v="1"/>
  </r>
  <r>
    <s v="WQAUG92"/>
    <s v="B3"/>
    <d v="1992-08-06T00:00:00"/>
    <n v="20.889399999999998"/>
    <n v="18.967700000000001"/>
    <x v="1"/>
  </r>
  <r>
    <s v="WQSEP92"/>
    <s v="B3"/>
    <d v="1992-09-02T00:00:00"/>
    <n v="21.212299999999999"/>
    <n v="20.958300000000001"/>
    <x v="1"/>
  </r>
  <r>
    <s v="WQOCT92"/>
    <s v="B3"/>
    <d v="1992-10-07T00:00:00"/>
    <n v="17.075900000000001"/>
    <n v="16.9663"/>
    <x v="1"/>
  </r>
  <r>
    <s v="WQNOV92"/>
    <s v="B3"/>
    <d v="1992-11-05T00:00:00"/>
    <n v="12.4175"/>
    <n v="12.610900000000001"/>
    <x v="1"/>
  </r>
  <r>
    <s v="WQDEC92"/>
    <s v="B3"/>
    <d v="1992-12-15T00:00:00"/>
    <n v="5.6456999999999997"/>
    <n v="5.8415999999999997"/>
    <x v="1"/>
  </r>
  <r>
    <s v="WQJAN93"/>
    <s v="B3"/>
    <d v="1993-01-15T00:00:00"/>
    <n v="3.1535000000000002"/>
    <n v="3.2606999999999999"/>
    <x v="2"/>
  </r>
  <r>
    <s v="WQFEB93"/>
    <s v="B3"/>
    <d v="1993-02-10T00:00:00"/>
    <m/>
    <n v="1.3391999999999999"/>
    <x v="2"/>
  </r>
  <r>
    <s v="WQMAR93"/>
    <s v="B3"/>
    <d v="1993-03-10T00:00:00"/>
    <m/>
    <n v="1.1581999999999999"/>
    <x v="2"/>
  </r>
  <r>
    <s v="WQMAY93"/>
    <s v="B3"/>
    <d v="1993-05-07T00:00:00"/>
    <n v="12.421099999999999"/>
    <n v="10.262600000000001"/>
    <x v="2"/>
  </r>
  <r>
    <s v="WQJUN93"/>
    <s v="B3"/>
    <d v="1993-06-02T00:00:00"/>
    <n v="13.3461"/>
    <n v="11.8904"/>
    <x v="2"/>
  </r>
  <r>
    <s v="WQJUL93"/>
    <s v="B3"/>
    <d v="1993-07-08T00:00:00"/>
    <n v="21.220099999999999"/>
    <n v="17.0547"/>
    <x v="2"/>
  </r>
  <r>
    <s v="WQAUG93"/>
    <s v="B3"/>
    <d v="1993-08-03T00:00:00"/>
    <n v="21.356000000000002"/>
    <n v="18.5989"/>
    <x v="2"/>
  </r>
  <r>
    <s v="WQSEP93"/>
    <s v="B3"/>
    <d v="1993-09-08T00:00:00"/>
    <n v="22.9312"/>
    <n v="22.267299999999999"/>
    <x v="2"/>
  </r>
  <r>
    <s v="WQOCT93"/>
    <s v="B3"/>
    <d v="1993-10-06T00:00:00"/>
    <n v="17.649899999999999"/>
    <n v="17.842300000000002"/>
    <x v="2"/>
  </r>
  <r>
    <s v="WQDEC93"/>
    <s v="B3"/>
    <d v="1993-12-17T00:00:00"/>
    <n v="6.9039999999999999"/>
    <n v="6.8807999999999998"/>
    <x v="2"/>
  </r>
  <r>
    <s v="WQJAN94"/>
    <s v="B3"/>
    <d v="1994-01-14T00:00:00"/>
    <n v="0.98"/>
    <n v="1.51"/>
    <x v="3"/>
  </r>
  <r>
    <s v="WQFEB94"/>
    <s v="B3"/>
    <d v="1994-02-07T00:00:00"/>
    <n v="-0.71"/>
    <n v="-0.54"/>
    <x v="3"/>
  </r>
  <r>
    <s v="WQMAR94"/>
    <s v="B3"/>
    <d v="1994-03-08T00:00:00"/>
    <n v="0.28000000000000003"/>
    <n v="-0.52"/>
    <x v="3"/>
  </r>
  <r>
    <s v="WQAPR94"/>
    <s v="B3"/>
    <d v="1994-04-06T00:00:00"/>
    <n v="5.0999999999999996"/>
    <n v="2.46"/>
    <x v="3"/>
  </r>
  <r>
    <s v="WQMAY94"/>
    <s v="B3"/>
    <d v="1994-05-04T00:00:00"/>
    <n v="9.8000000000000007"/>
    <n v="7.3"/>
    <x v="3"/>
  </r>
  <r>
    <s v="WQJUN94"/>
    <s v="B3"/>
    <d v="1994-06-02T00:00:00"/>
    <n v="14.2"/>
    <n v="10.88"/>
    <x v="3"/>
  </r>
  <r>
    <s v="HYJUN94"/>
    <s v="B3"/>
    <d v="1994-06-22T00:00:00"/>
    <n v="20.170000000000002"/>
    <m/>
    <x v="3"/>
  </r>
  <r>
    <s v="WQJUL94"/>
    <s v="B3"/>
    <d v="1994-07-05T00:00:00"/>
    <n v="20.28"/>
    <n v="15.52"/>
    <x v="3"/>
  </r>
  <r>
    <s v="HYJUL94"/>
    <s v="B3"/>
    <d v="1994-07-20T00:00:00"/>
    <n v="21.7"/>
    <m/>
    <x v="3"/>
  </r>
  <r>
    <s v="WQAUG94"/>
    <s v="B3"/>
    <d v="1994-08-02T00:00:00"/>
    <n v="22.5"/>
    <n v="18.53"/>
    <x v="3"/>
  </r>
  <r>
    <s v="HYAUG94"/>
    <s v="B3"/>
    <d v="1994-08-16T00:00:00"/>
    <n v="21.31"/>
    <m/>
    <x v="3"/>
  </r>
  <r>
    <s v="WQSEP94"/>
    <s v="B3"/>
    <d v="1994-08-30T00:00:00"/>
    <n v="21.83"/>
    <n v="21.28"/>
    <x v="3"/>
  </r>
  <r>
    <s v="WQOCT94"/>
    <s v="B3"/>
    <d v="1994-10-05T00:00:00"/>
    <n v="18.12"/>
    <n v="18.27"/>
    <x v="3"/>
  </r>
  <r>
    <s v="WQNOV94"/>
    <s v="B3"/>
    <d v="1994-11-10T00:00:00"/>
    <n v="14.27"/>
    <n v="14.53"/>
    <x v="3"/>
  </r>
  <r>
    <s v="WQDEC94"/>
    <s v="B3"/>
    <d v="1994-12-06T00:00:00"/>
    <n v="9.17"/>
    <n v="9.66"/>
    <x v="3"/>
  </r>
  <r>
    <s v="WQJAN95"/>
    <s v="B3"/>
    <d v="1995-01-09T00:00:00"/>
    <n v="3.47"/>
    <n v="4.05"/>
    <x v="4"/>
  </r>
  <r>
    <s v="WQFEB95"/>
    <s v="B3"/>
    <d v="1995-02-14T00:00:00"/>
    <n v="0.82"/>
    <n v="1.2"/>
    <x v="4"/>
  </r>
  <r>
    <s v="WQMAR95"/>
    <s v="B3"/>
    <d v="1995-03-10T00:00:00"/>
    <n v="2.59"/>
    <n v="2.37"/>
    <x v="4"/>
  </r>
  <r>
    <s v="WQAPR95"/>
    <s v="B3"/>
    <d v="1995-04-07T00:00:00"/>
    <n v="5.89"/>
    <n v="4.7699999999999996"/>
    <x v="4"/>
  </r>
  <r>
    <s v="WQMAY95"/>
    <s v="B3"/>
    <d v="1995-05-12T00:00:00"/>
    <n v="10.57"/>
    <n v="10.095800000000001"/>
    <x v="4"/>
  </r>
  <r>
    <s v="WQJUN95"/>
    <s v="B3"/>
    <d v="1995-06-06T00:00:00"/>
    <n v="15.98"/>
    <n v="11.28"/>
    <x v="4"/>
  </r>
  <r>
    <s v="HYJUN95"/>
    <s v="B3"/>
    <d v="1995-06-26T00:00:00"/>
    <n v="18.77"/>
    <n v="17.29"/>
    <x v="4"/>
  </r>
  <r>
    <s v="WQJUL95"/>
    <s v="B3"/>
    <d v="1995-07-07T00:00:00"/>
    <n v="21.26"/>
    <n v="16.96"/>
    <x v="4"/>
  </r>
  <r>
    <s v="HYJUL95"/>
    <s v="B3"/>
    <d v="1995-07-18T00:00:00"/>
    <n v="22.15"/>
    <n v="18.59"/>
    <x v="4"/>
  </r>
  <r>
    <s v="WQAUG95"/>
    <s v="B3"/>
    <d v="1995-08-04T00:00:00"/>
    <n v="24.17"/>
    <n v="19.100000000000001"/>
    <x v="4"/>
  </r>
  <r>
    <s v="HYAUG95"/>
    <s v="B3"/>
    <d v="1995-08-14T00:00:00"/>
    <n v="23.96"/>
    <n v="22.17"/>
    <x v="4"/>
  </r>
  <r>
    <s v="WQSEP95"/>
    <s v="B3"/>
    <d v="1995-09-05T00:00:00"/>
    <n v="23.35"/>
    <n v="22.8"/>
    <x v="4"/>
  </r>
  <r>
    <s v="WQOCT95"/>
    <s v="B3"/>
    <d v="1995-10-05T00:00:00"/>
    <n v="19.355599999999999"/>
    <n v="19.809999999999999"/>
    <x v="4"/>
  </r>
  <r>
    <s v="WQNOV95"/>
    <s v="B3"/>
    <d v="1995-11-13T00:00:00"/>
    <n v="11.65"/>
    <n v="12.7096"/>
    <x v="4"/>
  </r>
  <r>
    <s v="WQDEC95"/>
    <s v="B3"/>
    <d v="1995-12-07T00:00:00"/>
    <n v="7.39"/>
    <n v="7.86"/>
    <x v="4"/>
  </r>
  <r>
    <s v="WQFEB96"/>
    <s v="B3"/>
    <d v="1996-02-08T00:00:00"/>
    <n v="-0.3"/>
    <n v="-0.26"/>
    <x v="5"/>
  </r>
  <r>
    <s v="WQMAR96"/>
    <s v="B3"/>
    <d v="1996-03-05T00:00:00"/>
    <n v="0.94"/>
    <n v="0.55000000000000004"/>
    <x v="5"/>
  </r>
  <r>
    <s v="WQAPR96"/>
    <s v="B3"/>
    <d v="1996-04-04T00:00:00"/>
    <m/>
    <m/>
    <x v="5"/>
  </r>
  <r>
    <s v="WQMAY96"/>
    <s v="B3"/>
    <d v="1996-05-14T00:00:00"/>
    <n v="10.82"/>
    <n v="9.32"/>
    <x v="5"/>
  </r>
  <r>
    <s v="WQJUN96"/>
    <s v="B3"/>
    <d v="1996-06-04T00:00:00"/>
    <n v="14.76"/>
    <n v="11.87"/>
    <x v="5"/>
  </r>
  <r>
    <s v="HYJUN96"/>
    <s v="B3"/>
    <d v="1996-06-26T00:00:00"/>
    <n v="19.53"/>
    <n v="14.47"/>
    <x v="5"/>
  </r>
  <r>
    <s v="WQJUL96"/>
    <s v="B3"/>
    <d v="1996-07-08T00:00:00"/>
    <n v="19.95"/>
    <n v="15.54"/>
    <x v="5"/>
  </r>
  <r>
    <s v="HYJUL96"/>
    <s v="B3"/>
    <d v="1996-07-24T00:00:00"/>
    <n v="19.54"/>
    <n v="17.09"/>
    <x v="5"/>
  </r>
  <r>
    <s v="WQAUG96"/>
    <s v="B3"/>
    <d v="1996-08-07T00:00:00"/>
    <n v="22.5"/>
    <n v="19.82"/>
    <x v="5"/>
  </r>
  <r>
    <s v="HYAUG96"/>
    <s v="B3"/>
    <d v="1996-08-21T00:00:00"/>
    <n v="21.88"/>
    <n v="20.14"/>
    <x v="5"/>
  </r>
  <r>
    <s v="WQSEP96"/>
    <s v="B3"/>
    <d v="1996-09-05T00:00:00"/>
    <n v="23.16"/>
    <n v="21.25"/>
    <x v="5"/>
  </r>
  <r>
    <s v="HYSEP96"/>
    <s v="B3"/>
    <d v="1996-09-20T00:00:00"/>
    <n v="20.61"/>
    <m/>
    <x v="5"/>
  </r>
  <r>
    <s v="WQOCT96"/>
    <s v="B3"/>
    <d v="1996-10-07T00:00:00"/>
    <n v="18.21"/>
    <n v="18.09"/>
    <x v="5"/>
  </r>
  <r>
    <s v="WQNOV96"/>
    <s v="B3"/>
    <d v="1996-11-06T00:00:00"/>
    <n v="13.37"/>
    <n v="14.01"/>
    <x v="5"/>
  </r>
  <r>
    <s v="WQDEC96"/>
    <s v="B3"/>
    <d v="1996-12-04T00:00:00"/>
    <n v="8.02"/>
    <n v="8.5"/>
    <x v="5"/>
  </r>
  <r>
    <s v="WQFEB97"/>
    <s v="B3"/>
    <d v="1997-02-03T00:00:00"/>
    <n v="1.81"/>
    <n v="1.76"/>
    <x v="6"/>
  </r>
  <r>
    <s v="WQMAR97"/>
    <s v="B3"/>
    <d v="1997-03-03T00:00:00"/>
    <n v="3.72"/>
    <n v="3.03"/>
    <x v="6"/>
  </r>
  <r>
    <s v="WQAPR97"/>
    <s v="B3"/>
    <d v="1997-04-03T00:00:00"/>
    <n v="5.41"/>
    <n v="5.16"/>
    <x v="6"/>
  </r>
  <r>
    <s v="WQMAY97"/>
    <s v="B3"/>
    <d v="1997-05-08T00:00:00"/>
    <n v="10.31"/>
    <n v="9.6"/>
    <x v="6"/>
  </r>
  <r>
    <s v="WQJUN97"/>
    <s v="B3"/>
    <d v="1997-06-04T00:00:00"/>
    <n v="13"/>
    <n v="12.34"/>
    <x v="6"/>
  </r>
  <r>
    <s v="HYJUN97"/>
    <s v="B3"/>
    <d v="1997-06-27T00:00:00"/>
    <n v="18.899999999999999"/>
    <m/>
    <x v="6"/>
  </r>
  <r>
    <s v="WQJUL97"/>
    <s v="B3"/>
    <d v="1997-07-09T00:00:00"/>
    <n v="19.100000000000001"/>
    <n v="15.04"/>
    <x v="6"/>
  </r>
  <r>
    <s v="HYJUL97"/>
    <s v="B3"/>
    <d v="1997-07-22T00:00:00"/>
    <n v="20.079999999999998"/>
    <m/>
    <x v="6"/>
  </r>
  <r>
    <s v="WQAUG97"/>
    <s v="B3"/>
    <d v="1997-08-05T00:00:00"/>
    <n v="21.06"/>
    <n v="19.03"/>
    <x v="6"/>
  </r>
  <r>
    <s v="HYAUG97"/>
    <s v="B3"/>
    <d v="1997-08-20T00:00:00"/>
    <n v="21.91"/>
    <n v="20.45"/>
    <x v="6"/>
  </r>
  <r>
    <s v="WQSEP97"/>
    <s v="B3"/>
    <d v="1997-09-04T00:00:00"/>
    <n v="21.79"/>
    <n v="21.41"/>
    <x v="6"/>
  </r>
  <r>
    <s v="HYSEP97"/>
    <s v="B3"/>
    <d v="1997-09-17T00:00:00"/>
    <n v="21.45"/>
    <m/>
    <x v="6"/>
  </r>
  <r>
    <s v="WQOCT97"/>
    <s v="B3"/>
    <d v="1997-10-08T00:00:00"/>
    <n v="19.13"/>
    <n v="18.920000000000002"/>
    <x v="6"/>
  </r>
  <r>
    <s v="WQNOV97"/>
    <s v="B3"/>
    <d v="1997-11-03T00:00:00"/>
    <n v="13.9"/>
    <n v="14.08"/>
    <x v="6"/>
  </r>
  <r>
    <s v="WQDEC97"/>
    <s v="B3"/>
    <d v="1997-12-08T00:00:00"/>
    <n v="6.29"/>
    <n v="7.61"/>
    <x v="6"/>
  </r>
  <r>
    <s v="WQJAN98"/>
    <s v="B3"/>
    <d v="1998-01-14T00:00:00"/>
    <n v="4.5599999999999996"/>
    <n v="4.6100000000000003"/>
    <x v="7"/>
  </r>
  <r>
    <s v="WQFEB98"/>
    <s v="B3"/>
    <d v="1998-02-02T00:00:00"/>
    <n v="3.43"/>
    <n v="3.35"/>
    <x v="7"/>
  </r>
  <r>
    <s v="CHFEB98"/>
    <s v="B3"/>
    <d v="1998-02-19T00:00:00"/>
    <n v="3.41"/>
    <n v="3.27"/>
    <x v="7"/>
  </r>
  <r>
    <s v="WQMAR98"/>
    <s v="B3"/>
    <d v="1998-03-04T00:00:00"/>
    <n v="4.88"/>
    <n v="4.3"/>
    <x v="7"/>
  </r>
  <r>
    <s v="CHMAR98"/>
    <s v="B3"/>
    <d v="1998-03-24T00:00:00"/>
    <n v="4.18"/>
    <m/>
    <x v="7"/>
  </r>
  <r>
    <s v="WQAPR98"/>
    <s v="B3"/>
    <d v="1998-04-20T00:00:00"/>
    <n v="10.07"/>
    <n v="8.84"/>
    <x v="7"/>
  </r>
  <r>
    <s v="WQMAY98"/>
    <s v="B3"/>
    <d v="1998-05-13T00:00:00"/>
    <n v="12.42"/>
    <n v="11.87"/>
    <x v="7"/>
  </r>
  <r>
    <s v="WQJUN98"/>
    <s v="B3"/>
    <d v="1998-06-02T00:00:00"/>
    <n v="16.86"/>
    <n v="12.41"/>
    <x v="7"/>
  </r>
  <r>
    <s v="HYJUN98"/>
    <s v="B3"/>
    <d v="1998-06-25T00:00:00"/>
    <n v="21.06"/>
    <n v="16.3"/>
    <x v="7"/>
  </r>
  <r>
    <s v="WQJUL98"/>
    <s v="B3"/>
    <d v="1998-07-08T00:00:00"/>
    <n v="20.59"/>
    <n v="16.46"/>
    <x v="7"/>
  </r>
  <r>
    <s v="HYJUL98"/>
    <s v="B3"/>
    <d v="1998-07-22T00:00:00"/>
    <n v="23.01"/>
    <n v="18.36"/>
    <x v="7"/>
  </r>
  <r>
    <s v="WQAUG98"/>
    <s v="B3"/>
    <d v="1998-08-03T00:00:00"/>
    <n v="22.92"/>
    <n v="18.96"/>
    <x v="7"/>
  </r>
  <r>
    <s v="HYAUG98"/>
    <s v="B3"/>
    <d v="1998-08-17T00:00:00"/>
    <n v="23.62"/>
    <n v="21.2"/>
    <x v="7"/>
  </r>
  <r>
    <s v="WQSEP98"/>
    <s v="B3"/>
    <d v="1998-09-02T00:00:00"/>
    <n v="24.2"/>
    <n v="21.88"/>
    <x v="7"/>
  </r>
  <r>
    <s v="HYSEP98"/>
    <s v="B3"/>
    <d v="1998-09-16T00:00:00"/>
    <n v="22.44"/>
    <m/>
    <x v="7"/>
  </r>
  <r>
    <s v="WQOCT98"/>
    <s v="B3"/>
    <d v="1998-10-06T00:00:00"/>
    <n v="19.3"/>
    <n v="19.3"/>
    <x v="7"/>
  </r>
  <r>
    <s v="WQNOV98"/>
    <s v="B3"/>
    <d v="1998-11-05T00:00:00"/>
    <n v="13.9"/>
    <n v="13.91"/>
    <x v="7"/>
  </r>
  <r>
    <s v="WQDEC98"/>
    <s v="B3"/>
    <d v="1998-12-02T00:00:00"/>
    <n v="10.11"/>
    <n v="10.33"/>
    <x v="7"/>
  </r>
  <r>
    <s v="WQJAN99"/>
    <s v="B3"/>
    <d v="1999-01-11T00:00:00"/>
    <n v="3.05"/>
    <n v="3.09"/>
    <x v="8"/>
  </r>
  <r>
    <s v="WQFEB99"/>
    <s v="B3"/>
    <d v="1999-02-04T00:00:00"/>
    <n v="3.17"/>
    <n v="2.9"/>
    <x v="8"/>
  </r>
  <r>
    <s v="CHFEB99"/>
    <s v="B3"/>
    <d v="1999-02-16T00:00:00"/>
    <n v="3.08"/>
    <n v="3.08"/>
    <x v="8"/>
  </r>
  <r>
    <s v="WQMAR99"/>
    <s v="B3"/>
    <d v="1999-03-09T00:00:00"/>
    <n v="2.71"/>
    <n v="2.7"/>
    <x v="8"/>
  </r>
  <r>
    <s v="CHMAR99"/>
    <s v="B3"/>
    <d v="1999-03-25T00:00:00"/>
    <n v="4.7"/>
    <n v="3.87"/>
    <x v="8"/>
  </r>
  <r>
    <s v="WQAPR99"/>
    <s v="B3"/>
    <d v="1999-04-07T00:00:00"/>
    <n v="7.7"/>
    <n v="5.7"/>
    <x v="8"/>
  </r>
  <r>
    <s v="WQMAY99"/>
    <s v="B3"/>
    <d v="1999-05-06T00:00:00"/>
    <n v="12.65"/>
    <n v="9.93"/>
    <x v="8"/>
  </r>
  <r>
    <s v="WQJUN99"/>
    <s v="B3"/>
    <d v="1999-06-01T00:00:00"/>
    <n v="17.43"/>
    <n v="11.76"/>
    <x v="8"/>
  </r>
  <r>
    <s v="HYJUN99"/>
    <s v="B3"/>
    <d v="1999-06-24T00:00:00"/>
    <n v="20.58"/>
    <n v="16.75"/>
    <x v="8"/>
  </r>
  <r>
    <s v="WQJUL99"/>
    <s v="B3"/>
    <d v="1999-07-07T00:00:00"/>
    <n v="21.66"/>
    <n v="16.32"/>
    <x v="8"/>
  </r>
  <r>
    <s v="HYJUL99"/>
    <s v="B3"/>
    <d v="1999-07-21T00:00:00"/>
    <n v="22"/>
    <n v="18.97"/>
    <x v="8"/>
  </r>
  <r>
    <s v="WQAUG99"/>
    <s v="B3"/>
    <d v="1999-08-04T00:00:00"/>
    <n v="24.48"/>
    <n v="20.329999999999998"/>
    <x v="8"/>
  </r>
  <r>
    <s v="HYAUG99"/>
    <s v="B3"/>
    <d v="1999-08-18T00:00:00"/>
    <n v="23.94"/>
    <n v="21.62"/>
    <x v="8"/>
  </r>
  <r>
    <s v="WQSEP99"/>
    <s v="B3"/>
    <d v="1999-09-01T00:00:00"/>
    <n v="22.21"/>
    <n v="22.21"/>
    <x v="8"/>
  </r>
  <r>
    <s v="WQOCT99"/>
    <s v="B3"/>
    <d v="1999-09-28T00:00:00"/>
    <n v="20.32"/>
    <n v="20.56"/>
    <x v="8"/>
  </r>
  <r>
    <s v="WQNOV99"/>
    <s v="B3"/>
    <d v="1999-11-05T00:00:00"/>
    <n v="14.4"/>
    <n v="14.82"/>
    <x v="8"/>
  </r>
  <r>
    <s v="WQDEC99"/>
    <s v="B3"/>
    <d v="1999-12-09T00:00:00"/>
    <n v="8.9700000000000006"/>
    <n v="9.5500000000000007"/>
    <x v="8"/>
  </r>
  <r>
    <s v="WQJAN00"/>
    <s v="B3"/>
    <d v="2000-01-06T00:00:00"/>
    <n v="5.23"/>
    <n v="5.95"/>
    <x v="9"/>
  </r>
  <r>
    <s v="WQFEB00"/>
    <s v="B3"/>
    <d v="2000-02-07T00:00:00"/>
    <n v="0.06"/>
    <n v="0.23"/>
    <x v="9"/>
  </r>
  <r>
    <s v="CHFEB00"/>
    <s v="B3"/>
    <d v="2000-02-16T00:00:00"/>
    <n v="0.99"/>
    <n v="1.04"/>
    <x v="9"/>
  </r>
  <r>
    <s v="WQMAR00"/>
    <s v="B3"/>
    <d v="2000-03-06T00:00:00"/>
    <n v="3.11"/>
    <n v="2.76"/>
    <x v="9"/>
  </r>
  <r>
    <s v="CHMAR00"/>
    <s v="B3"/>
    <d v="2000-03-15T00:00:00"/>
    <n v="4.6500000000000004"/>
    <n v="4.03"/>
    <x v="9"/>
  </r>
  <r>
    <s v="WQAPR00"/>
    <s v="B3"/>
    <d v="2000-04-10T00:00:00"/>
    <n v="6.39"/>
    <n v="6.32"/>
    <x v="9"/>
  </r>
  <r>
    <s v="WQMAY00"/>
    <s v="B3"/>
    <d v="2000-05-03T00:00:00"/>
    <n v="10.41"/>
    <n v="9.15"/>
    <x v="9"/>
  </r>
  <r>
    <s v="WQJUN00"/>
    <s v="B3"/>
    <d v="2000-06-05T00:00:00"/>
    <n v="16.46"/>
    <n v="13.8"/>
    <x v="9"/>
  </r>
  <r>
    <s v="HYJUN00"/>
    <s v="B3"/>
    <d v="2000-06-26T00:00:00"/>
    <n v="19.29"/>
    <n v="14.46"/>
    <x v="9"/>
  </r>
  <r>
    <s v="WQJUL00"/>
    <s v="B3"/>
    <d v="2000-07-10T00:00:00"/>
    <n v="20.32"/>
    <n v="16.13"/>
    <x v="9"/>
  </r>
  <r>
    <s v="HYJUL00"/>
    <s v="B3"/>
    <d v="2000-07-19T00:00:00"/>
    <n v="21.15"/>
    <n v="17.98"/>
    <x v="9"/>
  </r>
  <r>
    <s v="WQAUG00"/>
    <s v="B3"/>
    <d v="2000-08-07T00:00:00"/>
    <n v="22.3"/>
    <n v="20.45"/>
    <x v="9"/>
  </r>
  <r>
    <s v="HYAUG00"/>
    <s v="B3"/>
    <d v="2000-08-16T00:00:00"/>
    <n v="22.27"/>
    <n v="21.24"/>
    <x v="9"/>
  </r>
  <r>
    <s v="WQSEP00"/>
    <s v="B3"/>
    <d v="2000-08-31T00:00:00"/>
    <n v="22.31"/>
    <n v="21.76"/>
    <x v="9"/>
  </r>
  <r>
    <s v="WQOCT00"/>
    <s v="B3"/>
    <d v="2000-10-03T00:00:00"/>
    <n v="18.88"/>
    <n v="19.12"/>
    <x v="9"/>
  </r>
  <r>
    <s v="WQNOV00"/>
    <s v="B3"/>
    <d v="2000-11-09T00:00:00"/>
    <n v="12.44"/>
    <n v="13.36"/>
    <x v="9"/>
  </r>
  <r>
    <s v="WQDEC00"/>
    <s v="B3"/>
    <d v="2000-12-04T00:00:00"/>
    <n v="7.43"/>
    <n v="7.43"/>
    <x v="9"/>
  </r>
  <r>
    <s v="WQJAN01"/>
    <s v="B3"/>
    <d v="2001-01-17T00:00:00"/>
    <n v="1.79"/>
    <n v="1.84"/>
    <x v="10"/>
  </r>
  <r>
    <s v="WQFEB01"/>
    <s v="B3"/>
    <d v="2001-02-07T00:00:00"/>
    <n v="1.65"/>
    <n v="1.61"/>
    <x v="10"/>
  </r>
  <r>
    <s v="CHFEB01"/>
    <s v="B3"/>
    <d v="2001-02-20T00:00:00"/>
    <m/>
    <m/>
    <x v="10"/>
  </r>
  <r>
    <s v="WQMAR01"/>
    <s v="B3"/>
    <d v="2001-03-08T00:00:00"/>
    <n v="1.81"/>
    <n v="1.75"/>
    <x v="10"/>
  </r>
  <r>
    <s v="WQAPR01"/>
    <s v="B3"/>
    <d v="2001-04-04T00:00:00"/>
    <n v="4.6100000000000003"/>
    <n v="4.34"/>
    <x v="10"/>
  </r>
  <r>
    <s v="WQMAY01"/>
    <s v="B3"/>
    <d v="2001-05-01T00:00:00"/>
    <m/>
    <m/>
    <x v="10"/>
  </r>
  <r>
    <s v="WQJUN01"/>
    <s v="B3"/>
    <d v="2001-06-06T00:00:00"/>
    <n v="15.62"/>
    <n v="13.93"/>
    <x v="10"/>
  </r>
  <r>
    <s v="HYJUN01"/>
    <s v="B3"/>
    <d v="2001-06-21T00:00:00"/>
    <n v="19.760000000000002"/>
    <n v="13.19"/>
    <x v="10"/>
  </r>
  <r>
    <s v="WQJUL01"/>
    <s v="B3"/>
    <d v="2001-07-10T00:00:00"/>
    <n v="19.3"/>
    <n v="16.09"/>
    <x v="10"/>
  </r>
  <r>
    <s v="HYJUL01"/>
    <s v="B3"/>
    <d v="2001-07-25T00:00:00"/>
    <n v="21.02"/>
    <n v="18.690000000000001"/>
    <x v="10"/>
  </r>
  <r>
    <s v="WQAUG01"/>
    <s v="B3"/>
    <d v="2001-08-07T00:00:00"/>
    <n v="22.89"/>
    <n v="19.91"/>
    <x v="10"/>
  </r>
  <r>
    <s v="HYAUG01"/>
    <s v="B3"/>
    <d v="2001-08-21T00:00:00"/>
    <n v="23.66"/>
    <n v="21.42"/>
    <x v="10"/>
  </r>
  <r>
    <s v="WQSEP01"/>
    <s v="B3"/>
    <d v="2001-09-04T00:00:00"/>
    <n v="22.68"/>
    <n v="21.91"/>
    <x v="10"/>
  </r>
  <r>
    <s v="HYSEP01"/>
    <s v="B3"/>
    <d v="2001-09-24T00:00:00"/>
    <n v="21.84"/>
    <m/>
    <x v="10"/>
  </r>
  <r>
    <s v="WQOCT01"/>
    <s v="B3"/>
    <d v="2001-10-04T00:00:00"/>
    <n v="19.43"/>
    <n v="19.12"/>
    <x v="10"/>
  </r>
  <r>
    <s v="WQNOV01"/>
    <s v="B3"/>
    <d v="2001-11-13T00:00:00"/>
    <n v="12.21"/>
    <n v="12.89"/>
    <x v="10"/>
  </r>
  <r>
    <s v="WQDEC01"/>
    <s v="B3"/>
    <d v="2001-12-05T00:00:00"/>
    <n v="11.46"/>
    <n v="11.55"/>
    <x v="10"/>
  </r>
  <r>
    <s v="WQJAN02"/>
    <s v="B3"/>
    <d v="2002-01-15T00:00:00"/>
    <n v="4.41"/>
    <n v="5.4"/>
    <x v="11"/>
  </r>
  <r>
    <s v="WQFEB02"/>
    <s v="B3"/>
    <d v="2002-02-06T00:00:00"/>
    <n v="4.08"/>
    <n v="4.03"/>
    <x v="11"/>
  </r>
  <r>
    <s v="CHFEB02"/>
    <s v="B3"/>
    <d v="2002-02-19T00:00:00"/>
    <n v="3.83"/>
    <n v="4.0199999999999996"/>
    <x v="11"/>
  </r>
  <r>
    <s v="WQMAR02"/>
    <s v="B3"/>
    <d v="2002-03-04T00:00:00"/>
    <n v="4.99"/>
    <n v="4.97"/>
    <x v="11"/>
  </r>
  <r>
    <s v="CHMAR02"/>
    <s v="B3"/>
    <d v="2002-03-21T00:00:00"/>
    <n v="5.45"/>
    <n v="5.31"/>
    <x v="11"/>
  </r>
  <r>
    <s v="WQAPR02"/>
    <s v="B3"/>
    <d v="2002-04-04T00:00:00"/>
    <n v="7.26"/>
    <n v="6.09"/>
    <x v="11"/>
  </r>
  <r>
    <s v="WQMAY02"/>
    <s v="B3"/>
    <d v="2002-05-07T00:00:00"/>
    <n v="12.11"/>
    <n v="9.92"/>
    <x v="11"/>
  </r>
  <r>
    <s v="WQJUN02"/>
    <s v="B3"/>
    <d v="2002-06-06T00:00:00"/>
    <n v="17.52"/>
    <n v="13.24"/>
    <x v="11"/>
  </r>
  <r>
    <s v="HYJUN02"/>
    <s v="B3"/>
    <d v="2002-06-26T00:00:00"/>
    <n v="21.31"/>
    <n v="16.91"/>
    <x v="11"/>
  </r>
  <r>
    <s v="WQJUL02"/>
    <s v="B3"/>
    <d v="2002-07-09T00:00:00"/>
    <n v="21.16"/>
    <n v="16.37"/>
    <x v="11"/>
  </r>
  <r>
    <s v="HYJUL02"/>
    <s v="B3"/>
    <d v="2002-07-22T00:00:00"/>
    <n v="22.84"/>
    <n v="18.2"/>
    <x v="11"/>
  </r>
  <r>
    <s v="WQAUG02"/>
    <s v="B3"/>
    <d v="2002-08-07T00:00:00"/>
    <n v="23.45"/>
    <n v="20.55"/>
    <x v="11"/>
  </r>
  <r>
    <s v="HYAUG02"/>
    <s v="B3"/>
    <d v="2002-08-22T00:00:00"/>
    <n v="24.32"/>
    <n v="21.97"/>
    <x v="11"/>
  </r>
  <r>
    <s v="WQSEP02"/>
    <s v="B3"/>
    <d v="2002-09-10T00:00:00"/>
    <n v="22.31"/>
    <n v="21.75"/>
    <x v="11"/>
  </r>
  <r>
    <s v="WQOCT02"/>
    <s v="B3"/>
    <d v="2002-10-09T00:00:00"/>
    <n v="20.239999999999998"/>
    <n v="20.25"/>
    <x v="11"/>
  </r>
  <r>
    <s v="WQNOV02"/>
    <s v="B3"/>
    <d v="2002-11-13T00:00:00"/>
    <n v="12.01"/>
    <n v="12.63"/>
    <x v="11"/>
  </r>
  <r>
    <s v="WQDEC02"/>
    <s v="B3"/>
    <d v="2002-12-10T00:00:00"/>
    <n v="5.09"/>
    <n v="6.31"/>
    <x v="11"/>
  </r>
  <r>
    <s v="WQFEB03"/>
    <s v="B3"/>
    <d v="2003-02-14T00:00:00"/>
    <n v="-0.39"/>
    <n v="-0.28999999999999998"/>
    <x v="12"/>
  </r>
  <r>
    <s v="WQMAR03"/>
    <s v="B3"/>
    <d v="2003-03-10T00:00:00"/>
    <n v="-0.4"/>
    <n v="-0.08"/>
    <x v="12"/>
  </r>
  <r>
    <s v="CHMAR03"/>
    <s v="B3"/>
    <d v="2003-03-18T00:00:00"/>
    <n v="1.66"/>
    <n v="0.76"/>
    <x v="12"/>
  </r>
  <r>
    <s v="WQAPR03"/>
    <s v="B3"/>
    <d v="2003-04-01T00:00:00"/>
    <n v="4.68"/>
    <n v="3.92"/>
    <x v="12"/>
  </r>
  <r>
    <s v="WQMAY03"/>
    <s v="B3"/>
    <d v="2003-05-06T00:00:00"/>
    <n v="10.23"/>
    <n v="7"/>
    <x v="12"/>
  </r>
  <r>
    <s v="WQJUN03"/>
    <s v="B3"/>
    <d v="2003-06-05T00:00:00"/>
    <n v="13.97"/>
    <n v="13.13"/>
    <x v="12"/>
  </r>
  <r>
    <s v="HYJUN03"/>
    <s v="B3"/>
    <d v="2003-06-19T00:00:00"/>
    <n v="16.62"/>
    <n v="13.98"/>
    <x v="12"/>
  </r>
  <r>
    <s v="WQJUL03"/>
    <s v="B3"/>
    <d v="2003-07-08T00:00:00"/>
    <n v="19.93"/>
    <n v="14"/>
    <x v="12"/>
  </r>
  <r>
    <s v="HYJUL03"/>
    <s v="B3"/>
    <d v="2003-07-28T00:00:00"/>
    <n v="18.23"/>
    <n v="15.72"/>
    <x v="12"/>
  </r>
  <r>
    <s v="WQAUG03"/>
    <s v="B3"/>
    <d v="2003-08-06T00:00:00"/>
    <n v="21.18"/>
    <n v="17.73"/>
    <x v="12"/>
  </r>
  <r>
    <s v="HYAUG03"/>
    <s v="B3"/>
    <d v="2003-08-20T00:00:00"/>
    <n v="23.03"/>
    <n v="19.25"/>
    <x v="12"/>
  </r>
  <r>
    <s v="WQSEP03"/>
    <s v="B3"/>
    <d v="2003-09-03T00:00:00"/>
    <n v="20.53"/>
    <n v="20.52"/>
    <x v="12"/>
  </r>
  <r>
    <s v="WQOCT03"/>
    <s v="B3"/>
    <d v="2003-10-06T00:00:00"/>
    <n v="18.3"/>
    <n v="18.71"/>
    <x v="12"/>
  </r>
  <r>
    <s v="WQNOV03"/>
    <s v="B3"/>
    <d v="2003-11-05T00:00:00"/>
    <n v="14.96"/>
    <n v="15"/>
    <x v="12"/>
  </r>
  <r>
    <s v="WQDEC03"/>
    <s v="B3"/>
    <d v="2003-12-09T00:00:00"/>
    <n v="6.03"/>
    <n v="6.21"/>
    <x v="12"/>
  </r>
  <r>
    <s v="WQFEB04"/>
    <s v="B3"/>
    <d v="2004-02-02T00:00:00"/>
    <n v="-1.18"/>
    <n v="-0.99"/>
    <x v="13"/>
  </r>
  <r>
    <s v="CHFEB04"/>
    <s v="B3"/>
    <d v="2004-02-19T00:00:00"/>
    <n v="-0.33"/>
    <n v="-0.37"/>
    <x v="13"/>
  </r>
  <r>
    <s v="WQMAR04"/>
    <s v="B3"/>
    <d v="2004-03-01T00:00:00"/>
    <n v="1.1599999999999999"/>
    <n v="0.78"/>
    <x v="13"/>
  </r>
  <r>
    <s v="CHMAR04"/>
    <s v="B3"/>
    <d v="2004-03-18T00:00:00"/>
    <n v="2.0699999999999998"/>
    <n v="1.92"/>
    <x v="13"/>
  </r>
  <r>
    <s v="WQAPR04"/>
    <s v="B3"/>
    <d v="2004-04-14T00:00:00"/>
    <n v="6.36"/>
    <n v="5.74"/>
    <x v="13"/>
  </r>
  <r>
    <s v="WQMAY04"/>
    <s v="B3"/>
    <d v="2004-05-06T00:00:00"/>
    <n v="10.31"/>
    <n v="7.29"/>
    <x v="13"/>
  </r>
  <r>
    <s v="WQJUN04"/>
    <s v="B3"/>
    <d v="2004-06-02T00:00:00"/>
    <n v="16.920000000000002"/>
    <n v="14.74"/>
    <x v="13"/>
  </r>
  <r>
    <s v="HYJUN04"/>
    <s v="B3"/>
    <d v="2004-06-29T00:00:00"/>
    <n v="17.399999999999999"/>
    <n v="13.72"/>
    <x v="13"/>
  </r>
  <r>
    <s v="WQJUL04"/>
    <s v="B3"/>
    <d v="2004-07-06T00:00:00"/>
    <n v="20.3"/>
    <n v="15.15"/>
    <x v="13"/>
  </r>
  <r>
    <s v="HYJUL04"/>
    <s v="B3"/>
    <d v="2004-07-20T00:00:00"/>
    <n v="21.78"/>
    <n v="18.440000000000001"/>
    <x v="13"/>
  </r>
  <r>
    <s v="WQAUG04"/>
    <s v="B3"/>
    <d v="2004-08-03T00:00:00"/>
    <n v="23.09"/>
    <n v="20.18"/>
    <x v="13"/>
  </r>
  <r>
    <s v="HYAUG04"/>
    <s v="B3"/>
    <d v="2004-08-23T00:00:00"/>
    <n v="22.54"/>
    <n v="20.37"/>
    <x v="13"/>
  </r>
  <r>
    <s v="WQSEP04"/>
    <s v="B3"/>
    <d v="2004-09-02T00:00:00"/>
    <n v="22.93"/>
    <n v="21.45"/>
    <x v="13"/>
  </r>
  <r>
    <s v="WQOCT04"/>
    <s v="B3"/>
    <d v="2004-10-13T00:00:00"/>
    <n v="18.59"/>
    <n v="18.82"/>
    <x v="13"/>
  </r>
  <r>
    <s v="WQDEC04"/>
    <s v="B3"/>
    <d v="2004-12-09T00:00:00"/>
    <n v="8.4700000000000006"/>
    <n v="8.6999999999999993"/>
    <x v="13"/>
  </r>
  <r>
    <s v="WQJAN05"/>
    <s v="B3"/>
    <d v="2005-01-13T00:00:00"/>
    <n v="4.24"/>
    <n v="4.2699999999999996"/>
    <x v="14"/>
  </r>
  <r>
    <s v="WQFEB05"/>
    <s v="B3"/>
    <d v="2005-01-31T00:00:00"/>
    <n v="-0.11"/>
    <n v="-0.1"/>
    <x v="14"/>
  </r>
  <r>
    <s v="WQMAR05"/>
    <s v="B3"/>
    <d v="2005-03-10T00:00:00"/>
    <n v="0.87"/>
    <n v="0.86"/>
    <x v="14"/>
  </r>
  <r>
    <s v="WQAPR05"/>
    <s v="B3"/>
    <d v="2005-04-06T00:00:00"/>
    <n v="6.02"/>
    <n v="4.34"/>
    <x v="14"/>
  </r>
  <r>
    <s v="WQMAY05"/>
    <s v="B3"/>
    <d v="2005-05-09T00:00:00"/>
    <n v="9.4"/>
    <n v="8.9"/>
    <x v="14"/>
  </r>
  <r>
    <s v="WQJUN05"/>
    <s v="B3"/>
    <d v="2005-06-09T00:00:00"/>
    <n v="18.16"/>
    <n v="12.24"/>
    <x v="14"/>
  </r>
  <r>
    <s v="HYJUN05"/>
    <s v="B3"/>
    <d v="2005-06-23T00:00:00"/>
    <n v="18.170000000000002"/>
    <n v="13.5"/>
    <x v="14"/>
  </r>
  <r>
    <s v="WQJUL05"/>
    <s v="B3"/>
    <d v="2005-07-11T00:00:00"/>
    <m/>
    <n v="19.440000000000001"/>
    <x v="14"/>
  </r>
  <r>
    <s v="HYJUL05"/>
    <s v="B3"/>
    <d v="2005-07-21T00:00:00"/>
    <n v="23.38"/>
    <n v="18.03"/>
    <x v="14"/>
  </r>
  <r>
    <s v="WQAUG05"/>
    <s v="B3"/>
    <d v="2005-08-03T00:00:00"/>
    <n v="24.06"/>
    <n v="18.350000000000001"/>
    <x v="14"/>
  </r>
  <r>
    <s v="HYAUG05"/>
    <s v="B3"/>
    <d v="2005-08-17T00:00:00"/>
    <n v="24.02"/>
    <n v="19.86"/>
    <x v="14"/>
  </r>
  <r>
    <s v="WQSEP05"/>
    <s v="B3"/>
    <d v="2005-08-30T00:00:00"/>
    <n v="23.86"/>
    <n v="21.29"/>
    <x v="14"/>
  </r>
  <r>
    <s v="WQOCT05"/>
    <s v="B3"/>
    <d v="2005-10-18T00:00:00"/>
    <n v="17.43"/>
    <n v="17.87"/>
    <x v="14"/>
  </r>
  <r>
    <s v="WQNOV05"/>
    <s v="B3"/>
    <d v="2005-11-18T00:00:00"/>
    <n v="12.48"/>
    <n v="12.51"/>
    <x v="14"/>
  </r>
  <r>
    <s v="WQDEC05"/>
    <s v="B3"/>
    <d v="2005-12-12T00:00:00"/>
    <n v="6.53"/>
    <n v="7.25"/>
    <x v="14"/>
  </r>
  <r>
    <s v="WQMAR06"/>
    <s v="B3"/>
    <d v="2006-03-06T00:00:00"/>
    <n v="1.81"/>
    <n v="2.0099999999999998"/>
    <x v="15"/>
  </r>
  <r>
    <s v="WQMAY06"/>
    <s v="B3"/>
    <d v="2006-05-03T00:00:00"/>
    <n v="10.98"/>
    <n v="10.75"/>
    <x v="15"/>
  </r>
  <r>
    <s v="WQJUN06"/>
    <s v="B3"/>
    <d v="2006-06-08T00:00:00"/>
    <n v="16.940000000000001"/>
    <n v="16.600000000000001"/>
    <x v="15"/>
  </r>
  <r>
    <s v="HYJUN06"/>
    <s v="B3"/>
    <d v="2006-06-23T00:00:00"/>
    <n v="18.88"/>
    <n v="14.75"/>
    <x v="15"/>
  </r>
  <r>
    <s v="WQJUL06"/>
    <s v="B3"/>
    <d v="2006-07-10T00:00:00"/>
    <n v="20.059999999999999"/>
    <n v="15.58"/>
    <x v="15"/>
  </r>
  <r>
    <s v="HYJUL06"/>
    <s v="B3"/>
    <d v="2006-07-18T00:00:00"/>
    <n v="21.46"/>
    <n v="16.84"/>
    <x v="15"/>
  </r>
  <r>
    <s v="WQAUG06"/>
    <s v="B3"/>
    <d v="2006-08-02T00:00:00"/>
    <n v="22.78"/>
    <n v="18.399999999999999"/>
    <x v="15"/>
  </r>
  <r>
    <s v="HYAUG06"/>
    <s v="B3"/>
    <d v="2006-08-17T00:00:00"/>
    <n v="23.34"/>
    <n v="21.1"/>
    <x v="15"/>
  </r>
  <r>
    <s v="WQSEP06"/>
    <s v="B3"/>
    <d v="2006-08-31T00:00:00"/>
    <n v="21.68"/>
    <n v="21.66"/>
    <x v="15"/>
  </r>
  <r>
    <s v="WQOCT06"/>
    <s v="B3"/>
    <d v="2006-10-16T00:00:00"/>
    <m/>
    <m/>
    <x v="15"/>
  </r>
  <r>
    <s v="WQNOV06"/>
    <s v="B3"/>
    <d v="2006-11-09T00:00:00"/>
    <n v="13.05"/>
    <n v="13.18"/>
    <x v="15"/>
  </r>
  <r>
    <s v="WQDEC06"/>
    <s v="B3"/>
    <d v="2006-12-14T00:00:00"/>
    <n v="7.85"/>
    <n v="9.2200000000000006"/>
    <x v="15"/>
  </r>
  <r>
    <s v="WQJAN07"/>
    <s v="B3"/>
    <d v="2007-01-19T00:00:00"/>
    <n v="5.28"/>
    <n v="5.81"/>
    <x v="16"/>
  </r>
  <r>
    <s v="WQFEB07"/>
    <s v="B3"/>
    <d v="2007-02-07T00:00:00"/>
    <n v="1.43"/>
    <n v="2.29"/>
    <x v="16"/>
  </r>
  <r>
    <s v="WQMAR07"/>
    <s v="B3"/>
    <d v="2007-03-12T00:00:00"/>
    <n v="0.82"/>
    <n v="1.01"/>
    <x v="16"/>
  </r>
  <r>
    <s v="CHMAR07"/>
    <s v="B3"/>
    <d v="2007-03-19T00:00:00"/>
    <n v="1.4"/>
    <n v="1.29"/>
    <x v="16"/>
  </r>
  <r>
    <s v="WQAPR07"/>
    <s v="B3"/>
    <d v="2007-04-03T00:00:00"/>
    <n v="5.14"/>
    <n v="3.36"/>
    <x v="16"/>
  </r>
  <r>
    <s v="WQMAY07"/>
    <s v="B3"/>
    <d v="2007-05-08T00:00:00"/>
    <n v="12.72"/>
    <n v="7.45"/>
    <x v="16"/>
  </r>
  <r>
    <s v="WQJUN07"/>
    <s v="B3"/>
    <d v="2007-06-06T00:00:00"/>
    <n v="15.53"/>
    <n v="13.25"/>
    <x v="16"/>
  </r>
  <r>
    <s v="HYJUN07"/>
    <s v="B3"/>
    <d v="2007-06-21T00:00:00"/>
    <n v="17.91"/>
    <n v="13.48"/>
    <x v="16"/>
  </r>
  <r>
    <s v="WQJUL07"/>
    <s v="B3"/>
    <d v="2007-07-10T00:00:00"/>
    <m/>
    <n v="15.06"/>
    <x v="16"/>
  </r>
  <r>
    <s v="HYJUL07"/>
    <s v="B3"/>
    <d v="2007-07-24T00:00:00"/>
    <n v="20.52"/>
    <n v="18.82"/>
    <x v="16"/>
  </r>
  <r>
    <s v="WQAUG07"/>
    <s v="B3"/>
    <d v="2007-08-01T00:00:00"/>
    <n v="22.88"/>
    <n v="18.98"/>
    <x v="16"/>
  </r>
  <r>
    <s v="HYAUG07"/>
    <s v="B3"/>
    <d v="2007-08-14T00:00:00"/>
    <n v="23.38"/>
    <n v="21.63"/>
    <x v="16"/>
  </r>
  <r>
    <s v="WQSEP07"/>
    <s v="B3"/>
    <d v="2007-08-29T00:00:00"/>
    <n v="22.76"/>
    <n v="21.23"/>
    <x v="16"/>
  </r>
  <r>
    <s v="HYSEP07"/>
    <s v="B3"/>
    <d v="2007-09-10T00:00:00"/>
    <n v="23.14"/>
    <n v="21.75"/>
    <x v="16"/>
  </r>
  <r>
    <s v="WQOCT07"/>
    <s v="B3"/>
    <d v="2007-10-03T00:00:00"/>
    <n v="21.05"/>
    <n v="21.08"/>
    <x v="16"/>
  </r>
  <r>
    <s v="WQNOV07"/>
    <s v="B3"/>
    <d v="2007-11-14T00:00:00"/>
    <n v="12.57"/>
    <n v="13.18"/>
    <x v="16"/>
  </r>
  <r>
    <s v="WQDEC07"/>
    <s v="B3"/>
    <d v="2007-12-06T00:00:00"/>
    <n v="6.94"/>
    <n v="8.7200000000000006"/>
    <x v="16"/>
  </r>
  <r>
    <s v="WQJAN08"/>
    <s v="B3"/>
    <d v="2008-01-10T00:00:00"/>
    <n v="4.4800000000000004"/>
    <n v="4.42"/>
    <x v="17"/>
  </r>
  <r>
    <s v="WQFEB08"/>
    <s v="B3"/>
    <d v="2008-02-06T00:00:00"/>
    <n v="3.26"/>
    <n v="2.94"/>
    <x v="17"/>
  </r>
  <r>
    <s v="CHFEB08"/>
    <s v="B3"/>
    <d v="2008-02-22T00:00:00"/>
    <n v="2.54"/>
    <n v="2.64"/>
    <x v="17"/>
  </r>
  <r>
    <s v="WQMAR08"/>
    <s v="B3"/>
    <d v="2008-03-03T00:00:00"/>
    <n v="2.6"/>
    <n v="2.4700000000000002"/>
    <x v="17"/>
  </r>
  <r>
    <s v="CHMAR08"/>
    <s v="B3"/>
    <d v="2008-03-18T00:00:00"/>
    <n v="4.4400000000000004"/>
    <n v="4.32"/>
    <x v="17"/>
  </r>
  <r>
    <s v="WQAPR08"/>
    <s v="B3"/>
    <d v="2008-04-08T00:00:00"/>
    <n v="5.9"/>
    <n v="5.71"/>
    <x v="17"/>
  </r>
  <r>
    <s v="WQMAY08"/>
    <s v="B3"/>
    <d v="2008-05-07T00:00:00"/>
    <n v="12.76"/>
    <n v="11.29"/>
    <x v="17"/>
  </r>
  <r>
    <s v="WQJUN08"/>
    <s v="B3"/>
    <d v="2008-06-03T00:00:00"/>
    <n v="15.3"/>
    <n v="11.72"/>
    <x v="17"/>
  </r>
  <r>
    <s v="HYJUN08"/>
    <s v="B3"/>
    <d v="2008-06-17T00:00:00"/>
    <n v="19.739999999999998"/>
    <n v="14.38"/>
    <x v="17"/>
  </r>
  <r>
    <s v="WQJUL08"/>
    <s v="B3"/>
    <d v="2008-07-03T00:00:00"/>
    <n v="19.2"/>
    <n v="14.59"/>
    <x v="17"/>
  </r>
  <r>
    <s v="HYJUL08"/>
    <s v="B3"/>
    <d v="2008-07-22T00:00:00"/>
    <n v="22.06"/>
    <n v="16.84"/>
    <x v="17"/>
  </r>
  <r>
    <s v="WQAUG08"/>
    <s v="B3"/>
    <d v="2008-08-05T00:00:00"/>
    <n v="22.87"/>
    <n v="19.88"/>
    <x v="17"/>
  </r>
  <r>
    <s v="HYAUG08"/>
    <s v="B3"/>
    <d v="2008-08-20T00:00:00"/>
    <n v="22.14"/>
    <n v="20.75"/>
    <x v="17"/>
  </r>
  <r>
    <s v="WQSEP08"/>
    <s v="B3"/>
    <d v="2008-09-03T00:00:00"/>
    <n v="22.96"/>
    <n v="22.04"/>
    <x v="17"/>
  </r>
  <r>
    <s v="HYSEP08"/>
    <s v="B3"/>
    <d v="2008-09-16T00:00:00"/>
    <n v="22.29"/>
    <n v="21.95"/>
    <x v="17"/>
  </r>
  <r>
    <s v="WQOCT08"/>
    <s v="B3"/>
    <d v="2008-10-07T00:00:00"/>
    <n v="18.73"/>
    <n v="18.72"/>
    <x v="17"/>
  </r>
  <r>
    <s v="WQNOV08"/>
    <s v="B3"/>
    <d v="2008-11-07T00:00:00"/>
    <n v="13.82"/>
    <n v="13.91"/>
    <x v="17"/>
  </r>
  <r>
    <s v="WQDEC08"/>
    <s v="B3"/>
    <d v="2008-12-17T00:00:00"/>
    <n v="6.33"/>
    <n v="6.72"/>
    <x v="17"/>
  </r>
  <r>
    <s v="WQJAN09"/>
    <s v="B3"/>
    <d v="2009-01-12T00:00:00"/>
    <n v="2.4300000000000002"/>
    <n v="2.54"/>
    <x v="18"/>
  </r>
  <r>
    <s v="WQFEB09"/>
    <s v="B3"/>
    <d v="2009-02-04T00:00:00"/>
    <n v="0.34"/>
    <n v="0.44"/>
    <x v="18"/>
  </r>
  <r>
    <s v="CHFEB09"/>
    <s v="B3"/>
    <d v="2009-02-17T00:00:00"/>
    <n v="1.43"/>
    <n v="1.24"/>
    <x v="18"/>
  </r>
  <r>
    <s v="WQMAR09"/>
    <s v="B3"/>
    <d v="2009-03-05T00:00:00"/>
    <n v="0.99"/>
    <n v="1.1000000000000001"/>
    <x v="18"/>
  </r>
  <r>
    <s v="CHMAR09"/>
    <s v="B3"/>
    <d v="2009-03-16T00:00:00"/>
    <n v="3.14"/>
    <n v="2.58"/>
    <x v="18"/>
  </r>
  <r>
    <s v="WQAPR09"/>
    <s v="B3"/>
    <d v="2009-04-01T00:00:00"/>
    <n v="5.49"/>
    <n v="4.54"/>
    <x v="18"/>
  </r>
  <r>
    <s v="WQMAY09"/>
    <s v="B3"/>
    <d v="2009-05-04T00:00:00"/>
    <n v="11.21"/>
    <n v="8.59"/>
    <x v="18"/>
  </r>
  <r>
    <s v="WQJUN09"/>
    <s v="B3"/>
    <d v="2009-06-09T00:00:00"/>
    <n v="17.02"/>
    <n v="14.25"/>
    <x v="18"/>
  </r>
  <r>
    <s v="HYJUN09"/>
    <s v="B3"/>
    <d v="2009-06-23T00:00:00"/>
    <n v="18.23"/>
    <n v="18.12"/>
    <x v="18"/>
  </r>
  <r>
    <s v="WQJUL09"/>
    <s v="B3"/>
    <d v="2009-07-08T00:00:00"/>
    <n v="20.76"/>
    <n v="15.28"/>
    <x v="18"/>
  </r>
  <r>
    <s v="HYJUL09"/>
    <s v="B3"/>
    <d v="2009-07-22T00:00:00"/>
    <n v="20.09"/>
    <n v="18.04"/>
    <x v="18"/>
  </r>
  <r>
    <s v="WQAUG09"/>
    <s v="B3"/>
    <d v="2009-08-05T00:00:00"/>
    <n v="23.19"/>
    <n v="18.22"/>
    <x v="18"/>
  </r>
  <r>
    <s v="HYAUG09"/>
    <s v="B3"/>
    <d v="2009-08-18T00:00:00"/>
    <n v="22.38"/>
    <n v="20.239999999999998"/>
    <x v="18"/>
  </r>
  <r>
    <s v="WQSEP09"/>
    <s v="B3"/>
    <d v="2009-09-02T00:00:00"/>
    <n v="22.29"/>
    <n v="21.93"/>
    <x v="18"/>
  </r>
  <r>
    <s v="WQOCT09"/>
    <s v="B3"/>
    <d v="2009-10-06T00:00:00"/>
    <n v="18.48"/>
    <n v="18.68"/>
    <x v="18"/>
  </r>
  <r>
    <s v="WQNOV09"/>
    <s v="B3"/>
    <d v="2009-11-04T00:00:00"/>
    <n v="13.72"/>
    <n v="13.7"/>
    <x v="18"/>
  </r>
  <r>
    <s v="WQDEC09"/>
    <s v="B3"/>
    <d v="2009-12-02T00:00:00"/>
    <n v="10.15"/>
    <n v="10.68"/>
    <x v="18"/>
  </r>
  <r>
    <s v="WQJAN10"/>
    <s v="B3"/>
    <d v="2010-01-12T00:00:00"/>
    <n v="1.61"/>
    <n v="2.21"/>
    <x v="19"/>
  </r>
  <r>
    <s v="WQFEB10"/>
    <s v="B3"/>
    <d v="2010-02-08T00:00:00"/>
    <n v="0.96"/>
    <n v="0.9"/>
    <x v="19"/>
  </r>
  <r>
    <s v="WQMAR10"/>
    <s v="B3"/>
    <d v="2010-03-02T00:00:00"/>
    <n v="1.9"/>
    <n v="1.89"/>
    <x v="19"/>
  </r>
  <r>
    <s v="CHMAR10"/>
    <s v="B3"/>
    <d v="2010-03-17T00:00:00"/>
    <n v="4.8099999999999996"/>
    <n v="4.08"/>
    <x v="19"/>
  </r>
  <r>
    <s v="WQAPR10"/>
    <s v="B3"/>
    <d v="2010-03-31T00:00:00"/>
    <n v="6.07"/>
    <n v="6.21"/>
    <x v="19"/>
  </r>
  <r>
    <s v="WQMAY10"/>
    <s v="B3"/>
    <d v="2010-05-04T00:00:00"/>
    <n v="12.04"/>
    <n v="8.51"/>
    <x v="19"/>
  </r>
  <r>
    <s v="WQJUN10"/>
    <s v="B3"/>
    <d v="2010-05-27T00:00:00"/>
    <n v="15.69"/>
    <n v="12.95"/>
    <x v="19"/>
  </r>
  <r>
    <s v="HYJUN10"/>
    <s v="B3"/>
    <d v="2010-06-18T00:00:00"/>
    <n v="17.149999999999999"/>
    <n v="13.71"/>
    <x v="19"/>
  </r>
  <r>
    <s v="WQJUL10"/>
    <s v="B3"/>
    <d v="2010-07-08T00:00:00"/>
    <n v="20.309999999999999"/>
    <n v="16.260000000000002"/>
    <x v="19"/>
  </r>
  <r>
    <s v="HYJUL10"/>
    <s v="B3"/>
    <d v="2010-07-23T00:00:00"/>
    <n v="22.9"/>
    <n v="18.600000000000001"/>
    <x v="19"/>
  </r>
  <r>
    <s v="WQAUG10"/>
    <s v="B3"/>
    <d v="2010-08-03T00:00:00"/>
    <n v="23.2"/>
    <n v="19.940000000000001"/>
    <x v="19"/>
  </r>
  <r>
    <s v="HYAUG10"/>
    <s v="B3"/>
    <d v="2010-08-17T00:00:00"/>
    <n v="23.38"/>
    <n v="22.47"/>
    <x v="19"/>
  </r>
  <r>
    <s v="WQSEP10"/>
    <s v="B3"/>
    <d v="2010-08-31T00:00:00"/>
    <n v="24.14"/>
    <n v="22.46"/>
    <x v="19"/>
  </r>
  <r>
    <s v="WQOCT10"/>
    <s v="B3"/>
    <d v="2010-10-12T00:00:00"/>
    <n v="18.29"/>
    <n v="18.82"/>
    <x v="19"/>
  </r>
  <r>
    <s v="WQNOV10"/>
    <s v="B3"/>
    <d v="2010-11-01T00:00:00"/>
    <n v="14.9"/>
    <n v="15.24"/>
    <x v="19"/>
  </r>
  <r>
    <s v="WQDEC10"/>
    <s v="B3"/>
    <d v="2010-12-02T00:00:00"/>
    <n v="9.86"/>
    <n v="10.039999999999999"/>
    <x v="19"/>
  </r>
  <r>
    <s v="WQJAN11"/>
    <s v="B3"/>
    <d v="2011-01-14T00:00:00"/>
    <n v="1.04"/>
    <n v="1.67"/>
    <x v="20"/>
  </r>
  <r>
    <s v="WQFEB11"/>
    <s v="B3"/>
    <d v="2011-02-10T00:00:00"/>
    <n v="0.26"/>
    <n v="0.24"/>
    <x v="20"/>
  </r>
  <r>
    <s v="CHFEB11"/>
    <s v="B3"/>
    <d v="2011-02-17T00:00:00"/>
    <n v="0.9"/>
    <n v="0.72"/>
    <x v="20"/>
  </r>
  <r>
    <s v="WQMAR11"/>
    <s v="B3"/>
    <d v="2011-03-08T00:00:00"/>
    <n v="3.28"/>
    <n v="2.67"/>
    <x v="20"/>
  </r>
  <r>
    <s v="WQAPR11"/>
    <s v="B3"/>
    <d v="2011-04-14T00:00:00"/>
    <n v="6.84"/>
    <n v="5.66"/>
    <x v="20"/>
  </r>
  <r>
    <s v="WQMAY11"/>
    <s v="B3"/>
    <d v="2011-05-03T00:00:00"/>
    <n v="11.71"/>
    <n v="7.4"/>
    <x v="20"/>
  </r>
  <r>
    <s v="WQJUN11"/>
    <s v="B3"/>
    <d v="2011-06-01T00:00:00"/>
    <n v="18.86"/>
    <n v="11.58"/>
    <x v="20"/>
  </r>
  <r>
    <s v="HYJUN11"/>
    <s v="B3"/>
    <d v="2011-06-16T00:00:00"/>
    <n v="17.829999999999998"/>
    <n v="16.989999999999998"/>
    <x v="20"/>
  </r>
  <r>
    <s v="WQJUL11"/>
    <s v="B3"/>
    <d v="2011-07-06T00:00:00"/>
    <n v="19.440000000000001"/>
    <n v="15.61"/>
    <x v="20"/>
  </r>
  <r>
    <s v="HYJUL11"/>
    <s v="B3"/>
    <d v="2011-07-18T00:00:00"/>
    <n v="21.02"/>
    <n v="17.420000000000002"/>
    <x v="20"/>
  </r>
  <r>
    <s v="WQAUG11"/>
    <s v="B3"/>
    <d v="2011-08-03T00:00:00"/>
    <n v="23.81"/>
    <n v="19.100000000000001"/>
    <x v="20"/>
  </r>
  <r>
    <s v="HYAUG11"/>
    <s v="B3"/>
    <d v="2011-08-15T00:00:00"/>
    <n v="22.64"/>
    <n v="20.98"/>
    <x v="20"/>
  </r>
  <r>
    <s v="WQSEP11"/>
    <s v="B3"/>
    <d v="2011-08-31T00:00:00"/>
    <m/>
    <m/>
    <x v="20"/>
  </r>
  <r>
    <s v="WQOCT11"/>
    <s v="B3"/>
    <d v="2011-10-06T00:00:00"/>
    <n v="19.75"/>
    <n v="20.11"/>
    <x v="20"/>
  </r>
  <r>
    <s v="WQNOV11"/>
    <s v="B3"/>
    <d v="2011-11-09T00:00:00"/>
    <n v="13.4"/>
    <n v="13.92"/>
    <x v="20"/>
  </r>
  <r>
    <s v="WQDEC11"/>
    <s v="B3"/>
    <d v="2011-11-29T00:00:00"/>
    <n v="11.57"/>
    <n v="11.86"/>
    <x v="20"/>
  </r>
  <r>
    <s v="WQJAN12"/>
    <s v="B3"/>
    <d v="2012-01-09T00:00:00"/>
    <n v="5.73"/>
    <n v="6.6"/>
    <x v="21"/>
  </r>
  <r>
    <s v="WQFEB12"/>
    <s v="B3"/>
    <d v="2012-02-02T00:00:00"/>
    <n v="4.1900000000000004"/>
    <n v="4.4800000000000004"/>
    <x v="21"/>
  </r>
  <r>
    <s v="CHFEB12"/>
    <s v="B3"/>
    <d v="2012-02-16T00:00:00"/>
    <n v="3.82"/>
    <n v="4.1900000000000004"/>
    <x v="21"/>
  </r>
  <r>
    <s v="WQMAR12"/>
    <s v="B3"/>
    <d v="2012-03-05T00:00:00"/>
    <n v="4.76"/>
    <n v="4.54"/>
    <x v="21"/>
  </r>
  <r>
    <s v="CHMAR12"/>
    <s v="B3"/>
    <d v="2012-03-15T00:00:00"/>
    <n v="6.45"/>
    <n v="5.25"/>
    <x v="21"/>
  </r>
  <r>
    <s v="WQAPR12"/>
    <s v="B3"/>
    <d v="2012-04-05T00:00:00"/>
    <n v="8.5500000000000007"/>
    <n v="8.16"/>
    <x v="21"/>
  </r>
  <r>
    <s v="WQMAY12"/>
    <s v="B3"/>
    <d v="2012-05-02T00:00:00"/>
    <n v="11.42"/>
    <n v="10.119999999999999"/>
    <x v="21"/>
  </r>
  <r>
    <s v="WQJUN12"/>
    <s v="B3"/>
    <d v="2012-05-30T00:00:00"/>
    <n v="19.170000000000002"/>
    <n v="14.35"/>
    <x v="21"/>
  </r>
  <r>
    <s v="HYJUN12"/>
    <s v="B3"/>
    <d v="2012-06-12T00:00:00"/>
    <n v="18.8"/>
    <n v="16.02"/>
    <x v="21"/>
  </r>
  <r>
    <s v="WQJUL12"/>
    <s v="B3"/>
    <d v="2012-06-27T00:00:00"/>
    <n v="20.11"/>
    <n v="17.2"/>
    <x v="21"/>
  </r>
  <r>
    <s v="HYJUL12"/>
    <s v="B3"/>
    <d v="2012-07-16T00:00:00"/>
    <n v="22.98"/>
    <n v="18.579999999999998"/>
    <x v="21"/>
  </r>
  <r>
    <s v="WQAUG12"/>
    <s v="B3"/>
    <d v="2012-08-01T00:00:00"/>
    <n v="23.62"/>
    <n v="21.59"/>
    <x v="21"/>
  </r>
  <r>
    <s v="HYAUG12"/>
    <s v="B3"/>
    <d v="2012-08-16T00:00:00"/>
    <n v="24.42"/>
    <n v="21.85"/>
    <x v="21"/>
  </r>
  <r>
    <s v="WQSEP12"/>
    <s v="B3"/>
    <d v="2012-08-29T00:00:00"/>
    <n v="24.07"/>
    <n v="23.83"/>
    <x v="21"/>
  </r>
  <r>
    <s v="HYSEP12"/>
    <s v="B3"/>
    <d v="2012-09-17T00:00:00"/>
    <n v="23.17"/>
    <n v="22.82"/>
    <x v="21"/>
  </r>
  <r>
    <s v="WQOCT12"/>
    <s v="B3"/>
    <d v="2012-10-03T00:00:00"/>
    <n v="20.43"/>
    <n v="20.63"/>
    <x v="21"/>
  </r>
  <r>
    <s v="WQNOV12"/>
    <s v="B3"/>
    <d v="2012-11-14T00:00:00"/>
    <n v="11.21"/>
    <n v="11.62"/>
    <x v="21"/>
  </r>
  <r>
    <s v="WQDEC12"/>
    <s v="B3"/>
    <d v="2012-12-04T00:00:00"/>
    <n v="8.0399999999999991"/>
    <n v="8.5500000000000007"/>
    <x v="21"/>
  </r>
  <r>
    <s v="WQJAN13"/>
    <s v="B3"/>
    <d v="2013-01-10T00:00:00"/>
    <n v="4.62"/>
    <n v="4.68"/>
    <x v="22"/>
  </r>
  <r>
    <s v="WQFEB13"/>
    <s v="B3"/>
    <d v="2013-01-30T00:00:00"/>
    <n v="2.4"/>
    <n v="2.87"/>
    <x v="22"/>
  </r>
  <r>
    <s v="CHFEB13"/>
    <s v="B3"/>
    <d v="2013-02-14T00:00:00"/>
    <n v="1.87"/>
    <n v="1.92"/>
    <x v="22"/>
  </r>
  <r>
    <s v="WQMAR13"/>
    <s v="B3"/>
    <d v="2013-03-11T00:00:00"/>
    <n v="3.11"/>
    <n v="2.79"/>
    <x v="22"/>
  </r>
  <r>
    <s v="WQAPR13"/>
    <s v="B3"/>
    <d v="2013-04-04T00:00:00"/>
    <n v="5.0999999999999996"/>
    <n v="4.21"/>
    <x v="22"/>
  </r>
  <r>
    <s v="WQMAY13"/>
    <s v="B3"/>
    <d v="2013-05-01T00:00:00"/>
    <n v="10.84"/>
    <n v="8.9700000000000006"/>
    <x v="22"/>
  </r>
  <r>
    <s v="WQJUN13"/>
    <s v="B3"/>
    <d v="2013-06-05T00:00:00"/>
    <n v="17.149999999999999"/>
    <n v="12.53"/>
    <x v="22"/>
  </r>
  <r>
    <s v="HYJUN13"/>
    <s v="B3"/>
    <d v="2013-06-21T00:00:00"/>
    <n v="19.93"/>
    <n v="16.079999999999998"/>
    <x v="22"/>
  </r>
  <r>
    <s v="WQJUL13"/>
    <s v="B3"/>
    <d v="2013-07-02T00:00:00"/>
    <n v="21.23"/>
    <n v="16.440000000000001"/>
    <x v="22"/>
  </r>
  <r>
    <s v="HYJUL13"/>
    <s v="B3"/>
    <d v="2013-07-15T00:00:00"/>
    <n v="23"/>
    <n v="19.14"/>
    <x v="22"/>
  </r>
  <r>
    <s v="WQAUG13"/>
    <s v="B3"/>
    <d v="2013-07-31T00:00:00"/>
    <n v="23.22"/>
    <n v="20.94"/>
    <x v="22"/>
  </r>
  <r>
    <s v="HYAUG13"/>
    <s v="B3"/>
    <d v="2013-08-12T00:00:00"/>
    <n v="22.64"/>
    <n v="20.75"/>
    <x v="22"/>
  </r>
  <r>
    <s v="WQSEP13"/>
    <s v="B3"/>
    <d v="2013-08-28T00:00:00"/>
    <n v="23.42"/>
    <n v="21.85"/>
    <x v="22"/>
  </r>
  <r>
    <s v="HYSEP13"/>
    <s v="B3"/>
    <d v="2013-09-09T00:00:00"/>
    <n v="22.06"/>
    <n v="22.13"/>
    <x v="22"/>
  </r>
  <r>
    <s v="WQOCT13"/>
    <s v="B3"/>
    <d v="2013-10-02T00:00:00"/>
    <n v="20.45"/>
    <n v="20.09"/>
    <x v="22"/>
  </r>
  <r>
    <s v="WQNOV13"/>
    <s v="B3"/>
    <d v="2013-11-05T00:00:00"/>
    <n v="14.32"/>
    <n v="14.3"/>
    <x v="22"/>
  </r>
  <r>
    <s v="WQDEC13"/>
    <s v="B3"/>
    <d v="2013-12-03T00:00:00"/>
    <n v="8.17"/>
    <n v="8.6199999999999992"/>
    <x v="22"/>
  </r>
  <r>
    <s v="WQJAN14"/>
    <s v="B3"/>
    <d v="2014-01-09T00:00:00"/>
    <n v="0.95"/>
    <n v="1.7"/>
    <x v="23"/>
  </r>
  <r>
    <s v="WQFEB14"/>
    <s v="B3"/>
    <d v="2014-02-06T00:00:00"/>
    <n v="0.13"/>
    <n v="0.14000000000000001"/>
    <x v="23"/>
  </r>
  <r>
    <s v="CHFEB14"/>
    <s v="B3"/>
    <d v="2014-02-20T00:00:00"/>
    <n v="-0.25"/>
    <n v="-0.17"/>
    <x v="23"/>
  </r>
  <r>
    <s v="WQMAR14"/>
    <s v="B3"/>
    <d v="2014-03-05T00:00:00"/>
    <n v="-0.12"/>
    <n v="0.02"/>
    <x v="23"/>
  </r>
  <r>
    <s v="WQAPR14"/>
    <s v="B3"/>
    <d v="2014-04-02T00:00:00"/>
    <n v="3.35"/>
    <n v="2.74"/>
    <x v="23"/>
  </r>
  <r>
    <s v="WQMAY14"/>
    <s v="B3"/>
    <d v="2014-05-07T00:00:00"/>
    <n v="10.07"/>
    <n v="7.76"/>
    <x v="23"/>
  </r>
  <r>
    <s v="WQJUN14"/>
    <s v="B3"/>
    <d v="2014-06-03T00:00:00"/>
    <n v="16.2"/>
    <n v="12.77"/>
    <x v="23"/>
  </r>
  <r>
    <s v="HYJUN14"/>
    <s v="B3"/>
    <d v="2014-06-19T00:00:00"/>
    <n v="19.47"/>
    <n v="15.65"/>
    <x v="23"/>
  </r>
  <r>
    <s v="WQJUL14"/>
    <s v="B3"/>
    <d v="2014-07-02T00:00:00"/>
    <n v="20.87"/>
    <n v="14.95"/>
    <x v="23"/>
  </r>
  <r>
    <s v="HYJUL14"/>
    <s v="B3"/>
    <d v="2014-07-14T00:00:00"/>
    <n v="20.37"/>
    <n v="17.149999999999999"/>
    <x v="23"/>
  </r>
  <r>
    <s v="WQAUG14"/>
    <s v="B3"/>
    <d v="2014-08-06T00:00:00"/>
    <n v="23.25"/>
    <n v="20.55"/>
    <x v="23"/>
  </r>
  <r>
    <s v="HYAUG14"/>
    <s v="B3"/>
    <d v="2014-08-19T00:00:00"/>
    <n v="22.75"/>
    <n v="21.78"/>
    <x v="23"/>
  </r>
  <r>
    <s v="WQSEP14"/>
    <s v="B3"/>
    <d v="2014-09-02T00:00:00"/>
    <n v="24.97"/>
    <n v="22.48"/>
    <x v="23"/>
  </r>
  <r>
    <s v="HYSEP14"/>
    <s v="B3"/>
    <d v="2014-09-16T00:00:00"/>
    <n v="21.77"/>
    <n v="21.74"/>
    <x v="23"/>
  </r>
  <r>
    <s v="WQOCT14"/>
    <s v="B3"/>
    <d v="2014-10-01T00:00:00"/>
    <n v="20.36"/>
    <n v="20.38"/>
    <x v="23"/>
  </r>
  <r>
    <s v="WQNOV14"/>
    <s v="B3"/>
    <d v="2014-11-10T00:00:00"/>
    <n v="12.72"/>
    <n v="13.1"/>
    <x v="23"/>
  </r>
  <r>
    <s v="WQDEC14"/>
    <s v="B3"/>
    <d v="2014-12-10T00:00:00"/>
    <n v="6.81"/>
    <n v="6.91"/>
    <x v="23"/>
  </r>
  <r>
    <s v="WQJAN15"/>
    <s v="B3"/>
    <d v="2015-01-14T00:00:00"/>
    <n v="2.11"/>
    <n v="2.57"/>
    <x v="24"/>
  </r>
  <r>
    <s v="WQFEB15"/>
    <s v="B3"/>
    <d v="2015-02-10T00:00:00"/>
    <n v="-0.28000000000000003"/>
    <n v="-0.17"/>
    <x v="24"/>
  </r>
  <r>
    <s v="WQMAR15"/>
    <s v="B3"/>
    <d v="2015-03-10T00:00:00"/>
    <n v="-0.6"/>
    <n v="-0.61"/>
    <x v="24"/>
  </r>
  <r>
    <s v="CHMAR15"/>
    <s v="B3"/>
    <d v="2015-03-19T00:00:00"/>
    <n v="0.39"/>
    <n v="0.25"/>
    <x v="24"/>
  </r>
  <r>
    <s v="WQAPR15"/>
    <s v="B3"/>
    <d v="2015-04-01T00:00:00"/>
    <n v="1.86"/>
    <n v="1.31"/>
    <x v="24"/>
  </r>
  <r>
    <s v="WQMAY15"/>
    <s v="B3"/>
    <d v="2015-05-01T00:00:00"/>
    <n v="8.66"/>
    <n v="6.74"/>
    <x v="24"/>
  </r>
  <r>
    <s v="WQJUN15"/>
    <s v="B3"/>
    <d v="2015-05-29T00:00:00"/>
    <n v="16.25"/>
    <n v="9.82"/>
    <x v="24"/>
  </r>
  <r>
    <s v="WQJUL15"/>
    <s v="B3"/>
    <d v="2015-07-07T00:00:00"/>
    <n v="22"/>
    <n v="17.46"/>
    <x v="24"/>
  </r>
  <r>
    <s v="HYJUL15"/>
    <s v="B3"/>
    <d v="2015-07-20T00:00:00"/>
    <n v="22.34"/>
    <n v="19.350000000000001"/>
    <x v="24"/>
  </r>
  <r>
    <s v="WQAUG15"/>
    <s v="B3"/>
    <d v="2015-08-04T00:00:00"/>
    <n v="21.7"/>
    <n v="19.46"/>
    <x v="24"/>
  </r>
  <r>
    <s v="HYAUG15"/>
    <s v="B3"/>
    <d v="2015-08-17T00:00:00"/>
    <n v="24"/>
    <n v="21.17"/>
    <x v="24"/>
  </r>
  <r>
    <s v="WQSEP15"/>
    <s v="B3"/>
    <d v="2015-09-01T00:00:00"/>
    <n v="24.59"/>
    <n v="23.03"/>
    <x v="24"/>
  </r>
  <r>
    <s v="HYSEP15"/>
    <s v="B3"/>
    <d v="2015-09-16T00:00:00"/>
    <n v="23.22"/>
    <n v="23.19"/>
    <x v="24"/>
  </r>
  <r>
    <s v="WQOCT15"/>
    <s v="B3"/>
    <d v="2015-10-08T00:00:00"/>
    <n v="18.75"/>
    <n v="18.73"/>
    <x v="24"/>
  </r>
  <r>
    <s v="WQNOV15"/>
    <s v="B3"/>
    <d v="2015-11-09T00:00:00"/>
    <n v="14.75"/>
    <n v="15.01"/>
    <x v="24"/>
  </r>
  <r>
    <s v="WQDEC15"/>
    <s v="B3"/>
    <d v="2015-11-30T00:00:00"/>
    <n v="10.97"/>
    <n v="10.88"/>
    <x v="24"/>
  </r>
  <r>
    <s v="WQJAN16"/>
    <s v="B3"/>
    <d v="2016-01-12T00:00:00"/>
    <n v="5.89"/>
    <n v="6.57"/>
    <x v="25"/>
  </r>
  <r>
    <s v="WQFEB16"/>
    <s v="B3"/>
    <d v="2016-02-01T00:00:00"/>
    <n v="3.24"/>
    <n v="3.82"/>
    <x v="25"/>
  </r>
  <r>
    <s v="CHFEB16"/>
    <s v="B3"/>
    <d v="2016-02-17T00:00:00"/>
    <n v="2.0499999999999998"/>
    <n v="2.08"/>
    <x v="25"/>
  </r>
  <r>
    <s v="WQMAR16"/>
    <s v="B3"/>
    <d v="2016-03-08T00:00:00"/>
    <m/>
    <n v="3.59"/>
    <x v="25"/>
  </r>
  <r>
    <s v="CHMAR16"/>
    <s v="B3"/>
    <d v="2016-03-23T00:00:00"/>
    <n v="6.13"/>
    <n v="5.85"/>
    <x v="25"/>
  </r>
  <r>
    <s v="WQAPR16"/>
    <s v="B3"/>
    <d v="2016-04-04T00:00:00"/>
    <n v="7.62"/>
    <n v="6.6"/>
    <x v="25"/>
  </r>
  <r>
    <s v="WQMAY16"/>
    <s v="B3"/>
    <d v="2016-05-12T00:00:00"/>
    <n v="13.8"/>
    <n v="11.24"/>
    <x v="25"/>
  </r>
  <r>
    <s v="WQJUN16"/>
    <s v="B3"/>
    <d v="2016-06-10T00:00:00"/>
    <n v="16.66"/>
    <n v="14.56"/>
    <x v="25"/>
  </r>
  <r>
    <s v="HYJUN16"/>
    <s v="B3"/>
    <d v="2016-06-20T00:00:00"/>
    <n v="18.87"/>
    <n v="14.69"/>
    <x v="25"/>
  </r>
  <r>
    <s v="WQJUL16"/>
    <s v="B3"/>
    <d v="2016-07-06T00:00:00"/>
    <m/>
    <n v="17.47"/>
    <x v="25"/>
  </r>
  <r>
    <s v="HYJUL16"/>
    <s v="B3"/>
    <d v="2016-07-19T00:00:00"/>
    <n v="22.05"/>
    <m/>
    <x v="25"/>
  </r>
  <r>
    <s v="WQAUG16"/>
    <s v="B3"/>
    <d v="2016-08-03T00:00:00"/>
    <n v="23.1"/>
    <n v="22.25"/>
    <x v="25"/>
  </r>
  <r>
    <s v="HYAUG16"/>
    <s v="B3"/>
    <d v="2016-08-18T00:00:00"/>
    <n v="24.59"/>
    <n v="21.73"/>
    <x v="25"/>
  </r>
  <r>
    <s v="WQSEP16"/>
    <s v="B3"/>
    <d v="2016-08-30T00:00:00"/>
    <n v="25.54"/>
    <n v="23.22"/>
    <x v="25"/>
  </r>
  <r>
    <s v="HYSEP16"/>
    <s v="B3"/>
    <d v="2016-09-13T00:00:00"/>
    <n v="23.98"/>
    <n v="23.69"/>
    <x v="25"/>
  </r>
  <r>
    <s v="WQOCT16"/>
    <s v="B3"/>
    <d v="2016-10-05T00:00:00"/>
    <n v="19.91"/>
    <n v="19.760000000000002"/>
    <x v="25"/>
  </r>
  <r>
    <s v="WQNOV16"/>
    <s v="B3"/>
    <d v="2016-11-09T00:00:00"/>
    <n v="13.99"/>
    <n v="14.34"/>
    <x v="25"/>
  </r>
  <r>
    <s v="WQDEC16"/>
    <s v="B3"/>
    <d v="2016-12-05T00:00:00"/>
    <n v="9.3699999999999992"/>
    <n v="10.16"/>
    <x v="25"/>
  </r>
  <r>
    <s v="WQJAN17"/>
    <s v="B3"/>
    <d v="2017-01-10T00:00:00"/>
    <n v="2.72"/>
    <n v="3.57"/>
    <x v="26"/>
  </r>
  <r>
    <s v="WQFEB17"/>
    <s v="B3"/>
    <d v="2017-02-08T00:00:00"/>
    <n v="3.28"/>
    <n v="3.26"/>
    <x v="26"/>
  </r>
  <r>
    <s v="CHFEB17"/>
    <s v="B3"/>
    <d v="2017-02-21T00:00:00"/>
    <n v="3.17"/>
    <n v="3.44"/>
    <x v="26"/>
  </r>
  <r>
    <s v="WQMAR17"/>
    <s v="B3"/>
    <d v="2017-03-07T00:00:00"/>
    <n v="3.63"/>
    <n v="3.3"/>
    <x v="26"/>
  </r>
  <r>
    <s v="WQAPR17"/>
    <s v="B3"/>
    <d v="2017-04-04T00:00:00"/>
    <n v="5.44"/>
    <n v="4.18"/>
    <x v="26"/>
  </r>
  <r>
    <s v="WQMAY17"/>
    <s v="B3"/>
    <d v="2017-05-03T00:00:00"/>
    <n v="12.06"/>
    <n v="11.86"/>
    <x v="26"/>
  </r>
  <r>
    <s v="WQJUN17"/>
    <s v="B3"/>
    <d v="2017-06-07T00:00:00"/>
    <n v="15.43"/>
    <n v="14.73"/>
    <x v="26"/>
  </r>
  <r>
    <s v="HYJUN17"/>
    <s v="B3"/>
    <d v="2017-06-21T00:00:00"/>
    <n v="19.45"/>
    <n v="14.46"/>
    <x v="26"/>
  </r>
  <r>
    <s v="WQJUL17"/>
    <s v="B3"/>
    <d v="2017-07-06T00:00:00"/>
    <n v="20.25"/>
    <n v="15.69"/>
    <x v="26"/>
  </r>
  <r>
    <s v="HYJUL17"/>
    <s v="B3"/>
    <d v="2017-07-18T00:00:00"/>
    <n v="22.97"/>
    <n v="18.98"/>
    <x v="26"/>
  </r>
  <r>
    <s v="WQAUG17"/>
    <s v="B3"/>
    <d v="2017-08-01T00:00:00"/>
    <n v="23.49"/>
    <n v="21.64"/>
    <x v="26"/>
  </r>
  <r>
    <s v="HYAUG17"/>
    <s v="B3"/>
    <d v="2017-08-15T00:00:00"/>
    <n v="23.48"/>
    <n v="21.27"/>
    <x v="26"/>
  </r>
  <r>
    <s v="WQSEP17"/>
    <s v="B3"/>
    <d v="2017-08-28T00:00:00"/>
    <n v="22.76"/>
    <n v="22.35"/>
    <x v="26"/>
  </r>
  <r>
    <s v="WQOCT17"/>
    <s v="B3"/>
    <d v="2017-10-10T00:00:00"/>
    <n v="21.54"/>
    <n v="21.42"/>
    <x v="26"/>
  </r>
  <r>
    <s v="WQNOV17"/>
    <s v="B3"/>
    <d v="2017-11-13T00:00:00"/>
    <n v="13.48"/>
    <n v="13.86"/>
    <x v="26"/>
  </r>
  <r>
    <s v="WQDEC17"/>
    <s v="B3"/>
    <d v="2017-11-30T00:00:00"/>
    <n v="10.039999999999999"/>
    <n v="10.97"/>
    <x v="26"/>
  </r>
  <r>
    <s v="WQJAN18"/>
    <s v="B3"/>
    <d v="2018-01-11T00:00:00"/>
    <n v="0.18"/>
    <n v="1.4"/>
    <x v="27"/>
  </r>
  <r>
    <s v="WQFEB18"/>
    <s v="B3"/>
    <d v="2018-02-08T00:00:00"/>
    <n v="1.01"/>
    <n v="1.1299999999999999"/>
    <x v="27"/>
  </r>
  <r>
    <s v="CHFEB18"/>
    <s v="B3"/>
    <d v="2018-02-20T00:00:00"/>
    <n v="2.44"/>
    <n v="1.6"/>
    <x v="27"/>
  </r>
  <r>
    <s v="WQMAR18"/>
    <s v="B3"/>
    <d v="2018-03-19T00:00:00"/>
    <n v="3.34"/>
    <n v="3.08"/>
    <x v="27"/>
  </r>
  <r>
    <s v="WQAPR18"/>
    <s v="B3"/>
    <d v="2018-04-10T00:00:00"/>
    <n v="5.23"/>
    <n v="4.99"/>
    <x v="27"/>
  </r>
  <r>
    <s v="WQMAY18"/>
    <s v="B3"/>
    <d v="2018-05-02T00:00:00"/>
    <n v="9.9"/>
    <n v="7.55"/>
    <x v="27"/>
  </r>
  <r>
    <s v="WQJUN18"/>
    <s v="B3"/>
    <d v="2018-06-05T00:00:00"/>
    <n v="16.72"/>
    <n v="15.04"/>
    <x v="27"/>
  </r>
  <r>
    <s v="HYJUN18"/>
    <s v="B3"/>
    <d v="2018-06-12T00:00:00"/>
    <n v="18.14"/>
    <n v="14.21"/>
    <x v="27"/>
  </r>
  <r>
    <s v="WQJUL18"/>
    <s v="B3"/>
    <d v="2018-07-05T00:00:00"/>
    <n v="24.42"/>
    <n v="15.63"/>
    <x v="27"/>
  </r>
  <r>
    <s v="HYJUL18"/>
    <s v="B3"/>
    <d v="2018-07-16T00:00:00"/>
    <n v="20.09"/>
    <n v="16.739999999999998"/>
    <x v="27"/>
  </r>
  <r>
    <s v="WQAUG18"/>
    <s v="B3"/>
    <d v="2018-08-02T00:00:00"/>
    <n v="23.31"/>
    <n v="20.48"/>
    <x v="27"/>
  </r>
  <r>
    <s v="HYAUG18"/>
    <s v="B3"/>
    <d v="2018-08-15T00:00:00"/>
    <n v="24.26"/>
    <n v="23.01"/>
    <x v="27"/>
  </r>
  <r>
    <s v="WQSEP18"/>
    <s v="B3"/>
    <d v="2018-08-27T00:00:00"/>
    <n v="24.17"/>
    <n v="22.81"/>
    <x v="27"/>
  </r>
  <r>
    <s v="HYSEP18"/>
    <s v="B3"/>
    <d v="2018-09-12T00:00:00"/>
    <n v="22.64"/>
    <n v="22.42"/>
    <x v="27"/>
  </r>
  <r>
    <s v="WQOCT18"/>
    <s v="B3"/>
    <d v="2018-10-03T00:00:00"/>
    <n v="21.27"/>
    <n v="21.09"/>
    <x v="27"/>
  </r>
  <r>
    <s v="WQNOV18"/>
    <s v="B3"/>
    <d v="2018-11-06T00:00:00"/>
    <n v="14.21"/>
    <n v="14.3"/>
    <x v="27"/>
  </r>
  <r>
    <s v="WQDEC18"/>
    <s v="B3"/>
    <d v="2018-12-03T00:00:00"/>
    <n v="7.87"/>
    <n v="8.0500000000000007"/>
    <x v="27"/>
  </r>
  <r>
    <s v="WQJAN19"/>
    <s v="B3"/>
    <d v="2019-01-03T00:00:00"/>
    <n v="5.34"/>
    <n v="5.54"/>
    <x v="28"/>
  </r>
  <r>
    <s v="WQFEB19"/>
    <s v="B3"/>
    <d v="2019-02-07T00:00:00"/>
    <n v="1.85"/>
    <n v="1.75"/>
    <x v="28"/>
  </r>
  <r>
    <s v="CHFEB19"/>
    <s v="B3"/>
    <d v="2019-02-21T00:00:00"/>
    <n v="1.75"/>
    <n v="1.64"/>
    <x v="28"/>
  </r>
  <r>
    <s v="WQMAR19"/>
    <s v="B3"/>
    <d v="2019-03-05T00:00:00"/>
    <n v="1.88"/>
    <n v="1.73"/>
    <x v="28"/>
  </r>
  <r>
    <s v="WQAPR19"/>
    <s v="B3"/>
    <d v="2019-04-03T00:00:00"/>
    <n v="5.43"/>
    <n v="4.24"/>
    <x v="28"/>
  </r>
  <r>
    <s v="WQMAY19"/>
    <s v="B3"/>
    <d v="2019-05-07T00:00:00"/>
    <n v="12.27"/>
    <n v="10.87"/>
    <x v="28"/>
  </r>
  <r>
    <s v="WQJUN19"/>
    <s v="B3"/>
    <d v="2019-05-30T00:00:00"/>
    <n v="15.31"/>
    <n v="11.28"/>
    <x v="28"/>
  </r>
  <r>
    <s v="HYJUN19"/>
    <s v="B3"/>
    <d v="2019-06-12T00:00:00"/>
    <n v="16.95"/>
    <n v="16.48"/>
    <x v="28"/>
  </r>
  <r>
    <s v="WQJUL19"/>
    <s v="B3"/>
    <d v="2019-07-02T00:00:00"/>
    <n v="19.29"/>
    <n v="14.54"/>
    <x v="28"/>
  </r>
  <r>
    <s v="HYJUL19"/>
    <s v="B3"/>
    <d v="2019-07-15T00:00:00"/>
    <n v="20.77"/>
    <n v="17.25"/>
    <x v="28"/>
  </r>
  <r>
    <s v="WQAUG19"/>
    <s v="B3"/>
    <d v="2019-07-30T00:00:00"/>
    <n v="23.22"/>
    <n v="18.260000000000002"/>
    <x v="28"/>
  </r>
  <r>
    <s v="HYAUG19"/>
    <s v="B3"/>
    <d v="2019-08-12T00:00:00"/>
    <n v="23.34"/>
    <n v="20.25"/>
    <x v="28"/>
  </r>
  <r>
    <s v="WQSEP19"/>
    <s v="B3"/>
    <d v="2019-08-28T00:00:00"/>
    <n v="22.69"/>
    <n v="22.29"/>
    <x v="28"/>
  </r>
  <r>
    <s v="HYSEP19"/>
    <s v="B3"/>
    <d v="2019-09-10T00:00:00"/>
    <n v="22.15"/>
    <n v="22.08"/>
    <x v="28"/>
  </r>
  <r>
    <s v="WQOCT19"/>
    <s v="B3"/>
    <d v="2019-10-01T00:00:00"/>
    <n v="21.24"/>
    <n v="21.31"/>
    <x v="28"/>
  </r>
  <r>
    <s v="WQNOV19"/>
    <s v="B3"/>
    <d v="2019-11-05T00:00:00"/>
    <n v="14.7"/>
    <n v="15.51"/>
    <x v="28"/>
  </r>
  <r>
    <s v="WQDEC19"/>
    <s v="B3"/>
    <d v="2019-12-06T00:00:00"/>
    <n v="6.23"/>
    <n v="7.34"/>
    <x v="28"/>
  </r>
  <r>
    <s v="WQJAN20"/>
    <s v="B3"/>
    <d v="2020-01-09T00:00:00"/>
    <n v="4.08"/>
    <n v="4.5199999999999996"/>
    <x v="29"/>
  </r>
  <r>
    <s v="WQFEB20"/>
    <s v="B3"/>
    <d v="2020-02-03T00:00:00"/>
    <m/>
    <m/>
    <x v="29"/>
  </r>
  <r>
    <s v="WQMAR20"/>
    <s v="B3"/>
    <d v="2020-03-10T00:00:00"/>
    <n v="5.09"/>
    <n v="4.68"/>
    <x v="29"/>
  </r>
  <r>
    <s v="WQJUN20"/>
    <s v="B3"/>
    <d v="2020-06-17T00:00:00"/>
    <n v="18.8"/>
    <n v="14.21"/>
    <x v="29"/>
  </r>
  <r>
    <s v="WQJUL20"/>
    <s v="B3"/>
    <d v="2020-07-07T00:00:00"/>
    <n v="21.99"/>
    <n v="16.5"/>
    <x v="29"/>
  </r>
  <r>
    <s v="HYJUL20"/>
    <s v="B3"/>
    <d v="2020-07-20T00:00:00"/>
    <n v="23.9"/>
    <n v="17.54"/>
    <x v="29"/>
  </r>
  <r>
    <s v="WQAUG20"/>
    <s v="B3"/>
    <d v="2020-08-12T00:00:00"/>
    <n v="24.94"/>
    <n v="21.46"/>
    <x v="29"/>
  </r>
  <r>
    <s v="HYAUG20"/>
    <s v="B3"/>
    <d v="2020-09-01T00:00:00"/>
    <n v="23.86"/>
    <n v="23.11"/>
    <x v="29"/>
  </r>
  <r>
    <s v="WQSEP20"/>
    <s v="B3"/>
    <d v="2020-09-09T00:00:00"/>
    <n v="24.22"/>
    <n v="23.25"/>
    <x v="29"/>
  </r>
  <r>
    <s v="WQOCT20"/>
    <s v="B3"/>
    <d v="2020-10-14T00:00:00"/>
    <n v="18.100000000000001"/>
    <n v="18.28"/>
    <x v="29"/>
  </r>
  <r>
    <s v="WQNOV20"/>
    <s v="B3"/>
    <d v="2020-11-06T00:00:00"/>
    <n v="13.39"/>
    <n v="14.26"/>
    <x v="29"/>
  </r>
  <r>
    <s v="WQMAR21"/>
    <s v="B3"/>
    <d v="2021-03-10T00:00:00"/>
    <n v="2.94"/>
    <n v="2.4"/>
    <x v="30"/>
  </r>
  <r>
    <s v="WQAPR21"/>
    <s v="B3"/>
    <d v="2021-04-07T00:00:00"/>
    <n v="7.76"/>
    <n v="5.69"/>
    <x v="30"/>
  </r>
  <r>
    <s v="WQMAY21"/>
    <s v="B3"/>
    <d v="2021-05-05T00:00:00"/>
    <n v="10.31"/>
    <n v="9.3699999999999992"/>
    <x v="30"/>
  </r>
  <r>
    <s v="WQJUN21"/>
    <s v="B3"/>
    <d v="2021-06-08T00:00:00"/>
    <n v="17.62"/>
    <n v="13.57"/>
    <x v="30"/>
  </r>
  <r>
    <s v="HYJUN21"/>
    <s v="B3"/>
    <d v="2021-06-22T00:00:00"/>
    <n v="18.71"/>
    <n v="14.04"/>
    <x v="30"/>
  </r>
  <r>
    <s v="WQJUL21"/>
    <s v="B3"/>
    <d v="2021-07-08T00:00:00"/>
    <n v="22.4"/>
    <n v="18.04"/>
    <x v="30"/>
  </r>
  <r>
    <s v="HYJUL21"/>
    <s v="B3"/>
    <d v="2021-07-19T00:00:00"/>
    <n v="23.74"/>
    <n v="18.489999999999998"/>
    <x v="30"/>
  </r>
  <r>
    <s v="WQAUG21"/>
    <s v="B3"/>
    <d v="2021-08-03T00:00:00"/>
    <n v="22.44"/>
    <n v="19.850000000000001"/>
    <x v="30"/>
  </r>
  <r>
    <s v="HYAUG21"/>
    <s v="B3"/>
    <d v="2021-08-16T00:00:00"/>
    <n v="23.91"/>
    <n v="21.62"/>
    <x v="30"/>
  </r>
  <r>
    <s v="WQSEP21"/>
    <s v="B3"/>
    <d v="2021-08-31T00:00:00"/>
    <n v="24.33"/>
    <n v="22.63"/>
    <x v="30"/>
  </r>
  <r>
    <s v="HYSEP21"/>
    <s v="B3"/>
    <d v="2021-09-13T00:00:00"/>
    <n v="22.91"/>
    <n v="22.67"/>
    <x v="30"/>
  </r>
  <r>
    <s v="WQOCT21"/>
    <s v="B3"/>
    <d v="2021-10-05T00:00:00"/>
    <n v="21.18"/>
    <n v="21.24"/>
    <x v="30"/>
  </r>
  <r>
    <s v="WQNOV21"/>
    <s v="B3"/>
    <d v="2021-11-08T00:00:00"/>
    <n v="14.94"/>
    <n v="14.92"/>
    <x v="30"/>
  </r>
  <r>
    <s v="WQDEC21"/>
    <s v="B3"/>
    <d v="2021-12-07T00:00:00"/>
    <n v="9.5299999999999994"/>
    <n v="9.6999999999999993"/>
    <x v="30"/>
  </r>
  <r>
    <s v="WQFEB22"/>
    <s v="B3"/>
    <d v="2022-02-02T00:00:00"/>
    <n v="1.31"/>
    <n v="1.83"/>
    <x v="31"/>
  </r>
  <r>
    <s v="CHFEB22"/>
    <s v="B3"/>
    <d v="2022-02-15T00:00:00"/>
    <n v="1.7"/>
    <n v="1.94"/>
    <x v="31"/>
  </r>
  <r>
    <s v="WQMAR22"/>
    <s v="B3"/>
    <d v="2022-03-03T00:00:00"/>
    <n v="3.03"/>
    <n v="2.88"/>
    <x v="31"/>
  </r>
  <r>
    <s v="WQAPR22"/>
    <s v="B3"/>
    <d v="2022-04-05T00:00:00"/>
    <n v="5.81"/>
    <n v="5.31"/>
    <x v="31"/>
  </r>
  <r>
    <s v="WQMAY22"/>
    <s v="B3"/>
    <d v="2022-05-05T00:00:00"/>
    <n v="10.82"/>
    <n v="9.8000000000000007"/>
    <x v="31"/>
  </r>
  <r>
    <s v="WQJUN22"/>
    <s v="B3"/>
    <d v="2022-06-03T00:00:00"/>
    <n v="16.649999999999999"/>
    <n v="13.95"/>
    <x v="31"/>
  </r>
  <r>
    <s v="HYJUN22"/>
    <s v="B3"/>
    <d v="2022-06-14T00:00:00"/>
    <n v="17.34"/>
    <n v="12.83"/>
    <x v="31"/>
  </r>
  <r>
    <s v="WQJUL22"/>
    <s v="B3"/>
    <d v="2022-07-07T00:00:00"/>
    <n v="19.420000000000002"/>
    <n v="16.13"/>
    <x v="31"/>
  </r>
  <r>
    <s v="HYJUL22"/>
    <s v="B3"/>
    <d v="2022-07-19T00:00:00"/>
    <n v="22.67"/>
    <n v="19.09"/>
    <x v="31"/>
  </r>
  <r>
    <s v="WQAUG22"/>
    <s v="B3"/>
    <d v="2022-08-02T00:00:00"/>
    <n v="23.12"/>
    <n v="20.010000000000002"/>
    <x v="31"/>
  </r>
  <r>
    <s v="HYAUG22"/>
    <s v="B3"/>
    <d v="2022-08-17T00:00:00"/>
    <n v="23.29"/>
    <n v="21.96"/>
    <x v="31"/>
  </r>
  <r>
    <s v="WQSEP22"/>
    <s v="B3"/>
    <d v="2022-09-01T00:00:00"/>
    <n v="24.34"/>
    <n v="24.01"/>
    <x v="31"/>
  </r>
  <r>
    <s v="HYSEP22"/>
    <s v="B3"/>
    <d v="2022-09-13T00:00:00"/>
    <n v="23.38"/>
    <n v="23.26"/>
    <x v="31"/>
  </r>
  <r>
    <s v="WQOCT22"/>
    <s v="B3"/>
    <d v="2022-10-11T00:00:00"/>
    <n v="17.489999999999998"/>
    <n v="17.47"/>
    <x v="31"/>
  </r>
  <r>
    <s v="WQNOV22"/>
    <s v="B3"/>
    <d v="2022-11-09T00:00:00"/>
    <n v="15.54"/>
    <n v="15.73"/>
    <x v="31"/>
  </r>
  <r>
    <s v="WQDEC22"/>
    <s v="B3"/>
    <d v="2022-12-05T00:00:00"/>
    <n v="9.44"/>
    <n v="10.3"/>
    <x v="31"/>
  </r>
  <r>
    <s v="WQJAN23"/>
    <s v="B3"/>
    <d v="2023-01-05T00:00:00"/>
    <n v="5.31"/>
    <n v="5.45"/>
    <x v="32"/>
  </r>
  <r>
    <s v="WQFEB23"/>
    <s v="B3"/>
    <d v="2023-02-07T00:00:00"/>
    <n v="3.23"/>
    <n v="3.87"/>
    <x v="32"/>
  </r>
  <r>
    <s v="WQAPR23"/>
    <s v="B3"/>
    <d v="2023-04-18T00:00:00"/>
    <n v="10.29"/>
    <n v="10.33"/>
    <x v="32"/>
  </r>
  <r>
    <s v="WQMAY23"/>
    <s v="B3"/>
    <d v="2023-05-04T00:00:00"/>
    <n v="11.48"/>
    <n v="10.64"/>
    <x v="32"/>
  </r>
  <r>
    <s v="WQJUN23"/>
    <s v="B3"/>
    <d v="2023-06-01T00:00:00"/>
    <n v="17.510000000000002"/>
    <n v="14.86"/>
    <x v="32"/>
  </r>
  <r>
    <s v="HYJUN23"/>
    <s v="B3"/>
    <d v="2023-06-23T00:00:00"/>
    <n v="18.55"/>
    <n v="18.059999999999999"/>
    <x v="32"/>
  </r>
  <r>
    <s v="WQJUL23"/>
    <s v="B3"/>
    <d v="2023-07-10T00:00:00"/>
    <n v="23.33"/>
    <n v="19.32"/>
    <x v="32"/>
  </r>
  <r>
    <s v="HYJUL23"/>
    <s v="B3"/>
    <d v="2023-07-17T00:00:00"/>
    <n v="24.06"/>
    <n v="18.39"/>
    <x v="32"/>
  </r>
  <r>
    <s v="WQAUG23"/>
    <s v="B3"/>
    <d v="2023-08-02T00:00:00"/>
    <n v="22.79"/>
    <n v="20.41"/>
    <x v="32"/>
  </r>
  <r>
    <s v="HYAUG23"/>
    <s v="B3"/>
    <d v="2023-08-14T00:00:00"/>
    <n v="23.86"/>
    <n v="21.27"/>
    <x v="32"/>
  </r>
  <r>
    <s v="WQSEP23"/>
    <s v="B3"/>
    <d v="2023-09-07T00:00:00"/>
    <n v="24.51"/>
    <n v="22.54"/>
    <x v="32"/>
  </r>
  <r>
    <s v="WQOCT23"/>
    <s v="B3"/>
    <d v="2023-10-10T00:00:00"/>
    <n v="18.47"/>
    <n v="18.55"/>
    <x v="32"/>
  </r>
  <r>
    <s v="WQNOV23"/>
    <s v="B3"/>
    <d v="2023-11-08T00:00:00"/>
    <n v="14.4"/>
    <n v="14.76"/>
    <x v="32"/>
  </r>
  <r>
    <s v="WQDEC23"/>
    <s v="B3"/>
    <d v="2023-12-06T00:00:00"/>
    <n v="8.66"/>
    <n v="9.4499999999999993"/>
    <x v="32"/>
  </r>
  <r>
    <s v="WQJAN24"/>
    <s v="B3"/>
    <d v="2024-01-08T00:00:00"/>
    <n v="6.05"/>
    <n v="6.14"/>
    <x v="33"/>
  </r>
  <r>
    <s v="WQFEB24"/>
    <s v="B3"/>
    <d v="2024-02-06T00:00:00"/>
    <n v="3.75"/>
    <n v="3.89"/>
    <x v="33"/>
  </r>
  <r>
    <s v="CHFEB24"/>
    <s v="B3"/>
    <d v="2024-02-22T00:00:00"/>
    <n v="3.37"/>
    <n v="3.57"/>
    <x v="33"/>
  </r>
  <r>
    <s v="WQMAR24"/>
    <s v="B3"/>
    <d v="2024-03-06T00:00:00"/>
    <n v="4.75"/>
    <n v="4.47"/>
    <x v="33"/>
  </r>
  <r>
    <s v="CHMAR24"/>
    <s v="B3"/>
    <d v="2024-03-18T00:00:00"/>
    <n v="6.95"/>
    <n v="5.26"/>
    <x v="33"/>
  </r>
  <r>
    <s v="WQAPR24"/>
    <s v="B3"/>
    <d v="2024-04-08T00:00:00"/>
    <n v="6.75"/>
    <n v="6.64"/>
    <x v="33"/>
  </r>
  <r>
    <s v="WQMAY24"/>
    <s v="B3"/>
    <d v="2024-05-03T00:00:00"/>
    <n v="12.19"/>
    <n v="10.119999999999999"/>
    <x v="33"/>
  </r>
  <r>
    <s v="WQJUN24"/>
    <s v="B3"/>
    <d v="2024-06-04T00:00:00"/>
    <n v="16.27"/>
    <n v="11.96"/>
    <x v="33"/>
  </r>
  <r>
    <s v="HYJUN24"/>
    <s v="B3"/>
    <d v="2024-06-17T00:00:00"/>
    <n v="17.95"/>
    <n v="13.25"/>
    <x v="33"/>
  </r>
  <r>
    <s v="WQJUL24"/>
    <s v="B3"/>
    <d v="2024-07-02T00:00:00"/>
    <n v="19.600000000000001"/>
    <n v="16.29"/>
    <x v="33"/>
  </r>
  <r>
    <s v="HYJUL24"/>
    <s v="B3"/>
    <d v="2024-07-16T00:00:00"/>
    <n v="21.66"/>
    <n v="17.41"/>
    <x v="33"/>
  </r>
  <r>
    <s v="WQAUG24"/>
    <s v="B3"/>
    <d v="2024-07-31T00:00:00"/>
    <n v="23.42"/>
    <n v="20.05"/>
    <x v="33"/>
  </r>
  <r>
    <s v="HYAUG24"/>
    <s v="B3"/>
    <d v="2024-08-12T00:00:00"/>
    <n v="23.8"/>
    <n v="21.93"/>
    <x v="33"/>
  </r>
  <r>
    <s v="WQSEP24"/>
    <s v="B3"/>
    <d v="2024-08-27T00:00:00"/>
    <n v="23.4"/>
    <n v="21.88"/>
    <x v="33"/>
  </r>
  <r>
    <s v="WQOCT24"/>
    <s v="B3"/>
    <d v="2024-10-03T00:00:00"/>
    <n v="20.27"/>
    <n v="20.27"/>
    <x v="33"/>
  </r>
  <r>
    <m/>
    <m/>
    <m/>
    <m/>
    <m/>
    <x v="34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5">
  <r>
    <s v="WQFEB91"/>
    <s v="D3"/>
    <d v="1991-02-21T00:00:00"/>
    <n v="2.7484000000000002"/>
    <m/>
    <x v="0"/>
  </r>
  <r>
    <s v="WQMAR91"/>
    <s v="D3"/>
    <d v="1991-03-26T00:00:00"/>
    <m/>
    <m/>
    <x v="0"/>
  </r>
  <r>
    <s v="WQAPR91"/>
    <s v="D3"/>
    <d v="1991-04-03T00:00:00"/>
    <m/>
    <n v="5.1689999999999996"/>
    <x v="0"/>
  </r>
  <r>
    <s v="WQMAY91"/>
    <s v="D3"/>
    <d v="1991-05-02T00:00:00"/>
    <m/>
    <m/>
    <x v="0"/>
  </r>
  <r>
    <s v="WQJUN91"/>
    <s v="D3"/>
    <d v="1991-06-05T00:00:00"/>
    <m/>
    <n v="16.8142"/>
    <x v="0"/>
  </r>
  <r>
    <s v="WQJUL91"/>
    <s v="D3"/>
    <d v="1991-07-09T00:00:00"/>
    <n v="16.884599999999999"/>
    <n v="20.581700000000001"/>
    <x v="0"/>
  </r>
  <r>
    <s v="WQAUG91"/>
    <s v="D3"/>
    <d v="1991-08-12T00:00:00"/>
    <n v="20.8429"/>
    <n v="21.785"/>
    <x v="0"/>
  </r>
  <r>
    <s v="WQSEP91"/>
    <s v="D3"/>
    <d v="1991-09-06T00:00:00"/>
    <n v="22.199400000000001"/>
    <m/>
    <x v="0"/>
  </r>
  <r>
    <s v="WQOCT91"/>
    <s v="D3"/>
    <d v="1991-10-02T00:00:00"/>
    <n v="20.155000000000001"/>
    <n v="19.942699999999999"/>
    <x v="0"/>
  </r>
  <r>
    <s v="WQNOV91"/>
    <s v="D3"/>
    <d v="1991-11-14T00:00:00"/>
    <n v="12.0938"/>
    <n v="12.1136"/>
    <x v="0"/>
  </r>
  <r>
    <s v="WQJAN92"/>
    <s v="D3"/>
    <d v="1992-01-08T00:00:00"/>
    <n v="5.0789"/>
    <n v="5.0712000000000002"/>
    <x v="1"/>
  </r>
  <r>
    <s v="WQFEB92"/>
    <s v="D3"/>
    <d v="1992-02-06T00:00:00"/>
    <n v="1.9810000000000001"/>
    <n v="1.8784000000000001"/>
    <x v="1"/>
  </r>
  <r>
    <s v="WQMAY92"/>
    <s v="D3"/>
    <d v="1992-05-06T00:00:00"/>
    <n v="7.5362999999999998"/>
    <m/>
    <x v="1"/>
  </r>
  <r>
    <s v="WQJUN92"/>
    <s v="D3"/>
    <d v="1992-06-03T00:00:00"/>
    <n v="10.779299999999999"/>
    <m/>
    <x v="1"/>
  </r>
  <r>
    <s v="WQJUL92"/>
    <s v="D3"/>
    <d v="1992-07-09T00:00:00"/>
    <n v="15.3279"/>
    <m/>
    <x v="1"/>
  </r>
  <r>
    <s v="WQAUG92"/>
    <s v="D3"/>
    <d v="1992-08-06T00:00:00"/>
    <n v="18.5289"/>
    <n v="19.627199999999998"/>
    <x v="1"/>
  </r>
  <r>
    <s v="WQSEP92"/>
    <s v="D3"/>
    <d v="1992-09-02T00:00:00"/>
    <n v="20.6951"/>
    <n v="20.7608"/>
    <x v="1"/>
  </r>
  <r>
    <s v="WQOCT92"/>
    <s v="D3"/>
    <d v="1992-10-07T00:00:00"/>
    <n v="18.183399999999999"/>
    <n v="17.588999999999999"/>
    <x v="1"/>
  </r>
  <r>
    <s v="WQNOV92"/>
    <s v="D3"/>
    <d v="1992-11-05T00:00:00"/>
    <n v="13.341900000000001"/>
    <n v="13.1747"/>
    <x v="1"/>
  </r>
  <r>
    <s v="WQDEC92"/>
    <s v="D3"/>
    <d v="1992-12-15T00:00:00"/>
    <n v="6.2469999999999999"/>
    <n v="6.1097000000000001"/>
    <x v="1"/>
  </r>
  <r>
    <s v="WQJAN93"/>
    <s v="D3"/>
    <d v="1993-01-15T00:00:00"/>
    <n v="3.7097000000000002"/>
    <n v="3.6364999999999998"/>
    <x v="2"/>
  </r>
  <r>
    <s v="WQFEB93"/>
    <s v="D3"/>
    <d v="1993-02-10T00:00:00"/>
    <n v="1.6623000000000001"/>
    <m/>
    <x v="2"/>
  </r>
  <r>
    <s v="WQMAR93"/>
    <s v="D3"/>
    <d v="1993-03-10T00:00:00"/>
    <n v="1.0713999999999999"/>
    <m/>
    <x v="2"/>
  </r>
  <r>
    <s v="WQMAY93"/>
    <s v="D3"/>
    <d v="1993-05-07T00:00:00"/>
    <n v="7.4107000000000003"/>
    <n v="9.9469999999999992"/>
    <x v="2"/>
  </r>
  <r>
    <s v="WQJUN93"/>
    <s v="D3"/>
    <d v="1993-06-02T00:00:00"/>
    <n v="10.378399999999999"/>
    <m/>
    <x v="2"/>
  </r>
  <r>
    <s v="WQJUL93"/>
    <s v="D3"/>
    <d v="1993-07-08T00:00:00"/>
    <n v="15.966100000000001"/>
    <n v="20.945499999999999"/>
    <x v="2"/>
  </r>
  <r>
    <s v="WQAUG93"/>
    <s v="D3"/>
    <d v="1993-08-03T00:00:00"/>
    <n v="18.8736"/>
    <n v="22.437200000000001"/>
    <x v="2"/>
  </r>
  <r>
    <s v="WQSEP93"/>
    <s v="D3"/>
    <d v="1993-09-08T00:00:00"/>
    <n v="21.791799999999999"/>
    <n v="22.6631"/>
    <x v="2"/>
  </r>
  <r>
    <s v="WQOCT93"/>
    <s v="D3"/>
    <d v="1993-10-06T00:00:00"/>
    <n v="18.718800000000002"/>
    <n v="18.540099999999999"/>
    <x v="2"/>
  </r>
  <r>
    <s v="WQDEC93"/>
    <s v="D3"/>
    <d v="1993-12-17T00:00:00"/>
    <m/>
    <n v="7.9249000000000001"/>
    <x v="2"/>
  </r>
  <r>
    <s v="WQJAN94"/>
    <s v="D3"/>
    <d v="1994-01-14T00:00:00"/>
    <n v="2.0499999999999998"/>
    <n v="1.88"/>
    <x v="3"/>
  </r>
  <r>
    <s v="WQFEB94"/>
    <s v="D3"/>
    <d v="1994-02-07T00:00:00"/>
    <n v="-0.28000000000000003"/>
    <n v="-0.57999999999999996"/>
    <x v="3"/>
  </r>
  <r>
    <s v="WQMAR94"/>
    <s v="D3"/>
    <d v="1994-03-08T00:00:00"/>
    <n v="-0.67"/>
    <n v="-0.42"/>
    <x v="3"/>
  </r>
  <r>
    <s v="WQAPR94"/>
    <s v="D3"/>
    <d v="1994-04-06T00:00:00"/>
    <n v="1.76"/>
    <n v="4.04"/>
    <x v="3"/>
  </r>
  <r>
    <s v="WQMAY94"/>
    <s v="D3"/>
    <d v="1994-05-04T00:00:00"/>
    <n v="5.59"/>
    <n v="8.56"/>
    <x v="3"/>
  </r>
  <r>
    <s v="WQJUN94"/>
    <s v="D3"/>
    <d v="1994-06-02T00:00:00"/>
    <n v="10.36"/>
    <n v="13.19"/>
    <x v="3"/>
  </r>
  <r>
    <s v="HYJUN94"/>
    <s v="D3"/>
    <d v="1994-06-22T00:00:00"/>
    <m/>
    <n v="17.93"/>
    <x v="3"/>
  </r>
  <r>
    <s v="WQJUL94"/>
    <s v="D3"/>
    <d v="1994-07-05T00:00:00"/>
    <n v="14.45"/>
    <n v="20.28"/>
    <x v="3"/>
  </r>
  <r>
    <s v="HYJUL94"/>
    <s v="D3"/>
    <d v="1994-07-20T00:00:00"/>
    <m/>
    <n v="20.79"/>
    <x v="3"/>
  </r>
  <r>
    <s v="WQAUG94"/>
    <s v="D3"/>
    <d v="1994-08-02T00:00:00"/>
    <n v="18.23"/>
    <n v="23.86"/>
    <x v="3"/>
  </r>
  <r>
    <s v="HYAUG94"/>
    <s v="D3"/>
    <d v="1994-08-16T00:00:00"/>
    <m/>
    <n v="21.24"/>
    <x v="3"/>
  </r>
  <r>
    <s v="WQSEP94"/>
    <s v="D3"/>
    <d v="1994-08-30T00:00:00"/>
    <n v="21.31"/>
    <n v="21.8"/>
    <x v="3"/>
  </r>
  <r>
    <s v="HYSEP94"/>
    <s v="D3"/>
    <d v="1994-09-08T00:00:00"/>
    <m/>
    <n v="21.02"/>
    <x v="3"/>
  </r>
  <r>
    <s v="WQOCT94"/>
    <s v="D3"/>
    <d v="1994-10-05T00:00:00"/>
    <n v="18.73"/>
    <n v="18.690000000000001"/>
    <x v="3"/>
  </r>
  <r>
    <s v="WQNOV94"/>
    <s v="D3"/>
    <d v="1994-11-10T00:00:00"/>
    <n v="14.95"/>
    <n v="14.51"/>
    <x v="3"/>
  </r>
  <r>
    <s v="WQDEC94"/>
    <s v="D3"/>
    <d v="1994-12-06T00:00:00"/>
    <n v="10.25"/>
    <n v="10.1"/>
    <x v="3"/>
  </r>
  <r>
    <s v="WQJAN95"/>
    <s v="D3"/>
    <d v="1995-01-09T00:00:00"/>
    <n v="5.25"/>
    <n v="4.6399999999999997"/>
    <x v="4"/>
  </r>
  <r>
    <s v="WQFEB95"/>
    <s v="D3"/>
    <d v="1995-02-14T00:00:00"/>
    <n v="1.39"/>
    <n v="1.03"/>
    <x v="4"/>
  </r>
  <r>
    <s v="WQMAR95"/>
    <s v="D3"/>
    <d v="1995-03-08T00:00:00"/>
    <n v="1.71"/>
    <n v="2.1"/>
    <x v="4"/>
  </r>
  <r>
    <s v="WQAPR95"/>
    <s v="D3"/>
    <d v="1995-04-07T00:00:00"/>
    <n v="4.5529999999999999"/>
    <n v="6.05"/>
    <x v="4"/>
  </r>
  <r>
    <s v="WQMAY95"/>
    <s v="D3"/>
    <d v="1995-05-12T00:00:00"/>
    <n v="9.0399999999999991"/>
    <n v="9.83"/>
    <x v="4"/>
  </r>
  <r>
    <s v="WQJUN95"/>
    <s v="D3"/>
    <d v="1995-06-06T00:00:00"/>
    <n v="10.92"/>
    <n v="15.66"/>
    <x v="4"/>
  </r>
  <r>
    <s v="HYJUN95"/>
    <s v="D3"/>
    <d v="1995-06-26T00:00:00"/>
    <m/>
    <n v="18.399999999999999"/>
    <x v="4"/>
  </r>
  <r>
    <s v="WQJUL95"/>
    <s v="D3"/>
    <d v="1995-07-06T00:00:00"/>
    <n v="15.27"/>
    <n v="22.1"/>
    <x v="4"/>
  </r>
  <r>
    <s v="HYJUL95"/>
    <s v="D3"/>
    <d v="1995-07-18T00:00:00"/>
    <n v="17"/>
    <n v="20.67"/>
    <x v="4"/>
  </r>
  <r>
    <s v="WQAUG95"/>
    <s v="D3"/>
    <d v="1995-08-04T00:00:00"/>
    <n v="19.04"/>
    <n v="23.3"/>
    <x v="4"/>
  </r>
  <r>
    <s v="HYAUG95"/>
    <s v="D3"/>
    <d v="1995-08-14T00:00:00"/>
    <n v="20.61"/>
    <n v="23.8"/>
    <x v="4"/>
  </r>
  <r>
    <s v="WQSEP95"/>
    <s v="D3"/>
    <d v="1995-09-05T00:00:00"/>
    <n v="22.375900000000001"/>
    <n v="23.29"/>
    <x v="4"/>
  </r>
  <r>
    <s v="WQOCT95"/>
    <s v="D3"/>
    <d v="1995-10-05T00:00:00"/>
    <n v="19.71"/>
    <n v="19.7"/>
    <x v="4"/>
  </r>
  <r>
    <s v="WQNOV95"/>
    <s v="D3"/>
    <d v="1995-11-13T00:00:00"/>
    <n v="13.51"/>
    <n v="13.2"/>
    <x v="4"/>
  </r>
  <r>
    <s v="WQDEC95"/>
    <s v="D3"/>
    <d v="1995-12-07T00:00:00"/>
    <n v="8.8800000000000008"/>
    <n v="8.73"/>
    <x v="4"/>
  </r>
  <r>
    <s v="WQFEB96"/>
    <s v="D3"/>
    <d v="1996-02-08T00:00:00"/>
    <n v="0.28999999999999998"/>
    <n v="-0.16"/>
    <x v="5"/>
  </r>
  <r>
    <s v="WQMAR96"/>
    <s v="D3"/>
    <d v="1996-03-05T00:00:00"/>
    <n v="0.67"/>
    <n v="0.9"/>
    <x v="5"/>
  </r>
  <r>
    <s v="WQAPR96"/>
    <s v="D3"/>
    <d v="1996-04-04T00:00:00"/>
    <m/>
    <m/>
    <x v="5"/>
  </r>
  <r>
    <s v="WQMAY96"/>
    <s v="D3"/>
    <d v="1996-05-14T00:00:00"/>
    <n v="8.14"/>
    <n v="11.4"/>
    <x v="5"/>
  </r>
  <r>
    <s v="WQJUN96"/>
    <s v="D3"/>
    <d v="1996-06-04T00:00:00"/>
    <n v="10.59"/>
    <n v="12.92"/>
    <x v="5"/>
  </r>
  <r>
    <s v="HYJUN96"/>
    <s v="D3"/>
    <d v="1996-06-26T00:00:00"/>
    <n v="12.73"/>
    <n v="18.53"/>
    <x v="5"/>
  </r>
  <r>
    <s v="WQJUL96"/>
    <s v="D3"/>
    <d v="1996-07-08T00:00:00"/>
    <n v="14.94"/>
    <n v="19.059999999999999"/>
    <x v="5"/>
  </r>
  <r>
    <s v="HYJUL96"/>
    <s v="D3"/>
    <d v="1996-07-25T00:00:00"/>
    <n v="17.63"/>
    <n v="19.54"/>
    <x v="5"/>
  </r>
  <r>
    <s v="WQAUG96"/>
    <s v="D3"/>
    <d v="1996-08-07T00:00:00"/>
    <n v="18.82"/>
    <n v="23.45"/>
    <x v="5"/>
  </r>
  <r>
    <s v="HYAUG96"/>
    <s v="D3"/>
    <d v="1996-08-21T00:00:00"/>
    <n v="19.39"/>
    <n v="22.45"/>
    <x v="5"/>
  </r>
  <r>
    <s v="WQSEP96"/>
    <s v="D3"/>
    <d v="1996-09-05T00:00:00"/>
    <n v="20.77"/>
    <n v="22.77"/>
    <x v="5"/>
  </r>
  <r>
    <s v="WQOCT96"/>
    <s v="D3"/>
    <d v="1996-10-07T00:00:00"/>
    <n v="18.5"/>
    <n v="18.95"/>
    <x v="5"/>
  </r>
  <r>
    <s v="WQNOV96"/>
    <s v="D3"/>
    <d v="1996-11-06T00:00:00"/>
    <n v="14.16"/>
    <n v="13.62"/>
    <x v="5"/>
  </r>
  <r>
    <s v="WQDEC96"/>
    <s v="D3"/>
    <d v="1996-12-04T00:00:00"/>
    <n v="9.15"/>
    <n v="8.5500000000000007"/>
    <x v="5"/>
  </r>
  <r>
    <s v="WQFEB97"/>
    <s v="D3"/>
    <d v="1997-02-03T00:00:00"/>
    <n v="1.97"/>
    <n v="1.91"/>
    <x v="6"/>
  </r>
  <r>
    <s v="WQMAR97"/>
    <s v="D3"/>
    <d v="1997-03-03T00:00:00"/>
    <n v="2.94"/>
    <n v="3.25"/>
    <x v="6"/>
  </r>
  <r>
    <s v="WQAPR97"/>
    <s v="D3"/>
    <d v="1997-04-03T00:00:00"/>
    <n v="4.62"/>
    <n v="5.7"/>
    <x v="6"/>
  </r>
  <r>
    <s v="WQMAY97"/>
    <s v="D3"/>
    <d v="1997-05-08T00:00:00"/>
    <n v="8.24"/>
    <n v="10.050000000000001"/>
    <x v="6"/>
  </r>
  <r>
    <s v="WQJUN97"/>
    <s v="D3"/>
    <d v="1997-06-04T00:00:00"/>
    <n v="12.55"/>
    <n v="13.39"/>
    <x v="6"/>
  </r>
  <r>
    <s v="HYJUN97"/>
    <s v="D3"/>
    <d v="1997-06-27T00:00:00"/>
    <m/>
    <n v="18.14"/>
    <x v="6"/>
  </r>
  <r>
    <s v="HYJUL97"/>
    <s v="D3"/>
    <d v="1997-07-22T00:00:00"/>
    <m/>
    <n v="19.399999999999999"/>
    <x v="6"/>
  </r>
  <r>
    <s v="WQAUG97"/>
    <s v="D3"/>
    <d v="1997-08-05T00:00:00"/>
    <n v="18.760000000000002"/>
    <n v="21.69"/>
    <x v="6"/>
  </r>
  <r>
    <s v="HYAUG97"/>
    <s v="D3"/>
    <d v="1997-08-20T00:00:00"/>
    <n v="20.16"/>
    <n v="21.5"/>
    <x v="6"/>
  </r>
  <r>
    <s v="WQSEP97"/>
    <s v="D3"/>
    <d v="1997-09-04T00:00:00"/>
    <n v="20.84"/>
    <n v="21.57"/>
    <x v="6"/>
  </r>
  <r>
    <s v="WQOCT97"/>
    <s v="D3"/>
    <d v="1997-10-08T00:00:00"/>
    <n v="19.07"/>
    <n v="19.079999999999998"/>
    <x v="6"/>
  </r>
  <r>
    <s v="WQNOV97"/>
    <s v="D3"/>
    <d v="1997-11-03T00:00:00"/>
    <n v="14.56"/>
    <n v="14.51"/>
    <x v="6"/>
  </r>
  <r>
    <s v="WQDEC97"/>
    <s v="D3"/>
    <d v="1997-12-08T00:00:00"/>
    <n v="7.92"/>
    <n v="7.92"/>
    <x v="6"/>
  </r>
  <r>
    <s v="WQJAN98"/>
    <s v="D3"/>
    <d v="1998-01-14T00:00:00"/>
    <n v="4.93"/>
    <n v="4.7699999999999996"/>
    <x v="7"/>
  </r>
  <r>
    <s v="WQFEB98"/>
    <s v="D3"/>
    <d v="1998-02-02T00:00:00"/>
    <m/>
    <m/>
    <x v="7"/>
  </r>
  <r>
    <s v="CHFEB98"/>
    <s v="D3"/>
    <d v="1998-02-19T00:00:00"/>
    <n v="3.39"/>
    <n v="3.41"/>
    <x v="7"/>
  </r>
  <r>
    <s v="WQMAR98"/>
    <s v="D3"/>
    <d v="1998-03-03T00:00:00"/>
    <n v="4.2"/>
    <n v="4.26"/>
    <x v="7"/>
  </r>
  <r>
    <s v="CHMAR98"/>
    <s v="D3"/>
    <d v="1998-03-24T00:00:00"/>
    <m/>
    <n v="4.2300000000000004"/>
    <x v="7"/>
  </r>
  <r>
    <s v="WQAPR98"/>
    <s v="D3"/>
    <d v="1998-04-20T00:00:00"/>
    <n v="6.83"/>
    <n v="8.6999999999999993"/>
    <x v="7"/>
  </r>
  <r>
    <s v="WQMAY98"/>
    <s v="D3"/>
    <d v="1998-05-13T00:00:00"/>
    <m/>
    <m/>
    <x v="7"/>
  </r>
  <r>
    <s v="WQJUN98"/>
    <s v="D3"/>
    <d v="1998-06-02T00:00:00"/>
    <n v="11.72"/>
    <n v="16.88"/>
    <x v="7"/>
  </r>
  <r>
    <s v="HYJUN98"/>
    <s v="D3"/>
    <d v="1998-06-25T00:00:00"/>
    <n v="14.86"/>
    <n v="19.71"/>
    <x v="7"/>
  </r>
  <r>
    <s v="WQJUL98"/>
    <s v="D3"/>
    <d v="1998-07-08T00:00:00"/>
    <n v="16.04"/>
    <n v="20.09"/>
    <x v="7"/>
  </r>
  <r>
    <s v="HYJUL98"/>
    <s v="D3"/>
    <d v="1998-07-22T00:00:00"/>
    <n v="17.57"/>
    <n v="20.63"/>
    <x v="7"/>
  </r>
  <r>
    <s v="WQAUG98"/>
    <s v="D3"/>
    <d v="1998-08-03T00:00:00"/>
    <n v="18.97"/>
    <n v="21.7"/>
    <x v="7"/>
  </r>
  <r>
    <s v="HYAUG98"/>
    <s v="D3"/>
    <d v="1998-08-17T00:00:00"/>
    <n v="20.32"/>
    <n v="23.17"/>
    <x v="7"/>
  </r>
  <r>
    <s v="WQSEP98"/>
    <s v="D3"/>
    <d v="1998-09-02T00:00:00"/>
    <n v="21.24"/>
    <n v="23.11"/>
    <x v="7"/>
  </r>
  <r>
    <s v="HYSEP98"/>
    <s v="D3"/>
    <d v="1998-09-16T00:00:00"/>
    <m/>
    <n v="22.38"/>
    <x v="7"/>
  </r>
  <r>
    <s v="WQOCT98"/>
    <s v="D3"/>
    <d v="1998-10-06T00:00:00"/>
    <n v="19.8"/>
    <n v="19.71"/>
    <x v="7"/>
  </r>
  <r>
    <s v="WQNOV98"/>
    <s v="D3"/>
    <d v="1998-11-05T00:00:00"/>
    <n v="14.71"/>
    <n v="14.53"/>
    <x v="7"/>
  </r>
  <r>
    <s v="WQDEC98"/>
    <s v="D3"/>
    <d v="1998-12-02T00:00:00"/>
    <n v="10.89"/>
    <n v="10.86"/>
    <x v="7"/>
  </r>
  <r>
    <s v="WQJAN99"/>
    <s v="D3"/>
    <d v="1999-01-11T00:00:00"/>
    <n v="4.3499999999999996"/>
    <n v="4.13"/>
    <x v="8"/>
  </r>
  <r>
    <s v="WQFEB99"/>
    <s v="D3"/>
    <d v="1999-02-04T00:00:00"/>
    <n v="3.17"/>
    <n v="3.17"/>
    <x v="8"/>
  </r>
  <r>
    <s v="CHFEB99"/>
    <s v="D3"/>
    <d v="1999-02-16T00:00:00"/>
    <n v="3.16"/>
    <n v="3.36"/>
    <x v="8"/>
  </r>
  <r>
    <s v="WQMAR99"/>
    <s v="D3"/>
    <d v="1999-03-09T00:00:00"/>
    <n v="2.67"/>
    <n v="2.71"/>
    <x v="8"/>
  </r>
  <r>
    <s v="CHMAR99"/>
    <s v="D3"/>
    <d v="1999-03-25T00:00:00"/>
    <n v="3.45"/>
    <n v="4.16"/>
    <x v="8"/>
  </r>
  <r>
    <s v="WQAPR99"/>
    <s v="D3"/>
    <d v="1999-04-07T00:00:00"/>
    <n v="4.34"/>
    <n v="6.72"/>
    <x v="8"/>
  </r>
  <r>
    <s v="WQMAY99"/>
    <s v="D3"/>
    <d v="1999-05-06T00:00:00"/>
    <n v="8.6300000000000008"/>
    <n v="10.199999999999999"/>
    <x v="8"/>
  </r>
  <r>
    <s v="WQJUN99"/>
    <s v="D3"/>
    <d v="1999-06-01T00:00:00"/>
    <n v="11.39"/>
    <n v="16.34"/>
    <x v="8"/>
  </r>
  <r>
    <s v="HYJUN99"/>
    <s v="D3"/>
    <d v="1999-06-24T00:00:00"/>
    <n v="14.17"/>
    <n v="19.46"/>
    <x v="8"/>
  </r>
  <r>
    <s v="WQJUL99"/>
    <s v="D3"/>
    <d v="1999-07-07T00:00:00"/>
    <n v="17.09"/>
    <n v="21.02"/>
    <x v="8"/>
  </r>
  <r>
    <s v="HYJUL99"/>
    <s v="D3"/>
    <d v="1999-07-21T00:00:00"/>
    <n v="18.829999999999998"/>
    <n v="21.59"/>
    <x v="8"/>
  </r>
  <r>
    <s v="WQAUG99"/>
    <s v="D3"/>
    <d v="1999-08-04T00:00:00"/>
    <n v="20.239999999999998"/>
    <n v="23.33"/>
    <x v="8"/>
  </r>
  <r>
    <s v="HYAUG99"/>
    <s v="D3"/>
    <d v="1999-08-18T00:00:00"/>
    <n v="21.39"/>
    <n v="23.13"/>
    <x v="8"/>
  </r>
  <r>
    <s v="WQSEP99"/>
    <s v="D3"/>
    <d v="1999-09-01T00:00:00"/>
    <n v="22.22"/>
    <n v="22.24"/>
    <x v="8"/>
  </r>
  <r>
    <s v="WQOCT99"/>
    <s v="D3"/>
    <d v="1999-09-28T00:00:00"/>
    <n v="20.74"/>
    <n v="20.58"/>
    <x v="8"/>
  </r>
  <r>
    <s v="WQNOV99"/>
    <s v="D3"/>
    <d v="1999-11-05T00:00:00"/>
    <n v="15.15"/>
    <n v="15.1"/>
    <x v="8"/>
  </r>
  <r>
    <s v="WQDEC99"/>
    <s v="D3"/>
    <d v="1999-12-09T00:00:00"/>
    <n v="9.99"/>
    <n v="9.92"/>
    <x v="8"/>
  </r>
  <r>
    <s v="WQJAN00"/>
    <s v="D3"/>
    <d v="2000-01-06T00:00:00"/>
    <n v="6.14"/>
    <n v="5.73"/>
    <x v="9"/>
  </r>
  <r>
    <s v="WQFEB00"/>
    <s v="D3"/>
    <d v="2000-02-07T00:00:00"/>
    <n v="0.78"/>
    <n v="0.52"/>
    <x v="9"/>
  </r>
  <r>
    <s v="CHFEB00"/>
    <s v="D3"/>
    <d v="2000-02-16T00:00:00"/>
    <n v="1"/>
    <n v="1.02"/>
    <x v="9"/>
  </r>
  <r>
    <s v="WQMAR00"/>
    <s v="D3"/>
    <d v="2000-03-06T00:00:00"/>
    <n v="2.11"/>
    <n v="2.9"/>
    <x v="9"/>
  </r>
  <r>
    <s v="CHMAR00"/>
    <s v="D3"/>
    <d v="2000-03-15T00:00:00"/>
    <n v="3.18"/>
    <n v="3.86"/>
    <x v="9"/>
  </r>
  <r>
    <s v="WQAPR00"/>
    <s v="D3"/>
    <d v="2000-04-10T00:00:00"/>
    <n v="5.83"/>
    <n v="6.34"/>
    <x v="9"/>
  </r>
  <r>
    <s v="WQMAY00"/>
    <s v="D3"/>
    <d v="2000-05-03T00:00:00"/>
    <n v="7.76"/>
    <n v="9.9499999999999993"/>
    <x v="9"/>
  </r>
  <r>
    <s v="WQJUN00"/>
    <s v="D3"/>
    <d v="2000-06-05T00:00:00"/>
    <n v="12.22"/>
    <n v="15.23"/>
    <x v="9"/>
  </r>
  <r>
    <s v="HYJUN00"/>
    <s v="D3"/>
    <d v="2000-06-26T00:00:00"/>
    <n v="13.93"/>
    <n v="21.48"/>
    <x v="9"/>
  </r>
  <r>
    <s v="WQJUL00"/>
    <s v="D3"/>
    <d v="2000-07-10T00:00:00"/>
    <n v="16.2"/>
    <n v="18.95"/>
    <x v="9"/>
  </r>
  <r>
    <s v="HYJUL00"/>
    <s v="D3"/>
    <d v="2000-07-19T00:00:00"/>
    <n v="17.809999999999999"/>
    <n v="21.08"/>
    <x v="9"/>
  </r>
  <r>
    <s v="WQAUG00"/>
    <s v="D3"/>
    <d v="2000-08-07T00:00:00"/>
    <n v="19.54"/>
    <n v="21.82"/>
    <x v="9"/>
  </r>
  <r>
    <s v="HYAUG00"/>
    <s v="D3"/>
    <d v="2000-08-16T00:00:00"/>
    <n v="20.61"/>
    <n v="21.87"/>
    <x v="9"/>
  </r>
  <r>
    <s v="WQSEP00"/>
    <s v="D3"/>
    <d v="2000-08-31T00:00:00"/>
    <n v="21.91"/>
    <n v="21.95"/>
    <x v="9"/>
  </r>
  <r>
    <s v="WQOCT00"/>
    <s v="D3"/>
    <d v="2000-10-03T00:00:00"/>
    <n v="19.510000000000002"/>
    <n v="19.420000000000002"/>
    <x v="9"/>
  </r>
  <r>
    <s v="WQNOV00"/>
    <s v="D3"/>
    <d v="2000-11-09T00:00:00"/>
    <n v="13.83"/>
    <n v="13.71"/>
    <x v="9"/>
  </r>
  <r>
    <s v="WQDEC00"/>
    <s v="D3"/>
    <d v="2000-12-04T00:00:00"/>
    <n v="8.7799999999999994"/>
    <n v="8.64"/>
    <x v="9"/>
  </r>
  <r>
    <s v="WQJAN01"/>
    <s v="D3"/>
    <d v="2001-01-17T00:00:00"/>
    <n v="2.12"/>
    <n v="2.15"/>
    <x v="10"/>
  </r>
  <r>
    <s v="WQFEB01"/>
    <s v="D3"/>
    <d v="2001-02-07T00:00:00"/>
    <n v="1.7"/>
    <n v="1.75"/>
    <x v="10"/>
  </r>
  <r>
    <s v="CHFEB01"/>
    <s v="D3"/>
    <d v="2001-02-20T00:00:00"/>
    <m/>
    <m/>
    <x v="10"/>
  </r>
  <r>
    <s v="WQMAR01"/>
    <s v="D3"/>
    <d v="2001-03-08T00:00:00"/>
    <n v="1.67"/>
    <n v="1.7"/>
    <x v="10"/>
  </r>
  <r>
    <s v="WQAPR01"/>
    <s v="D3"/>
    <d v="2001-04-04T00:00:00"/>
    <n v="3.65"/>
    <n v="4.22"/>
    <x v="10"/>
  </r>
  <r>
    <s v="WQMAY01"/>
    <s v="D3"/>
    <d v="2001-05-01T00:00:00"/>
    <m/>
    <m/>
    <x v="10"/>
  </r>
  <r>
    <s v="WQJUN01"/>
    <s v="D3"/>
    <d v="2001-06-06T00:00:00"/>
    <n v="11.53"/>
    <n v="14.45"/>
    <x v="10"/>
  </r>
  <r>
    <s v="HYJUN01"/>
    <s v="D3"/>
    <d v="2001-06-21T00:00:00"/>
    <n v="13.78"/>
    <n v="18.93"/>
    <x v="10"/>
  </r>
  <r>
    <s v="WQJUL01"/>
    <s v="D3"/>
    <d v="2001-07-10T00:00:00"/>
    <n v="15.87"/>
    <n v="19.05"/>
    <x v="10"/>
  </r>
  <r>
    <s v="HYJUL01"/>
    <s v="D3"/>
    <d v="2001-07-25T00:00:00"/>
    <n v="18.47"/>
    <n v="21.57"/>
    <x v="10"/>
  </r>
  <r>
    <s v="WQAUG01"/>
    <s v="D3"/>
    <d v="2001-08-07T00:00:00"/>
    <n v="19.68"/>
    <n v="23.03"/>
    <x v="10"/>
  </r>
  <r>
    <s v="HYAUG01"/>
    <s v="D3"/>
    <d v="2001-08-21T00:00:00"/>
    <n v="21.02"/>
    <n v="22.79"/>
    <x v="10"/>
  </r>
  <r>
    <s v="SSAUG01"/>
    <s v="D3"/>
    <d v="2001-08-30T00:00:00"/>
    <m/>
    <n v="23.27"/>
    <x v="10"/>
  </r>
  <r>
    <s v="WQSEP01"/>
    <s v="D3"/>
    <d v="2001-09-04T00:00:00"/>
    <n v="21.63"/>
    <n v="22.31"/>
    <x v="10"/>
  </r>
  <r>
    <s v="HYSEP01"/>
    <s v="D3"/>
    <d v="2001-09-24T00:00:00"/>
    <m/>
    <n v="22.13"/>
    <x v="10"/>
  </r>
  <r>
    <s v="WQOCT01"/>
    <s v="D3"/>
    <d v="2001-10-04T00:00:00"/>
    <n v="19.12"/>
    <n v="19.72"/>
    <x v="10"/>
  </r>
  <r>
    <s v="WQNOV01"/>
    <s v="D3"/>
    <d v="2001-11-13T00:00:00"/>
    <n v="13.66"/>
    <n v="13.61"/>
    <x v="10"/>
  </r>
  <r>
    <s v="WQDEC01"/>
    <s v="D3"/>
    <d v="2001-12-05T00:00:00"/>
    <n v="11.93"/>
    <n v="11.9"/>
    <x v="10"/>
  </r>
  <r>
    <s v="WQJAN02"/>
    <s v="D3"/>
    <d v="2002-01-15T00:00:00"/>
    <n v="5.56"/>
    <n v="5.15"/>
    <x v="11"/>
  </r>
  <r>
    <s v="WQFEB02"/>
    <s v="D3"/>
    <d v="2002-02-06T00:00:00"/>
    <n v="4.45"/>
    <n v="4.5199999999999996"/>
    <x v="11"/>
  </r>
  <r>
    <s v="CHFEB02"/>
    <s v="D3"/>
    <d v="2002-02-19T00:00:00"/>
    <n v="4.05"/>
    <n v="4.12"/>
    <x v="11"/>
  </r>
  <r>
    <s v="WQMAR02"/>
    <s v="D3"/>
    <d v="2002-03-04T00:00:00"/>
    <n v="4.67"/>
    <n v="4.8600000000000003"/>
    <x v="11"/>
  </r>
  <r>
    <s v="CHMAR02"/>
    <s v="D3"/>
    <d v="2002-03-21T00:00:00"/>
    <n v="5.15"/>
    <n v="5.14"/>
    <x v="11"/>
  </r>
  <r>
    <s v="WQAPR02"/>
    <s v="D3"/>
    <d v="2002-04-04T00:00:00"/>
    <n v="5.59"/>
    <n v="6.95"/>
    <x v="11"/>
  </r>
  <r>
    <s v="WQMAY02"/>
    <s v="D3"/>
    <d v="2002-05-07T00:00:00"/>
    <n v="9.41"/>
    <n v="12.19"/>
    <x v="11"/>
  </r>
  <r>
    <s v="WQJUN02"/>
    <s v="D3"/>
    <d v="2002-06-06T00:00:00"/>
    <n v="12.46"/>
    <n v="17.21"/>
    <x v="11"/>
  </r>
  <r>
    <s v="HYJUN02"/>
    <s v="D3"/>
    <d v="2002-06-26T00:00:00"/>
    <n v="15.06"/>
    <n v="19.760000000000002"/>
    <x v="11"/>
  </r>
  <r>
    <s v="WQJUL02"/>
    <s v="D3"/>
    <d v="2002-07-09T00:00:00"/>
    <n v="16.28"/>
    <n v="21.2"/>
    <x v="11"/>
  </r>
  <r>
    <s v="HYJUL02"/>
    <s v="D3"/>
    <d v="2002-07-22T00:00:00"/>
    <n v="18.53"/>
    <n v="23.37"/>
    <x v="11"/>
  </r>
  <r>
    <s v="WQAUG02"/>
    <s v="D3"/>
    <d v="2002-08-07T00:00:00"/>
    <n v="20"/>
    <n v="22.76"/>
    <x v="11"/>
  </r>
  <r>
    <s v="HYAUG02"/>
    <s v="D3"/>
    <d v="2002-08-22T00:00:00"/>
    <n v="21.84"/>
    <n v="23.4"/>
    <x v="11"/>
  </r>
  <r>
    <s v="WQSEP02"/>
    <s v="D3"/>
    <d v="2002-09-10T00:00:00"/>
    <n v="21.67"/>
    <n v="22.24"/>
    <x v="11"/>
  </r>
  <r>
    <s v="WQOCT02"/>
    <s v="D3"/>
    <d v="2002-10-09T00:00:00"/>
    <n v="20.38"/>
    <n v="20.47"/>
    <x v="11"/>
  </r>
  <r>
    <s v="WQNOV02"/>
    <s v="D3"/>
    <d v="2002-11-13T00:00:00"/>
    <n v="13.18"/>
    <n v="12.69"/>
    <x v="11"/>
  </r>
  <r>
    <s v="WQDEC02"/>
    <s v="D3"/>
    <d v="2002-12-10T00:00:00"/>
    <n v="7.06"/>
    <n v="6.73"/>
    <x v="11"/>
  </r>
  <r>
    <s v="WQFEB03"/>
    <s v="D3"/>
    <d v="2003-02-06T00:00:00"/>
    <n v="0.44"/>
    <n v="0.43"/>
    <x v="12"/>
  </r>
  <r>
    <s v="WQMAR03"/>
    <s v="D3"/>
    <d v="2003-03-11T00:00:00"/>
    <n v="-0.28000000000000003"/>
    <n v="-0.2"/>
    <x v="12"/>
  </r>
  <r>
    <s v="CHMAR03"/>
    <s v="D3"/>
    <d v="2003-03-18T00:00:00"/>
    <n v="0.16"/>
    <n v="0.91"/>
    <x v="12"/>
  </r>
  <r>
    <s v="WQAPR03"/>
    <s v="D3"/>
    <d v="2003-04-01T00:00:00"/>
    <n v="1.54"/>
    <n v="3.89"/>
    <x v="12"/>
  </r>
  <r>
    <s v="WQMAY03"/>
    <s v="D3"/>
    <d v="2003-05-06T00:00:00"/>
    <n v="6.08"/>
    <n v="8.99"/>
    <x v="12"/>
  </r>
  <r>
    <s v="WQJUN03"/>
    <s v="D3"/>
    <d v="2003-06-05T00:00:00"/>
    <n v="10.01"/>
    <n v="13.15"/>
    <x v="12"/>
  </r>
  <r>
    <s v="HYJUN03"/>
    <s v="D3"/>
    <d v="2003-06-19T00:00:00"/>
    <n v="11.94"/>
    <n v="15.79"/>
    <x v="12"/>
  </r>
  <r>
    <s v="WQJUL03"/>
    <s v="D3"/>
    <d v="2003-07-08T00:00:00"/>
    <n v="13.13"/>
    <n v="17.38"/>
    <x v="12"/>
  </r>
  <r>
    <s v="HYJUL03"/>
    <s v="D3"/>
    <d v="2003-07-28T00:00:00"/>
    <n v="15.93"/>
    <n v="19.64"/>
    <x v="12"/>
  </r>
  <r>
    <s v="WQAUG03"/>
    <s v="D3"/>
    <d v="2003-08-08T00:00:00"/>
    <n v="18.32"/>
    <n v="20.69"/>
    <x v="12"/>
  </r>
  <r>
    <s v="HYAUG03"/>
    <s v="D3"/>
    <d v="2003-08-20T00:00:00"/>
    <n v="19.21"/>
    <n v="22.83"/>
    <x v="12"/>
  </r>
  <r>
    <s v="WQSEP03"/>
    <s v="D3"/>
    <d v="2003-09-05T00:00:00"/>
    <n v="20.58"/>
    <n v="20.86"/>
    <x v="12"/>
  </r>
  <r>
    <s v="WQOCT03"/>
    <s v="D3"/>
    <d v="2003-10-06T00:00:00"/>
    <n v="19.45"/>
    <n v="19.47"/>
    <x v="12"/>
  </r>
  <r>
    <s v="WQNOV03"/>
    <s v="D3"/>
    <d v="2003-11-05T00:00:00"/>
    <n v="15.08"/>
    <n v="15.06"/>
    <x v="12"/>
  </r>
  <r>
    <s v="WQDEC03"/>
    <s v="D3"/>
    <d v="2003-12-09T00:00:00"/>
    <n v="7.69"/>
    <n v="7.07"/>
    <x v="12"/>
  </r>
  <r>
    <s v="WQFEB04"/>
    <s v="D3"/>
    <d v="2004-02-02T00:00:00"/>
    <n v="-0.61"/>
    <n v="-0.72"/>
    <x v="13"/>
  </r>
  <r>
    <s v="CHFEB04"/>
    <s v="D3"/>
    <d v="2004-02-19T00:00:00"/>
    <n v="-0.08"/>
    <n v="-0.23"/>
    <x v="13"/>
  </r>
  <r>
    <s v="WQMAR04"/>
    <s v="D3"/>
    <d v="2004-03-01T00:00:00"/>
    <n v="0.37"/>
    <n v="1.03"/>
    <x v="13"/>
  </r>
  <r>
    <s v="CHMAR04"/>
    <s v="D3"/>
    <d v="2004-03-18T00:00:00"/>
    <n v="1.85"/>
    <m/>
    <x v="13"/>
  </r>
  <r>
    <s v="WQAPR04"/>
    <s v="D3"/>
    <d v="2004-04-14T00:00:00"/>
    <n v="4.66"/>
    <n v="5.42"/>
    <x v="13"/>
  </r>
  <r>
    <s v="WQMAY04"/>
    <s v="D3"/>
    <d v="2004-05-06T00:00:00"/>
    <n v="6.56"/>
    <n v="9.42"/>
    <x v="13"/>
  </r>
  <r>
    <s v="WQJUN04"/>
    <s v="D3"/>
    <d v="2004-06-02T00:00:00"/>
    <n v="10.92"/>
    <n v="14.94"/>
    <x v="13"/>
  </r>
  <r>
    <s v="HYJUN04"/>
    <s v="D3"/>
    <d v="2004-06-29T00:00:00"/>
    <n v="14"/>
    <n v="17.77"/>
    <x v="13"/>
  </r>
  <r>
    <s v="WQJUL04"/>
    <s v="D3"/>
    <d v="2004-07-06T00:00:00"/>
    <n v="15.74"/>
    <n v="18.670000000000002"/>
    <x v="13"/>
  </r>
  <r>
    <s v="HYJUL04"/>
    <s v="D3"/>
    <d v="2004-07-20T00:00:00"/>
    <n v="17.46"/>
    <n v="19.940000000000001"/>
    <x v="13"/>
  </r>
  <r>
    <s v="WQAUG04"/>
    <s v="D3"/>
    <d v="2004-08-03T00:00:00"/>
    <n v="18.8"/>
    <n v="22.02"/>
    <x v="13"/>
  </r>
  <r>
    <s v="HYAUG04"/>
    <s v="D3"/>
    <d v="2004-08-23T00:00:00"/>
    <n v="20.12"/>
    <n v="21.76"/>
    <x v="13"/>
  </r>
  <r>
    <s v="WQSEP04"/>
    <s v="D3"/>
    <d v="2004-09-03T00:00:00"/>
    <n v="21.47"/>
    <n v="22.47"/>
    <x v="13"/>
  </r>
  <r>
    <s v="WQOCT04"/>
    <s v="D3"/>
    <d v="2004-10-13T00:00:00"/>
    <n v="19.170000000000002"/>
    <n v="18.8"/>
    <x v="13"/>
  </r>
  <r>
    <s v="WQDEC04"/>
    <s v="D3"/>
    <d v="2004-12-09T00:00:00"/>
    <n v="9.2200000000000006"/>
    <n v="9.07"/>
    <x v="13"/>
  </r>
  <r>
    <s v="WQJAN05"/>
    <s v="D3"/>
    <d v="2005-01-13T00:00:00"/>
    <n v="4.6100000000000003"/>
    <n v="4.62"/>
    <x v="14"/>
  </r>
  <r>
    <s v="WQFEB05"/>
    <s v="D3"/>
    <d v="2005-01-31T00:00:00"/>
    <n v="0.92"/>
    <n v="0.5"/>
    <x v="14"/>
  </r>
  <r>
    <s v="WQMAR05"/>
    <s v="D3"/>
    <d v="2005-03-10T00:00:00"/>
    <n v="1.01"/>
    <n v="1.06"/>
    <x v="14"/>
  </r>
  <r>
    <s v="WQAPR05"/>
    <s v="D3"/>
    <d v="2005-04-06T00:00:00"/>
    <n v="3.1"/>
    <n v="4.4400000000000004"/>
    <x v="14"/>
  </r>
  <r>
    <s v="WQMAY05"/>
    <s v="D3"/>
    <d v="2005-05-09T00:00:00"/>
    <n v="8.56"/>
    <n v="9.16"/>
    <x v="14"/>
  </r>
  <r>
    <s v="WQJUN05"/>
    <s v="D3"/>
    <d v="2005-06-09T00:00:00"/>
    <n v="11.02"/>
    <n v="16.850000000000001"/>
    <x v="14"/>
  </r>
  <r>
    <s v="HYJUN05"/>
    <s v="D3"/>
    <d v="2005-06-23T00:00:00"/>
    <n v="13.4"/>
    <n v="16.989999999999998"/>
    <x v="14"/>
  </r>
  <r>
    <s v="WQJUL05"/>
    <s v="D3"/>
    <d v="2005-07-11T00:00:00"/>
    <n v="15.73"/>
    <n v="20.93"/>
    <x v="14"/>
  </r>
  <r>
    <s v="HYJUL05"/>
    <s v="D3"/>
    <d v="2005-07-21T00:00:00"/>
    <n v="16.309999999999999"/>
    <n v="23.36"/>
    <x v="14"/>
  </r>
  <r>
    <s v="WQAUG05"/>
    <s v="D3"/>
    <d v="2005-08-03T00:00:00"/>
    <n v="18.48"/>
    <n v="23.31"/>
    <x v="14"/>
  </r>
  <r>
    <s v="HYAUG05"/>
    <s v="D3"/>
    <d v="2005-08-17T00:00:00"/>
    <n v="19.61"/>
    <m/>
    <x v="14"/>
  </r>
  <r>
    <s v="WQSEP05"/>
    <s v="D3"/>
    <d v="2005-08-30T00:00:00"/>
    <n v="21.38"/>
    <n v="23.8"/>
    <x v="14"/>
  </r>
  <r>
    <s v="SSSEP05"/>
    <s v="D3"/>
    <d v="2005-09-19T00:00:00"/>
    <n v="22.16"/>
    <n v="22.86"/>
    <x v="14"/>
  </r>
  <r>
    <s v="WQOCT05"/>
    <s v="D3"/>
    <d v="2005-10-18T00:00:00"/>
    <n v="18.7"/>
    <n v="18.34"/>
    <x v="14"/>
  </r>
  <r>
    <s v="WQNOV05"/>
    <s v="D3"/>
    <d v="2005-11-18T00:00:00"/>
    <n v="13.23"/>
    <n v="13.02"/>
    <x v="14"/>
  </r>
  <r>
    <s v="WQDEC05"/>
    <s v="D3"/>
    <d v="2005-12-12T00:00:00"/>
    <n v="7.54"/>
    <n v="7.5"/>
    <x v="14"/>
  </r>
  <r>
    <s v="WQMAR06"/>
    <s v="D3"/>
    <d v="2006-03-06T00:00:00"/>
    <n v="2.2000000000000002"/>
    <n v="2.29"/>
    <x v="15"/>
  </r>
  <r>
    <s v="WQMAY06"/>
    <s v="D3"/>
    <d v="2006-05-03T00:00:00"/>
    <n v="8.44"/>
    <n v="10.94"/>
    <x v="15"/>
  </r>
  <r>
    <s v="WQJUN06"/>
    <s v="D3"/>
    <d v="2006-06-08T00:00:00"/>
    <n v="12.51"/>
    <n v="16.579999999999998"/>
    <x v="15"/>
  </r>
  <r>
    <s v="HYJUN06"/>
    <s v="D3"/>
    <d v="2006-06-23T00:00:00"/>
    <n v="13.95"/>
    <n v="16.559999999999999"/>
    <x v="15"/>
  </r>
  <r>
    <s v="WQJUL06"/>
    <s v="D3"/>
    <d v="2006-07-10T00:00:00"/>
    <n v="15.77"/>
    <n v="20.34"/>
    <x v="15"/>
  </r>
  <r>
    <s v="HYJUL06"/>
    <s v="D3"/>
    <d v="2006-07-18T00:00:00"/>
    <n v="17.14"/>
    <n v="21.51"/>
    <x v="15"/>
  </r>
  <r>
    <s v="WQAUG06"/>
    <s v="D3"/>
    <d v="2006-08-03T00:00:00"/>
    <n v="18.54"/>
    <n v="25.4"/>
    <x v="15"/>
  </r>
  <r>
    <s v="HYAUG06"/>
    <s v="D3"/>
    <d v="2006-08-17T00:00:00"/>
    <n v="20.92"/>
    <n v="22.85"/>
    <x v="15"/>
  </r>
  <r>
    <s v="WQSEP06"/>
    <s v="D3"/>
    <d v="2006-08-31T00:00:00"/>
    <n v="21.68"/>
    <n v="21.73"/>
    <x v="15"/>
  </r>
  <r>
    <s v="WQOCT06"/>
    <s v="D3"/>
    <d v="2006-10-16T00:00:00"/>
    <m/>
    <m/>
    <x v="15"/>
  </r>
  <r>
    <s v="WQNOV06"/>
    <s v="D3"/>
    <d v="2006-11-09T00:00:00"/>
    <n v="13.35"/>
    <n v="13.34"/>
    <x v="15"/>
  </r>
  <r>
    <s v="WQDEC06"/>
    <s v="D3"/>
    <d v="2006-12-14T00:00:00"/>
    <n v="9.35"/>
    <n v="8.92"/>
    <x v="15"/>
  </r>
  <r>
    <s v="WQJAN07"/>
    <s v="D3"/>
    <d v="2007-01-18T00:00:00"/>
    <n v="6.42"/>
    <n v="6.27"/>
    <x v="16"/>
  </r>
  <r>
    <s v="WQFEB07"/>
    <s v="D3"/>
    <d v="2007-02-07T00:00:00"/>
    <n v="2.58"/>
    <n v="2.57"/>
    <x v="16"/>
  </r>
  <r>
    <s v="WQMAR07"/>
    <s v="D3"/>
    <d v="2007-03-12T00:00:00"/>
    <n v="0.96"/>
    <n v="1.48"/>
    <x v="16"/>
  </r>
  <r>
    <s v="CHMAR07"/>
    <s v="D3"/>
    <d v="2007-03-19T00:00:00"/>
    <n v="1.26"/>
    <n v="1.3"/>
    <x v="16"/>
  </r>
  <r>
    <s v="WQAPR07"/>
    <s v="D3"/>
    <d v="2007-04-03T00:00:00"/>
    <n v="2.35"/>
    <n v="4.2"/>
    <x v="16"/>
  </r>
  <r>
    <s v="WQMAY07"/>
    <s v="D3"/>
    <d v="2007-05-08T00:00:00"/>
    <n v="6.21"/>
    <n v="10.47"/>
    <x v="16"/>
  </r>
  <r>
    <s v="WQJUN07"/>
    <s v="D3"/>
    <d v="2007-06-06T00:00:00"/>
    <n v="10.25"/>
    <n v="14.98"/>
    <x v="16"/>
  </r>
  <r>
    <s v="HYJUN07"/>
    <s v="D3"/>
    <d v="2007-06-21T00:00:00"/>
    <n v="12.87"/>
    <n v="17.72"/>
    <x v="16"/>
  </r>
  <r>
    <s v="WQJUL07"/>
    <s v="D3"/>
    <d v="2007-07-10T00:00:00"/>
    <n v="16.170000000000002"/>
    <n v="19.100000000000001"/>
    <x v="16"/>
  </r>
  <r>
    <s v="HYJUL07"/>
    <s v="D3"/>
    <d v="2007-07-24T00:00:00"/>
    <n v="17.829999999999998"/>
    <n v="20.56"/>
    <x v="16"/>
  </r>
  <r>
    <s v="WQAUG07"/>
    <s v="D3"/>
    <d v="2007-08-01T00:00:00"/>
    <n v="18.62"/>
    <n v="21.33"/>
    <x v="16"/>
  </r>
  <r>
    <s v="HYAUG07"/>
    <s v="D3"/>
    <d v="2007-08-14T00:00:00"/>
    <n v="20.350000000000001"/>
    <n v="22.72"/>
    <x v="16"/>
  </r>
  <r>
    <s v="WQSEP07"/>
    <s v="D3"/>
    <d v="2007-08-29T00:00:00"/>
    <n v="20.86"/>
    <n v="21.73"/>
    <x v="16"/>
  </r>
  <r>
    <s v="HYSEP07"/>
    <s v="D3"/>
    <d v="2007-09-10T00:00:00"/>
    <n v="21.64"/>
    <n v="22.53"/>
    <x v="16"/>
  </r>
  <r>
    <s v="WQOCT07"/>
    <s v="D3"/>
    <d v="2007-10-03T00:00:00"/>
    <n v="21.08"/>
    <n v="21.57"/>
    <x v="16"/>
  </r>
  <r>
    <s v="WQNOV07"/>
    <s v="D3"/>
    <d v="2007-11-14T00:00:00"/>
    <n v="13.71"/>
    <n v="13.72"/>
    <x v="16"/>
  </r>
  <r>
    <s v="WQDEC07"/>
    <s v="D3"/>
    <d v="2007-12-06T00:00:00"/>
    <n v="9.17"/>
    <n v="8.6300000000000008"/>
    <x v="16"/>
  </r>
  <r>
    <s v="WQJAN08"/>
    <s v="D3"/>
    <d v="2008-01-10T00:00:00"/>
    <n v="5.0199999999999996"/>
    <n v="4.6399999999999997"/>
    <x v="17"/>
  </r>
  <r>
    <s v="WQFEB08"/>
    <s v="D3"/>
    <d v="2008-02-06T00:00:00"/>
    <n v="3.09"/>
    <n v="3.11"/>
    <x v="17"/>
  </r>
  <r>
    <s v="CHFEB08"/>
    <s v="D3"/>
    <d v="2008-02-22T00:00:00"/>
    <n v="2.88"/>
    <n v="2.76"/>
    <x v="17"/>
  </r>
  <r>
    <s v="WQMAR08"/>
    <s v="D3"/>
    <d v="2008-03-03T00:00:00"/>
    <n v="2.7"/>
    <n v="2.74"/>
    <x v="17"/>
  </r>
  <r>
    <s v="CHMAR08"/>
    <s v="D3"/>
    <d v="2008-03-18T00:00:00"/>
    <n v="3.76"/>
    <n v="4.1500000000000004"/>
    <x v="17"/>
  </r>
  <r>
    <s v="WQAPR08"/>
    <s v="D3"/>
    <d v="2008-04-08T00:00:00"/>
    <n v="5.53"/>
    <n v="5.82"/>
    <x v="17"/>
  </r>
  <r>
    <s v="WQMAY08"/>
    <s v="D3"/>
    <d v="2008-05-07T00:00:00"/>
    <n v="9.7799999999999994"/>
    <n v="11.59"/>
    <x v="17"/>
  </r>
  <r>
    <s v="WQJUN08"/>
    <s v="D3"/>
    <d v="2008-06-03T00:00:00"/>
    <n v="11.28"/>
    <n v="13.67"/>
    <x v="17"/>
  </r>
  <r>
    <s v="HYJUN08"/>
    <s v="D3"/>
    <d v="2008-06-17T00:00:00"/>
    <n v="12.69"/>
    <n v="16.46"/>
    <x v="17"/>
  </r>
  <r>
    <s v="WQJUL08"/>
    <s v="D3"/>
    <d v="2008-07-03T00:00:00"/>
    <n v="14.42"/>
    <n v="18.03"/>
    <x v="17"/>
  </r>
  <r>
    <s v="HYJUL08"/>
    <s v="D3"/>
    <d v="2008-07-22T00:00:00"/>
    <n v="16.940000000000001"/>
    <n v="22.12"/>
    <x v="17"/>
  </r>
  <r>
    <s v="WQAUG08"/>
    <s v="D3"/>
    <d v="2008-08-05T00:00:00"/>
    <n v="19.09"/>
    <n v="22.18"/>
    <x v="17"/>
  </r>
  <r>
    <s v="HYAUG08"/>
    <s v="D3"/>
    <d v="2008-08-20T00:00:00"/>
    <n v="20.61"/>
    <n v="21.81"/>
    <x v="17"/>
  </r>
  <r>
    <s v="WQSEP08"/>
    <s v="D3"/>
    <d v="2008-09-03T00:00:00"/>
    <n v="21.62"/>
    <n v="22.38"/>
    <x v="17"/>
  </r>
  <r>
    <s v="HYSEP08"/>
    <s v="D3"/>
    <d v="2008-09-16T00:00:00"/>
    <n v="21.25"/>
    <n v="22.03"/>
    <x v="17"/>
  </r>
  <r>
    <s v="WQOCT08"/>
    <s v="D3"/>
    <d v="2008-10-07T00:00:00"/>
    <n v="19.39"/>
    <n v="19.38"/>
    <x v="17"/>
  </r>
  <r>
    <s v="WQNOV08"/>
    <s v="D3"/>
    <d v="2008-11-07T00:00:00"/>
    <n v="14.37"/>
    <n v="14.02"/>
    <x v="17"/>
  </r>
  <r>
    <s v="WQDEC08"/>
    <s v="D3"/>
    <d v="2008-12-17T00:00:00"/>
    <n v="7.03"/>
    <n v="7"/>
    <x v="17"/>
  </r>
  <r>
    <s v="WQJAN09"/>
    <s v="D3"/>
    <d v="2009-01-12T00:00:00"/>
    <n v="3.13"/>
    <n v="2.95"/>
    <x v="18"/>
  </r>
  <r>
    <s v="WQFEB09"/>
    <s v="D3"/>
    <d v="2009-02-04T00:00:00"/>
    <n v="0.95"/>
    <n v="0.72"/>
    <x v="18"/>
  </r>
  <r>
    <s v="CHFEB09"/>
    <s v="D3"/>
    <d v="2009-02-17T00:00:00"/>
    <n v="1.38"/>
    <n v="1.73"/>
    <x v="18"/>
  </r>
  <r>
    <s v="WQMAR09"/>
    <s v="D3"/>
    <d v="2009-03-05T00:00:00"/>
    <n v="1.3"/>
    <n v="1.68"/>
    <x v="18"/>
  </r>
  <r>
    <s v="CHMAR09"/>
    <s v="D3"/>
    <d v="2009-03-16T00:00:00"/>
    <m/>
    <m/>
    <x v="18"/>
  </r>
  <r>
    <s v="WQAPR09"/>
    <s v="D3"/>
    <d v="2009-04-01T00:00:00"/>
    <n v="3.67"/>
    <n v="4.57"/>
    <x v="18"/>
  </r>
  <r>
    <s v="WQMAY09"/>
    <s v="D3"/>
    <d v="2009-05-04T00:00:00"/>
    <n v="7.64"/>
    <n v="11.2"/>
    <x v="18"/>
  </r>
  <r>
    <s v="WQJUN09"/>
    <s v="D3"/>
    <d v="2009-06-09T00:00:00"/>
    <n v="11.8"/>
    <n v="15.95"/>
    <x v="18"/>
  </r>
  <r>
    <s v="HYJUN09"/>
    <s v="D3"/>
    <d v="2009-06-23T00:00:00"/>
    <n v="13.02"/>
    <n v="17.72"/>
    <x v="18"/>
  </r>
  <r>
    <s v="WQJUL09"/>
    <s v="D3"/>
    <d v="2009-07-08T00:00:00"/>
    <n v="14.98"/>
    <n v="19.61"/>
    <x v="18"/>
  </r>
  <r>
    <s v="HYJUL09"/>
    <s v="D3"/>
    <d v="2009-07-22T00:00:00"/>
    <n v="16.68"/>
    <n v="18.91"/>
    <x v="18"/>
  </r>
  <r>
    <s v="WQAUG09"/>
    <s v="D3"/>
    <d v="2009-08-05T00:00:00"/>
    <n v="18.440000000000001"/>
    <n v="23.78"/>
    <x v="18"/>
  </r>
  <r>
    <s v="HYAUG09"/>
    <s v="D3"/>
    <d v="2009-08-18T00:00:00"/>
    <n v="19.21"/>
    <n v="22.34"/>
    <x v="18"/>
  </r>
  <r>
    <s v="WQSEP09"/>
    <s v="D3"/>
    <d v="2009-09-02T00:00:00"/>
    <n v="20.79"/>
    <n v="22.19"/>
    <x v="18"/>
  </r>
  <r>
    <s v="WQOCT09"/>
    <s v="D3"/>
    <d v="2009-10-06T00:00:00"/>
    <n v="19.11"/>
    <n v="18.71"/>
    <x v="18"/>
  </r>
  <r>
    <s v="WQNOV09"/>
    <s v="D3"/>
    <d v="2009-11-04T00:00:00"/>
    <n v="14.16"/>
    <n v="14.15"/>
    <x v="18"/>
  </r>
  <r>
    <s v="WQDEC09"/>
    <s v="D3"/>
    <d v="2009-12-02T00:00:00"/>
    <n v="11.23"/>
    <n v="10.99"/>
    <x v="18"/>
  </r>
  <r>
    <s v="WQJAN10"/>
    <s v="D3"/>
    <d v="2010-01-12T00:00:00"/>
    <n v="2.92"/>
    <n v="2.27"/>
    <x v="19"/>
  </r>
  <r>
    <s v="WQFEB10"/>
    <s v="D3"/>
    <d v="2010-02-08T00:00:00"/>
    <n v="1.38"/>
    <n v="1.27"/>
    <x v="19"/>
  </r>
  <r>
    <s v="WQMAR10"/>
    <s v="D3"/>
    <d v="2010-03-02T00:00:00"/>
    <n v="1.69"/>
    <n v="2.2799999999999998"/>
    <x v="19"/>
  </r>
  <r>
    <s v="CHMAR10"/>
    <s v="D3"/>
    <d v="2010-03-17T00:00:00"/>
    <n v="3.57"/>
    <n v="4.3600000000000003"/>
    <x v="19"/>
  </r>
  <r>
    <s v="WQAPR10"/>
    <s v="D3"/>
    <d v="2010-03-31T00:00:00"/>
    <n v="4.93"/>
    <n v="5.8"/>
    <x v="19"/>
  </r>
  <r>
    <s v="WQMAY10"/>
    <s v="D3"/>
    <d v="2010-05-04T00:00:00"/>
    <n v="8.06"/>
    <n v="11.84"/>
    <x v="19"/>
  </r>
  <r>
    <s v="WQJUN10"/>
    <s v="D3"/>
    <d v="2010-05-27T00:00:00"/>
    <n v="10.65"/>
    <n v="14.36"/>
    <x v="19"/>
  </r>
  <r>
    <s v="HYJUN10"/>
    <s v="D3"/>
    <d v="2010-06-18T00:00:00"/>
    <n v="13.81"/>
    <n v="16.79"/>
    <x v="19"/>
  </r>
  <r>
    <s v="WQJUL10"/>
    <s v="D3"/>
    <d v="2010-07-08T00:00:00"/>
    <n v="16.010000000000002"/>
    <n v="21.91"/>
    <x v="19"/>
  </r>
  <r>
    <s v="HYJUL10"/>
    <s v="D3"/>
    <d v="2010-07-23T00:00:00"/>
    <n v="18.899999999999999"/>
    <n v="23.05"/>
    <x v="19"/>
  </r>
  <r>
    <s v="WQAUG10"/>
    <s v="D3"/>
    <d v="2010-08-03T00:00:00"/>
    <n v="20.079999999999998"/>
    <n v="23.44"/>
    <x v="19"/>
  </r>
  <r>
    <s v="HYAUG10"/>
    <s v="D3"/>
    <d v="2010-08-17T00:00:00"/>
    <n v="21.61"/>
    <n v="23.85"/>
    <x v="19"/>
  </r>
  <r>
    <s v="WQSEP10"/>
    <s v="D3"/>
    <d v="2010-08-31T00:00:00"/>
    <n v="22.18"/>
    <n v="23.51"/>
    <x v="19"/>
  </r>
  <r>
    <s v="WQOCT10"/>
    <s v="D3"/>
    <d v="2010-10-12T00:00:00"/>
    <n v="19.03"/>
    <n v="18.809999999999999"/>
    <x v="19"/>
  </r>
  <r>
    <s v="WQNOV10"/>
    <s v="D3"/>
    <d v="2010-11-01T00:00:00"/>
    <n v="15.8"/>
    <n v="15.35"/>
    <x v="19"/>
  </r>
  <r>
    <s v="WQDEC10"/>
    <s v="D3"/>
    <d v="2010-12-02T00:00:00"/>
    <n v="10.49"/>
    <n v="10.47"/>
    <x v="19"/>
  </r>
  <r>
    <s v="WQJAN11"/>
    <s v="D3"/>
    <d v="2011-01-14T00:00:00"/>
    <n v="2.2999999999999998"/>
    <n v="2.31"/>
    <x v="20"/>
  </r>
  <r>
    <s v="WQFEB11"/>
    <s v="D3"/>
    <d v="2011-02-10T00:00:00"/>
    <n v="0.7"/>
    <n v="0.66"/>
    <x v="20"/>
  </r>
  <r>
    <s v="CHFEB11"/>
    <s v="D3"/>
    <d v="2011-02-17T00:00:00"/>
    <n v="0.74"/>
    <n v="1.1499999999999999"/>
    <x v="20"/>
  </r>
  <r>
    <s v="WQMAR11"/>
    <s v="D3"/>
    <d v="2011-03-08T00:00:00"/>
    <n v="1.82"/>
    <m/>
    <x v="20"/>
  </r>
  <r>
    <s v="WQAPR11"/>
    <s v="D3"/>
    <d v="2011-04-14T00:00:00"/>
    <n v="5.54"/>
    <n v="6.3"/>
    <x v="20"/>
  </r>
  <r>
    <s v="WQMAY11"/>
    <s v="D3"/>
    <d v="2011-05-03T00:00:00"/>
    <n v="7.1"/>
    <n v="10.11"/>
    <x v="20"/>
  </r>
  <r>
    <s v="WQJUN11"/>
    <s v="D3"/>
    <d v="2011-06-01T00:00:00"/>
    <n v="10.8"/>
    <n v="19.329999999999998"/>
    <x v="20"/>
  </r>
  <r>
    <s v="HYJUN11"/>
    <s v="D3"/>
    <d v="2011-06-16T00:00:00"/>
    <n v="13.22"/>
    <n v="16.670000000000002"/>
    <x v="20"/>
  </r>
  <r>
    <s v="WQJUL11"/>
    <s v="D3"/>
    <d v="2011-07-06T00:00:00"/>
    <n v="15.23"/>
    <n v="20.72"/>
    <x v="20"/>
  </r>
  <r>
    <s v="HYJUL11"/>
    <s v="D3"/>
    <d v="2011-07-18T00:00:00"/>
    <n v="17.09"/>
    <n v="21.41"/>
    <x v="20"/>
  </r>
  <r>
    <s v="WQAUG11"/>
    <s v="D3"/>
    <d v="2011-08-03T00:00:00"/>
    <n v="20.170000000000002"/>
    <n v="21.8"/>
    <x v="20"/>
  </r>
  <r>
    <s v="HYAUG11"/>
    <s v="D3"/>
    <d v="2011-08-15T00:00:00"/>
    <n v="20.81"/>
    <n v="22.06"/>
    <x v="20"/>
  </r>
  <r>
    <s v="WQSEP11"/>
    <s v="D3"/>
    <d v="2011-08-31T00:00:00"/>
    <m/>
    <m/>
    <x v="20"/>
  </r>
  <r>
    <s v="WQOCT11"/>
    <s v="D3"/>
    <d v="2011-10-06T00:00:00"/>
    <n v="20.8"/>
    <n v="20.420000000000002"/>
    <x v="20"/>
  </r>
  <r>
    <s v="WQNOV11"/>
    <s v="D3"/>
    <d v="2011-11-09T00:00:00"/>
    <n v="14.47"/>
    <n v="13.97"/>
    <x v="20"/>
  </r>
  <r>
    <s v="WQDEC11"/>
    <s v="D3"/>
    <d v="2011-11-29T00:00:00"/>
    <n v="12.03"/>
    <n v="11.8"/>
    <x v="20"/>
  </r>
  <r>
    <s v="WQJAN12"/>
    <s v="D3"/>
    <d v="2012-01-09T00:00:00"/>
    <n v="6.96"/>
    <n v="6.48"/>
    <x v="21"/>
  </r>
  <r>
    <s v="WQFEB12"/>
    <s v="D3"/>
    <d v="2012-02-02T00:00:00"/>
    <n v="4.7300000000000004"/>
    <n v="4.58"/>
    <x v="21"/>
  </r>
  <r>
    <s v="CHFEB12"/>
    <s v="D3"/>
    <d v="2012-02-16T00:00:00"/>
    <n v="4.45"/>
    <n v="4.1900000000000004"/>
    <x v="21"/>
  </r>
  <r>
    <s v="WQMAR12"/>
    <s v="D3"/>
    <d v="2012-03-05T00:00:00"/>
    <n v="4.6399999999999997"/>
    <n v="4.8099999999999996"/>
    <x v="21"/>
  </r>
  <r>
    <s v="CHMAR12"/>
    <s v="D3"/>
    <d v="2012-03-15T00:00:00"/>
    <n v="5.23"/>
    <n v="6.11"/>
    <x v="21"/>
  </r>
  <r>
    <s v="WQAPR12"/>
    <s v="D3"/>
    <d v="2012-04-04T00:00:00"/>
    <n v="6.88"/>
    <n v="7.77"/>
    <x v="21"/>
  </r>
  <r>
    <s v="WQMAY12"/>
    <s v="D3"/>
    <d v="2012-05-02T00:00:00"/>
    <n v="9.91"/>
    <n v="10.69"/>
    <x v="21"/>
  </r>
  <r>
    <s v="WQJUN12"/>
    <s v="D3"/>
    <d v="2012-05-30T00:00:00"/>
    <n v="13.18"/>
    <n v="19.309999999999999"/>
    <x v="21"/>
  </r>
  <r>
    <s v="HYJUN12"/>
    <s v="D3"/>
    <d v="2012-06-12T00:00:00"/>
    <n v="14.92"/>
    <n v="18.8"/>
    <x v="21"/>
  </r>
  <r>
    <s v="WQJUL12"/>
    <s v="D3"/>
    <d v="2012-06-27T00:00:00"/>
    <n v="15.5"/>
    <n v="19.39"/>
    <x v="21"/>
  </r>
  <r>
    <s v="HYJUL12"/>
    <s v="D3"/>
    <d v="2012-07-16T00:00:00"/>
    <n v="18.649999999999999"/>
    <n v="23.42"/>
    <x v="21"/>
  </r>
  <r>
    <s v="WQAUG12"/>
    <s v="D3"/>
    <d v="2012-08-01T00:00:00"/>
    <n v="20.89"/>
    <n v="22.54"/>
    <x v="21"/>
  </r>
  <r>
    <s v="HYAUG12"/>
    <s v="D3"/>
    <d v="2012-08-16T00:00:00"/>
    <n v="21.72"/>
    <n v="25.02"/>
    <x v="21"/>
  </r>
  <r>
    <s v="WQSEP12"/>
    <s v="D3"/>
    <d v="2012-08-29T00:00:00"/>
    <n v="22.93"/>
    <n v="23.8"/>
    <x v="21"/>
  </r>
  <r>
    <s v="HYSEP12"/>
    <s v="D3"/>
    <d v="2012-09-17T00:00:00"/>
    <n v="22.92"/>
    <n v="23"/>
    <x v="21"/>
  </r>
  <r>
    <s v="WQOCT12"/>
    <s v="D3"/>
    <d v="2012-10-03T00:00:00"/>
    <n v="21.16"/>
    <n v="20.96"/>
    <x v="21"/>
  </r>
  <r>
    <s v="WQNOV12"/>
    <s v="D3"/>
    <d v="2012-11-14T00:00:00"/>
    <n v="12.87"/>
    <n v="12.48"/>
    <x v="21"/>
  </r>
  <r>
    <s v="WQDEC12"/>
    <s v="D3"/>
    <d v="2012-12-04T00:00:00"/>
    <n v="9.5"/>
    <n v="9.4700000000000006"/>
    <x v="21"/>
  </r>
  <r>
    <s v="WQJAN13"/>
    <s v="D3"/>
    <d v="2013-01-10T00:00:00"/>
    <n v="5.16"/>
    <n v="4.99"/>
    <x v="22"/>
  </r>
  <r>
    <s v="WQFEB13"/>
    <s v="D3"/>
    <d v="2013-01-30T00:00:00"/>
    <n v="2.92"/>
    <n v="2.57"/>
    <x v="22"/>
  </r>
  <r>
    <s v="CHFEB13"/>
    <s v="D3"/>
    <d v="2013-02-14T00:00:00"/>
    <n v="2"/>
    <n v="2.17"/>
    <x v="22"/>
  </r>
  <r>
    <s v="WQMAR13"/>
    <s v="D3"/>
    <d v="2013-03-11T00:00:00"/>
    <n v="2.66"/>
    <n v="2.93"/>
    <x v="22"/>
  </r>
  <r>
    <s v="WQAPR13"/>
    <s v="D3"/>
    <d v="2013-04-04T00:00:00"/>
    <n v="3.9"/>
    <n v="4.4400000000000004"/>
    <x v="22"/>
  </r>
  <r>
    <s v="WQMAY13"/>
    <s v="D3"/>
    <d v="2013-05-01T00:00:00"/>
    <n v="7.86"/>
    <n v="10.6"/>
    <x v="22"/>
  </r>
  <r>
    <s v="WQJUN13"/>
    <s v="D3"/>
    <d v="2013-06-05T00:00:00"/>
    <n v="12.09"/>
    <n v="14.88"/>
    <x v="22"/>
  </r>
  <r>
    <s v="HYJUN13"/>
    <s v="D3"/>
    <d v="2013-06-21T00:00:00"/>
    <n v="14.77"/>
    <n v="19.88"/>
    <x v="22"/>
  </r>
  <r>
    <s v="WQJUL13"/>
    <s v="D3"/>
    <d v="2013-07-02T00:00:00"/>
    <n v="15.69"/>
    <n v="21.53"/>
    <x v="22"/>
  </r>
  <r>
    <s v="HYJUL13"/>
    <s v="D3"/>
    <d v="2013-07-15T00:00:00"/>
    <n v="17.420000000000002"/>
    <n v="22.23"/>
    <x v="22"/>
  </r>
  <r>
    <s v="WQAUG13"/>
    <s v="D3"/>
    <d v="2013-07-31T00:00:00"/>
    <n v="19.25"/>
    <n v="24.15"/>
    <x v="22"/>
  </r>
  <r>
    <s v="HYAUG13"/>
    <s v="D3"/>
    <d v="2013-08-12T00:00:00"/>
    <n v="20.350000000000001"/>
    <n v="22.17"/>
    <x v="22"/>
  </r>
  <r>
    <s v="WQSEP13"/>
    <s v="D3"/>
    <d v="2013-08-28T00:00:00"/>
    <n v="21.63"/>
    <n v="23.07"/>
    <x v="22"/>
  </r>
  <r>
    <s v="HYSEP13"/>
    <s v="D3"/>
    <d v="2013-09-09T00:00:00"/>
    <n v="21.83"/>
    <n v="22.07"/>
    <x v="22"/>
  </r>
  <r>
    <s v="WQOCT13"/>
    <s v="D3"/>
    <d v="2013-10-02T00:00:00"/>
    <n v="20.28"/>
    <n v="20.69"/>
    <x v="22"/>
  </r>
  <r>
    <s v="WQNOV13"/>
    <s v="D3"/>
    <d v="2013-11-05T00:00:00"/>
    <n v="15.27"/>
    <n v="15.31"/>
    <x v="22"/>
  </r>
  <r>
    <s v="WQDEC13"/>
    <s v="D3"/>
    <d v="2013-12-03T00:00:00"/>
    <n v="9.1"/>
    <n v="8.9600000000000009"/>
    <x v="22"/>
  </r>
  <r>
    <s v="WQJAN14"/>
    <s v="D3"/>
    <d v="2014-01-09T00:00:00"/>
    <n v="2.8"/>
    <n v="2.02"/>
    <x v="23"/>
  </r>
  <r>
    <s v="WQFEB14"/>
    <s v="D3"/>
    <d v="2014-02-06T00:00:00"/>
    <n v="0.54"/>
    <n v="0.54"/>
    <x v="23"/>
  </r>
  <r>
    <s v="CHFEB14"/>
    <s v="D3"/>
    <d v="2014-02-20T00:00:00"/>
    <n v="0.1"/>
    <n v="0.18"/>
    <x v="23"/>
  </r>
  <r>
    <s v="WQMAR14"/>
    <s v="D3"/>
    <d v="2014-03-05T00:00:00"/>
    <n v="0.16"/>
    <n v="0.13"/>
    <x v="23"/>
  </r>
  <r>
    <s v="WQAPR14"/>
    <s v="D3"/>
    <d v="2014-04-02T00:00:00"/>
    <n v="1.95"/>
    <n v="2.56"/>
    <x v="23"/>
  </r>
  <r>
    <s v="WQMAY14"/>
    <s v="D3"/>
    <d v="2014-05-07T00:00:00"/>
    <n v="7.38"/>
    <n v="10.039999999999999"/>
    <x v="23"/>
  </r>
  <r>
    <s v="WQJUN14"/>
    <s v="D3"/>
    <d v="2014-06-03T00:00:00"/>
    <n v="10.55"/>
    <n v="17.45"/>
    <x v="23"/>
  </r>
  <r>
    <s v="HYJUN14"/>
    <s v="D3"/>
    <d v="2014-06-19T00:00:00"/>
    <n v="12.87"/>
    <n v="18.09"/>
    <x v="23"/>
  </r>
  <r>
    <s v="WQJUL14"/>
    <s v="D3"/>
    <d v="2014-07-02T00:00:00"/>
    <n v="14.33"/>
    <n v="20.87"/>
    <x v="23"/>
  </r>
  <r>
    <s v="HYJUL14"/>
    <s v="D3"/>
    <d v="2014-07-14T00:00:00"/>
    <n v="16.760000000000002"/>
    <n v="20.059999999999999"/>
    <x v="23"/>
  </r>
  <r>
    <s v="WQAUG14"/>
    <s v="D3"/>
    <d v="2014-08-06T00:00:00"/>
    <n v="19.53"/>
    <n v="24.46"/>
    <x v="23"/>
  </r>
  <r>
    <s v="HYAUG14"/>
    <s v="D3"/>
    <d v="2014-08-19T00:00:00"/>
    <n v="21.3"/>
    <n v="22.61"/>
    <x v="23"/>
  </r>
  <r>
    <s v="WQSEP14"/>
    <s v="D3"/>
    <d v="2014-09-02T00:00:00"/>
    <n v="21.64"/>
    <n v="25.18"/>
    <x v="23"/>
  </r>
  <r>
    <s v="HYSEP14"/>
    <s v="D3"/>
    <d v="2014-09-16T00:00:00"/>
    <n v="21.91"/>
    <n v="21.87"/>
    <x v="23"/>
  </r>
  <r>
    <s v="WQOCT14"/>
    <s v="D3"/>
    <d v="2014-10-01T00:00:00"/>
    <n v="20.67"/>
    <n v="20.64"/>
    <x v="23"/>
  </r>
  <r>
    <s v="WQNOV14"/>
    <s v="D3"/>
    <d v="2014-11-10T00:00:00"/>
    <n v="14.26"/>
    <n v="14.02"/>
    <x v="23"/>
  </r>
  <r>
    <s v="WQDEC14"/>
    <s v="D3"/>
    <d v="2014-12-10T00:00:00"/>
    <n v="7.63"/>
    <n v="7.11"/>
    <x v="23"/>
  </r>
  <r>
    <s v="WQJAN15"/>
    <s v="D3"/>
    <d v="2015-01-14T00:00:00"/>
    <n v="3.55"/>
    <n v="2.92"/>
    <x v="24"/>
  </r>
  <r>
    <s v="WQFEB15"/>
    <s v="D3"/>
    <d v="2015-02-10T00:00:00"/>
    <n v="0.26"/>
    <n v="0.27"/>
    <x v="24"/>
  </r>
  <r>
    <s v="WQMAR15"/>
    <s v="D3"/>
    <d v="2015-03-10T00:00:00"/>
    <n v="-1.1000000000000001"/>
    <n v="-0.81"/>
    <x v="24"/>
  </r>
  <r>
    <s v="CHMAR15"/>
    <s v="D3"/>
    <d v="2015-03-19T00:00:00"/>
    <n v="-0.08"/>
    <n v="0.73"/>
    <x v="24"/>
  </r>
  <r>
    <s v="WQAPR15"/>
    <s v="D3"/>
    <d v="2015-04-01T00:00:00"/>
    <n v="0.72"/>
    <n v="1.81"/>
    <x v="24"/>
  </r>
  <r>
    <s v="WQMAY15"/>
    <s v="D3"/>
    <d v="2015-05-01T00:00:00"/>
    <n v="5.34"/>
    <n v="7.42"/>
    <x v="24"/>
  </r>
  <r>
    <s v="WQJUN15"/>
    <s v="D3"/>
    <d v="2015-05-29T00:00:00"/>
    <n v="8.91"/>
    <n v="15.62"/>
    <x v="24"/>
  </r>
  <r>
    <s v="HYJUN15"/>
    <s v="D3"/>
    <d v="2015-06-19T00:00:00"/>
    <n v="13.31"/>
    <n v="16.82"/>
    <x v="24"/>
  </r>
  <r>
    <s v="WQJUL15"/>
    <s v="D3"/>
    <d v="2015-07-07T00:00:00"/>
    <n v="15.77"/>
    <n v="19.309999999999999"/>
    <x v="24"/>
  </r>
  <r>
    <s v="HYJUL15"/>
    <s v="D3"/>
    <d v="2015-07-20T00:00:00"/>
    <n v="17.36"/>
    <n v="20.32"/>
    <x v="24"/>
  </r>
  <r>
    <s v="WQAUG15"/>
    <s v="D3"/>
    <d v="2015-08-04T00:00:00"/>
    <n v="18.89"/>
    <n v="22.1"/>
    <x v="24"/>
  </r>
  <r>
    <s v="HYAUG15"/>
    <s v="D3"/>
    <d v="2015-08-17T00:00:00"/>
    <n v="20.89"/>
    <n v="24.18"/>
    <x v="24"/>
  </r>
  <r>
    <s v="WQSEP15"/>
    <s v="D3"/>
    <d v="2015-09-01T00:00:00"/>
    <n v="22.36"/>
    <n v="24.11"/>
    <x v="24"/>
  </r>
  <r>
    <s v="HYSEP15"/>
    <s v="D3"/>
    <d v="2015-09-16T00:00:00"/>
    <n v="23.14"/>
    <n v="23.16"/>
    <x v="24"/>
  </r>
  <r>
    <s v="WQOCT15"/>
    <s v="D3"/>
    <d v="2015-10-08T00:00:00"/>
    <n v="18.95"/>
    <n v="19.2"/>
    <x v="24"/>
  </r>
  <r>
    <s v="WQNOV15"/>
    <s v="D3"/>
    <d v="2015-11-09T00:00:00"/>
    <n v="15.65"/>
    <n v="15.47"/>
    <x v="24"/>
  </r>
  <r>
    <s v="WQDEC15"/>
    <s v="D3"/>
    <d v="2015-11-30T00:00:00"/>
    <n v="12.21"/>
    <n v="12.18"/>
    <x v="24"/>
  </r>
  <r>
    <s v="WQJAN16"/>
    <s v="D3"/>
    <d v="2016-01-12T00:00:00"/>
    <n v="7.05"/>
    <n v="7"/>
    <x v="25"/>
  </r>
  <r>
    <s v="WQFEB16"/>
    <s v="D3"/>
    <d v="2016-02-01T00:00:00"/>
    <n v="4.13"/>
    <n v="4.01"/>
    <x v="25"/>
  </r>
  <r>
    <s v="CHFEB16"/>
    <s v="D3"/>
    <d v="2016-02-17T00:00:00"/>
    <n v="2.57"/>
    <n v="2.5499999999999998"/>
    <x v="25"/>
  </r>
  <r>
    <s v="WQMAR16"/>
    <s v="D3"/>
    <d v="2016-03-08T00:00:00"/>
    <n v="3.38"/>
    <n v="4.0999999999999996"/>
    <x v="25"/>
  </r>
  <r>
    <s v="CHMAR16"/>
    <s v="D3"/>
    <d v="2016-03-23T00:00:00"/>
    <n v="4.9000000000000004"/>
    <n v="5.83"/>
    <x v="25"/>
  </r>
  <r>
    <s v="WQAPR16"/>
    <s v="D3"/>
    <d v="2016-04-06T00:00:00"/>
    <n v="6.14"/>
    <n v="6.22"/>
    <x v="25"/>
  </r>
  <r>
    <s v="WQMAY16"/>
    <s v="D3"/>
    <d v="2016-05-12T00:00:00"/>
    <n v="9.76"/>
    <n v="12.55"/>
    <x v="25"/>
  </r>
  <r>
    <s v="WQJUN16"/>
    <s v="D3"/>
    <d v="2016-06-10T00:00:00"/>
    <n v="12.38"/>
    <n v="16.86"/>
    <x v="25"/>
  </r>
  <r>
    <s v="HYJUN16"/>
    <s v="D3"/>
    <d v="2016-06-20T00:00:00"/>
    <n v="14.32"/>
    <n v="17.11"/>
    <x v="25"/>
  </r>
  <r>
    <s v="WQJUL16"/>
    <s v="D3"/>
    <d v="2016-07-06T00:00:00"/>
    <n v="16.38"/>
    <n v="19.7"/>
    <x v="25"/>
  </r>
  <r>
    <s v="HYJUL16"/>
    <s v="D3"/>
    <d v="2016-07-19T00:00:00"/>
    <n v="17.71"/>
    <n v="22.7"/>
    <x v="25"/>
  </r>
  <r>
    <s v="WQAUG16"/>
    <s v="D3"/>
    <d v="2016-08-04T00:00:00"/>
    <n v="21.1"/>
    <n v="22.13"/>
    <x v="25"/>
  </r>
  <r>
    <s v="HYAUG16"/>
    <s v="D3"/>
    <d v="2016-08-18T00:00:00"/>
    <m/>
    <m/>
    <x v="25"/>
  </r>
  <r>
    <s v="WQSEP16"/>
    <s v="D3"/>
    <d v="2016-08-30T00:00:00"/>
    <n v="23.22"/>
    <n v="24.91"/>
    <x v="25"/>
  </r>
  <r>
    <s v="HYSEP16"/>
    <s v="D3"/>
    <d v="2016-09-13T00:00:00"/>
    <n v="23.11"/>
    <n v="23.49"/>
    <x v="25"/>
  </r>
  <r>
    <s v="WQOCT16"/>
    <s v="D3"/>
    <d v="2016-10-05T00:00:00"/>
    <n v="20.309999999999999"/>
    <n v="20.3"/>
    <x v="25"/>
  </r>
  <r>
    <s v="WQNOV16"/>
    <s v="D3"/>
    <d v="2016-11-09T00:00:00"/>
    <n v="15.25"/>
    <n v="15.06"/>
    <x v="25"/>
  </r>
  <r>
    <s v="WQDEC16"/>
    <s v="D3"/>
    <d v="2016-12-05T00:00:00"/>
    <n v="10.4"/>
    <n v="10.119999999999999"/>
    <x v="25"/>
  </r>
  <r>
    <s v="WQJAN17"/>
    <s v="D3"/>
    <d v="2017-01-10T00:00:00"/>
    <n v="4.51"/>
    <n v="3.88"/>
    <x v="26"/>
  </r>
  <r>
    <s v="WQFEB17"/>
    <s v="D3"/>
    <d v="2017-02-08T00:00:00"/>
    <n v="3.43"/>
    <n v="3.63"/>
    <x v="26"/>
  </r>
  <r>
    <s v="CHFEB17"/>
    <s v="D3"/>
    <d v="2017-02-21T00:00:00"/>
    <n v="2.92"/>
    <n v="3.36"/>
    <x v="26"/>
  </r>
  <r>
    <s v="WQMAR17"/>
    <s v="D3"/>
    <d v="2017-03-07T00:00:00"/>
    <n v="3.38"/>
    <n v="3.74"/>
    <x v="26"/>
  </r>
  <r>
    <s v="WQAPR17"/>
    <s v="D3"/>
    <d v="2017-04-05T00:00:00"/>
    <n v="3.91"/>
    <n v="4.8"/>
    <x v="26"/>
  </r>
  <r>
    <s v="WQMAY17"/>
    <s v="D3"/>
    <d v="2017-05-03T00:00:00"/>
    <n v="8.2100000000000009"/>
    <n v="10.43"/>
    <x v="26"/>
  </r>
  <r>
    <s v="WQJUN17"/>
    <s v="D3"/>
    <d v="2017-06-06T00:00:00"/>
    <n v="12.32"/>
    <n v="14.06"/>
    <x v="26"/>
  </r>
  <r>
    <s v="HYJUN17"/>
    <s v="D3"/>
    <d v="2017-06-20T00:00:00"/>
    <n v="13.27"/>
    <n v="19.36"/>
    <x v="26"/>
  </r>
  <r>
    <s v="WQJUL17"/>
    <s v="D3"/>
    <d v="2017-07-06T00:00:00"/>
    <n v="16.25"/>
    <n v="20"/>
    <x v="26"/>
  </r>
  <r>
    <s v="HYJUL17"/>
    <s v="D3"/>
    <d v="2017-07-18T00:00:00"/>
    <n v="17.57"/>
    <n v="23.57"/>
    <x v="26"/>
  </r>
  <r>
    <s v="WQAUG17"/>
    <s v="D3"/>
    <d v="2017-08-01T00:00:00"/>
    <n v="20.27"/>
    <n v="23.74"/>
    <x v="26"/>
  </r>
  <r>
    <s v="HYAUG17"/>
    <s v="D3"/>
    <d v="2017-08-15T00:00:00"/>
    <n v="20.7"/>
    <n v="23.11"/>
    <x v="26"/>
  </r>
  <r>
    <s v="WQSEP17"/>
    <s v="D3"/>
    <d v="2017-08-28T00:00:00"/>
    <n v="21.87"/>
    <n v="22.44"/>
    <x v="26"/>
  </r>
  <r>
    <s v="WQOCT17"/>
    <s v="D3"/>
    <d v="2017-10-10T00:00:00"/>
    <n v="20.81"/>
    <n v="21.78"/>
    <x v="26"/>
  </r>
  <r>
    <s v="WQNOV17"/>
    <s v="D3"/>
    <d v="2017-11-13T00:00:00"/>
    <n v="15.14"/>
    <n v="15.05"/>
    <x v="26"/>
  </r>
  <r>
    <s v="WQDEC17"/>
    <s v="D3"/>
    <d v="2017-11-30T00:00:00"/>
    <n v="11.54"/>
    <n v="10.82"/>
    <x v="26"/>
  </r>
  <r>
    <s v="WQJAN18"/>
    <s v="D3"/>
    <d v="2018-01-11T00:00:00"/>
    <n v="1.95"/>
    <n v="1.6"/>
    <x v="27"/>
  </r>
  <r>
    <s v="WQFEB18"/>
    <s v="D3"/>
    <d v="2018-02-08T00:00:00"/>
    <m/>
    <m/>
    <x v="27"/>
  </r>
  <r>
    <s v="CHFEB18"/>
    <s v="D3"/>
    <d v="2018-02-20T00:00:00"/>
    <n v="1.52"/>
    <n v="2.52"/>
    <x v="27"/>
  </r>
  <r>
    <s v="WQMAR18"/>
    <s v="D3"/>
    <d v="2018-03-19T00:00:00"/>
    <n v="2.98"/>
    <n v="3.32"/>
    <x v="27"/>
  </r>
  <r>
    <s v="WQAPR18"/>
    <s v="D3"/>
    <d v="2018-04-10T00:00:00"/>
    <n v="3.93"/>
    <n v="4.74"/>
    <x v="27"/>
  </r>
  <r>
    <s v="WQMAY18"/>
    <s v="D3"/>
    <d v="2018-05-02T00:00:00"/>
    <n v="6.03"/>
    <n v="9"/>
    <x v="27"/>
  </r>
  <r>
    <s v="WQJUN18"/>
    <s v="D3"/>
    <d v="2018-06-05T00:00:00"/>
    <n v="10.88"/>
    <n v="15.5"/>
    <x v="27"/>
  </r>
  <r>
    <s v="HYJUN18"/>
    <s v="D3"/>
    <d v="2018-06-12T00:00:00"/>
    <n v="11.43"/>
    <n v="15.54"/>
    <x v="27"/>
  </r>
  <r>
    <s v="WQJUL18"/>
    <s v="D3"/>
    <d v="2018-07-05T00:00:00"/>
    <n v="14.72"/>
    <n v="23.01"/>
    <x v="27"/>
  </r>
  <r>
    <s v="HYJUL18"/>
    <s v="D3"/>
    <d v="2018-07-16T00:00:00"/>
    <n v="16.690000000000001"/>
    <n v="21.33"/>
    <x v="27"/>
  </r>
  <r>
    <s v="WQAUG18"/>
    <s v="D3"/>
    <d v="2018-08-02T00:00:00"/>
    <n v="19.38"/>
    <n v="23.91"/>
    <x v="27"/>
  </r>
  <r>
    <s v="HYAUG18"/>
    <s v="D3"/>
    <d v="2018-08-15T00:00:00"/>
    <n v="21.18"/>
    <n v="24.39"/>
    <x v="27"/>
  </r>
  <r>
    <s v="WQSEP18"/>
    <s v="D3"/>
    <d v="2018-08-27T00:00:00"/>
    <n v="22.04"/>
    <n v="24.37"/>
    <x v="27"/>
  </r>
  <r>
    <s v="HYSEP18"/>
    <s v="D3"/>
    <d v="2018-09-12T00:00:00"/>
    <n v="22.61"/>
    <n v="22.67"/>
    <x v="27"/>
  </r>
  <r>
    <s v="WQOCT18"/>
    <s v="D3"/>
    <d v="2018-10-03T00:00:00"/>
    <n v="21.55"/>
    <n v="21.69"/>
    <x v="27"/>
  </r>
  <r>
    <s v="WQNOV18"/>
    <s v="D3"/>
    <d v="2018-11-06T00:00:00"/>
    <n v="14.85"/>
    <n v="14.55"/>
    <x v="27"/>
  </r>
  <r>
    <s v="WQDEC18"/>
    <s v="D3"/>
    <d v="2018-12-03T00:00:00"/>
    <n v="8.65"/>
    <n v="8.5"/>
    <x v="27"/>
  </r>
  <r>
    <s v="WQJAN19"/>
    <s v="D3"/>
    <d v="2019-01-07T00:00:00"/>
    <n v="5.92"/>
    <n v="5.19"/>
    <x v="28"/>
  </r>
  <r>
    <s v="WQFEB19"/>
    <s v="D3"/>
    <d v="2019-02-07T00:00:00"/>
    <n v="1.94"/>
    <n v="1.98"/>
    <x v="28"/>
  </r>
  <r>
    <s v="CHFEB19"/>
    <s v="D3"/>
    <d v="2019-02-21T00:00:00"/>
    <n v="1.82"/>
    <n v="1.93"/>
    <x v="28"/>
  </r>
  <r>
    <s v="WQMAR19"/>
    <s v="D3"/>
    <d v="2019-03-05T00:00:00"/>
    <n v="1.99"/>
    <n v="1.99"/>
    <x v="28"/>
  </r>
  <r>
    <s v="WQAPR19"/>
    <s v="D3"/>
    <d v="2019-04-03T00:00:00"/>
    <n v="3.76"/>
    <n v="4.8600000000000003"/>
    <x v="28"/>
  </r>
  <r>
    <s v="WQMAY19"/>
    <s v="D3"/>
    <d v="2019-05-07T00:00:00"/>
    <n v="8.84"/>
    <n v="11"/>
    <x v="28"/>
  </r>
  <r>
    <s v="WQJUN19"/>
    <s v="D3"/>
    <d v="2019-05-30T00:00:00"/>
    <n v="10.95"/>
    <n v="14.12"/>
    <x v="28"/>
  </r>
  <r>
    <s v="HYJUN19"/>
    <s v="D3"/>
    <d v="2019-06-12T00:00:00"/>
    <n v="13.05"/>
    <n v="16.36"/>
    <x v="28"/>
  </r>
  <r>
    <s v="WQJUL19"/>
    <s v="D3"/>
    <d v="2019-07-02T00:00:00"/>
    <n v="15.6"/>
    <n v="20.27"/>
    <x v="28"/>
  </r>
  <r>
    <s v="HYJUL19"/>
    <s v="D3"/>
    <d v="2019-07-15T00:00:00"/>
    <n v="16.97"/>
    <n v="21.54"/>
    <x v="28"/>
  </r>
  <r>
    <s v="WQAUG19"/>
    <s v="D3"/>
    <d v="2019-07-30T00:00:00"/>
    <n v="18.41"/>
    <n v="24.13"/>
    <x v="28"/>
  </r>
  <r>
    <s v="HYAUG19"/>
    <s v="D3"/>
    <d v="2019-08-12T00:00:00"/>
    <n v="20.75"/>
    <n v="23.41"/>
    <x v="28"/>
  </r>
  <r>
    <s v="WQSEP19"/>
    <s v="D3"/>
    <d v="2019-08-29T00:00:00"/>
    <n v="21.69"/>
    <n v="22.2"/>
    <x v="28"/>
  </r>
  <r>
    <s v="HYSEP19"/>
    <s v="D3"/>
    <d v="2019-09-10T00:00:00"/>
    <n v="21.95"/>
    <n v="22.08"/>
    <x v="28"/>
  </r>
  <r>
    <s v="WQOCT19"/>
    <s v="D3"/>
    <d v="2019-10-01T00:00:00"/>
    <n v="21.24"/>
    <n v="21.46"/>
    <x v="28"/>
  </r>
  <r>
    <s v="WQNOV19"/>
    <s v="D3"/>
    <d v="2019-11-05T00:00:00"/>
    <n v="15.8"/>
    <n v="15.45"/>
    <x v="28"/>
  </r>
  <r>
    <s v="WQDEC19"/>
    <s v="D3"/>
    <d v="2019-12-05T00:00:00"/>
    <n v="8.4600000000000009"/>
    <n v="8.44"/>
    <x v="28"/>
  </r>
  <r>
    <s v="WQJAN20"/>
    <s v="D3"/>
    <d v="2020-01-09T00:00:00"/>
    <n v="4.9000000000000004"/>
    <n v="4.8899999999999997"/>
    <x v="29"/>
  </r>
  <r>
    <s v="WQFEB20"/>
    <s v="D3"/>
    <d v="2020-02-03T00:00:00"/>
    <m/>
    <m/>
    <x v="29"/>
  </r>
  <r>
    <s v="WQMAR20"/>
    <s v="D3"/>
    <d v="2020-03-10T00:00:00"/>
    <n v="4.1900000000000004"/>
    <n v="4.51"/>
    <x v="29"/>
  </r>
  <r>
    <s v="WQJUN20"/>
    <s v="D3"/>
    <d v="2020-06-17T00:00:00"/>
    <n v="13.03"/>
    <n v="16.989999999999998"/>
    <x v="29"/>
  </r>
  <r>
    <s v="WQJUL20"/>
    <s v="D3"/>
    <d v="2020-07-07T00:00:00"/>
    <n v="15.91"/>
    <n v="19.59"/>
    <x v="29"/>
  </r>
  <r>
    <s v="HYJUL20"/>
    <s v="D3"/>
    <d v="2020-07-20T00:00:00"/>
    <n v="17.64"/>
    <n v="23.35"/>
    <x v="29"/>
  </r>
  <r>
    <s v="WQAUG20"/>
    <s v="D3"/>
    <d v="2020-08-12T00:00:00"/>
    <n v="21.12"/>
    <n v="25.66"/>
    <x v="29"/>
  </r>
  <r>
    <s v="HYAUG20"/>
    <s v="D3"/>
    <d v="2020-09-01T00:00:00"/>
    <m/>
    <m/>
    <x v="29"/>
  </r>
  <r>
    <s v="WQSEP20"/>
    <s v="D3"/>
    <d v="2020-09-09T00:00:00"/>
    <n v="23.04"/>
    <n v="24.06"/>
    <x v="29"/>
  </r>
  <r>
    <s v="WQOCT20"/>
    <s v="D3"/>
    <d v="2020-10-14T00:00:00"/>
    <n v="18.68"/>
    <n v="18.68"/>
    <x v="29"/>
  </r>
  <r>
    <s v="WQNOV20"/>
    <s v="D3"/>
    <d v="2020-11-04T00:00:00"/>
    <n v="14.89"/>
    <n v="14.49"/>
    <x v="29"/>
  </r>
  <r>
    <m/>
    <s v="D3"/>
    <d v="2021-03-10T00:00:00"/>
    <n v="2.27"/>
    <n v="3.06"/>
    <x v="30"/>
  </r>
  <r>
    <m/>
    <s v="D3"/>
    <d v="2021-04-07T00:00:00"/>
    <n v="4.83"/>
    <n v="6.41"/>
    <x v="30"/>
  </r>
  <r>
    <m/>
    <s v="D3"/>
    <d v="2021-05-05T00:00:00"/>
    <n v="8.9"/>
    <n v="10.199999999999999"/>
    <x v="30"/>
  </r>
  <r>
    <m/>
    <s v="D3"/>
    <d v="2021-06-08T00:00:00"/>
    <n v="12.38"/>
    <n v="17.690000000000001"/>
    <x v="30"/>
  </r>
  <r>
    <m/>
    <s v="D3"/>
    <d v="2021-06-21T00:00:00"/>
    <n v="13.62"/>
    <n v="17.940000000000001"/>
    <x v="30"/>
  </r>
  <r>
    <m/>
    <s v="D3"/>
    <d v="2021-07-12T00:00:00"/>
    <n v="16.77"/>
    <n v="22.13"/>
    <x v="30"/>
  </r>
  <r>
    <m/>
    <s v="D3"/>
    <d v="2021-07-19T00:00:00"/>
    <n v="17.489999999999998"/>
    <n v="23.61"/>
    <x v="30"/>
  </r>
  <r>
    <m/>
    <s v="D3"/>
    <d v="2021-08-03T00:00:00"/>
    <n v="19.77"/>
    <n v="22.11"/>
    <x v="30"/>
  </r>
  <r>
    <m/>
    <s v="D3"/>
    <d v="2021-08-16T00:00:00"/>
    <n v="20.49"/>
    <n v="23.47"/>
    <x v="30"/>
  </r>
  <r>
    <m/>
    <s v="D3"/>
    <d v="2021-08-31T00:00:00"/>
    <n v="21.96"/>
    <n v="24.64"/>
    <x v="30"/>
  </r>
  <r>
    <m/>
    <s v="D3"/>
    <d v="2021-09-14T00:00:00"/>
    <n v="22.47"/>
    <n v="22.69"/>
    <x v="30"/>
  </r>
  <r>
    <m/>
    <s v="D3"/>
    <d v="2021-10-05T00:00:00"/>
    <n v="21.3"/>
    <n v="21.28"/>
    <x v="30"/>
  </r>
  <r>
    <m/>
    <s v="D3"/>
    <d v="2021-11-08T00:00:00"/>
    <n v="16.29"/>
    <n v="15.87"/>
    <x v="30"/>
  </r>
  <r>
    <m/>
    <s v="D3"/>
    <d v="2021-12-07T00:00:00"/>
    <n v="10.51"/>
    <n v="10.29"/>
    <x v="30"/>
  </r>
  <r>
    <s v="WQFEB22"/>
    <s v="D3"/>
    <d v="2022-02-02T00:00:00"/>
    <n v="2.5"/>
    <n v="2.34"/>
    <x v="31"/>
  </r>
  <r>
    <s v="CHFEB22"/>
    <s v="D3"/>
    <d v="2022-02-15T00:00:00"/>
    <n v="2.5299999999999998"/>
    <n v="2.2000000000000002"/>
    <x v="31"/>
  </r>
  <r>
    <s v="WQMAR22"/>
    <s v="D3"/>
    <d v="2022-03-03T00:00:00"/>
    <n v="2.86"/>
    <n v="3.02"/>
    <x v="31"/>
  </r>
  <r>
    <s v="WQAPR22"/>
    <s v="D3"/>
    <d v="2022-04-05T00:00:00"/>
    <n v="4.9400000000000004"/>
    <n v="5.85"/>
    <x v="31"/>
  </r>
  <r>
    <s v="WQMAY22"/>
    <s v="D3"/>
    <d v="2022-05-05T00:00:00"/>
    <n v="8.4700000000000006"/>
    <n v="9.5299999999999994"/>
    <x v="31"/>
  </r>
  <r>
    <s v="WQJUN22"/>
    <s v="D3"/>
    <d v="2022-06-03T00:00:00"/>
    <n v="11.65"/>
    <n v="16.46"/>
    <x v="31"/>
  </r>
  <r>
    <s v="HYJUN22"/>
    <s v="D3"/>
    <d v="2022-06-14T00:00:00"/>
    <n v="13.34"/>
    <n v="16.690000000000001"/>
    <x v="31"/>
  </r>
  <r>
    <s v="WQJUL22"/>
    <s v="D3"/>
    <d v="2022-07-07T00:00:00"/>
    <n v="16.14"/>
    <n v="19.52"/>
    <x v="31"/>
  </r>
  <r>
    <s v="HYJUL22"/>
    <s v="D3"/>
    <d v="2022-07-19T00:00:00"/>
    <n v="18.16"/>
    <n v="22.23"/>
    <x v="31"/>
  </r>
  <r>
    <s v="WQAUG22"/>
    <s v="D3"/>
    <d v="2022-08-02T00:00:00"/>
    <n v="19.260000000000002"/>
    <n v="21.91"/>
    <x v="31"/>
  </r>
  <r>
    <s v="HYAUG22"/>
    <s v="D3"/>
    <d v="2022-08-17T00:00:00"/>
    <n v="21.73"/>
    <n v="23.18"/>
    <x v="31"/>
  </r>
  <r>
    <s v="WQSEP22"/>
    <s v="D3"/>
    <d v="2022-09-01T00:00:00"/>
    <n v="22.43"/>
    <n v="24.42"/>
    <x v="31"/>
  </r>
  <r>
    <s v="HYSEP22"/>
    <s v="D3"/>
    <d v="2022-09-13T00:00:00"/>
    <n v="23.13"/>
    <n v="23.28"/>
    <x v="31"/>
  </r>
  <r>
    <s v="WQOCT22"/>
    <s v="D3"/>
    <d v="2022-10-11T00:00:00"/>
    <n v="18.25"/>
    <n v="18.239999999999998"/>
    <x v="31"/>
  </r>
  <r>
    <s v="WQNOV22"/>
    <s v="D3"/>
    <d v="2022-11-09T00:00:00"/>
    <n v="15.99"/>
    <n v="15.97"/>
    <x v="31"/>
  </r>
  <r>
    <s v="WQDEC22"/>
    <s v="D3"/>
    <d v="2022-12-05T00:00:00"/>
    <n v="10.71"/>
    <n v="10.47"/>
    <x v="31"/>
  </r>
  <r>
    <s v="WQJAN23"/>
    <s v="D3"/>
    <d v="2023-01-05T00:00:00"/>
    <n v="5.69"/>
    <n v="5.47"/>
    <x v="32"/>
  </r>
  <r>
    <s v="WQFEB23"/>
    <s v="D3"/>
    <d v="2023-02-07T00:00:00"/>
    <n v="4.09"/>
    <n v="3.98"/>
    <x v="32"/>
  </r>
  <r>
    <s v="WQAPR23"/>
    <s v="D3"/>
    <d v="2023-04-18T00:00:00"/>
    <n v="7.08"/>
    <n v="8.65"/>
    <x v="32"/>
  </r>
  <r>
    <s v="WQMAY23"/>
    <s v="D3"/>
    <d v="2023-05-04T00:00:00"/>
    <n v="9.82"/>
    <n v="11.01"/>
    <x v="32"/>
  </r>
  <r>
    <s v="WQJUN23"/>
    <s v="D3"/>
    <d v="2023-06-01T00:00:00"/>
    <n v="12.46"/>
    <n v="14.73"/>
    <x v="32"/>
  </r>
  <r>
    <s v="HYJUN23"/>
    <s v="D3"/>
    <d v="2023-06-23T00:00:00"/>
    <n v="15.76"/>
    <n v="17.36"/>
    <x v="32"/>
  </r>
  <r>
    <s v="WQJUL23"/>
    <s v="D3"/>
    <d v="2023-07-10T00:00:00"/>
    <n v="16.91"/>
    <n v="22.67"/>
    <x v="32"/>
  </r>
  <r>
    <s v="HYJUL23"/>
    <s v="D3"/>
    <d v="2023-07-17T00:00:00"/>
    <n v="17.64"/>
    <n v="21.84"/>
    <x v="32"/>
  </r>
  <r>
    <s v="WQAUG23"/>
    <s v="D3"/>
    <d v="2023-08-02T00:00:00"/>
    <n v="19.940000000000001"/>
    <n v="22.87"/>
    <x v="32"/>
  </r>
  <r>
    <s v="HYAUG23"/>
    <s v="D3"/>
    <d v="2023-08-14T00:00:00"/>
    <n v="20.75"/>
    <n v="22.55"/>
    <x v="32"/>
  </r>
  <r>
    <s v="WQSEP23"/>
    <s v="D3"/>
    <d v="2023-09-07T00:00:00"/>
    <n v="22.05"/>
    <n v="24.5"/>
    <x v="32"/>
  </r>
  <r>
    <s v="WQOCT23"/>
    <s v="D3"/>
    <d v="2023-10-10T00:00:00"/>
    <n v="19.38"/>
    <n v="18.75"/>
    <x v="32"/>
  </r>
  <r>
    <s v="WQNOV23"/>
    <s v="D3"/>
    <d v="2023-11-08T00:00:00"/>
    <n v="15.58"/>
    <n v="15.25"/>
    <x v="32"/>
  </r>
  <r>
    <s v="WQDEC23"/>
    <s v="D3"/>
    <d v="2023-12-06T00:00:00"/>
    <n v="10.29"/>
    <n v="9.65"/>
    <x v="32"/>
  </r>
  <r>
    <s v="WQJAN24"/>
    <s v="D3"/>
    <d v="2024-01-08T00:00:00"/>
    <n v="6.68"/>
    <n v="6.71"/>
    <x v="33"/>
  </r>
  <r>
    <s v="WQFEB24"/>
    <s v="D3"/>
    <d v="2024-02-06T00:00:00"/>
    <n v="4.2699999999999996"/>
    <n v="3.96"/>
    <x v="33"/>
  </r>
  <r>
    <s v="CHFEB24"/>
    <s v="D3"/>
    <d v="2024-02-22T00:00:00"/>
    <n v="3.73"/>
    <n v="3.7"/>
    <x v="33"/>
  </r>
  <r>
    <s v="WQMAR24"/>
    <s v="D3"/>
    <d v="2024-03-06T00:00:00"/>
    <n v="4.17"/>
    <n v="4.79"/>
    <x v="33"/>
  </r>
  <r>
    <s v="CHMAR24"/>
    <s v="D3"/>
    <d v="2024-03-18T00:00:00"/>
    <n v="5.14"/>
    <n v="6.45"/>
    <x v="33"/>
  </r>
  <r>
    <s v="WQAPR24"/>
    <s v="D3"/>
    <d v="2024-04-08T00:00:00"/>
    <n v="6.21"/>
    <n v="6.65"/>
    <x v="33"/>
  </r>
  <r>
    <s v="WQMAY24"/>
    <s v="D3"/>
    <d v="2024-05-03T00:00:00"/>
    <n v="8.91"/>
    <n v="12.29"/>
    <x v="33"/>
  </r>
  <r>
    <s v="WQJUN24"/>
    <s v="D3"/>
    <d v="2024-06-04T00:00:00"/>
    <n v="11.84"/>
    <n v="16.2"/>
    <x v="33"/>
  </r>
  <r>
    <s v="HYJUN24"/>
    <s v="D3"/>
    <d v="2024-06-17T00:00:00"/>
    <n v="13.95"/>
    <n v="16.91"/>
    <x v="33"/>
  </r>
  <r>
    <s v="WQJUL24"/>
    <s v="D3"/>
    <d v="2024-07-02T00:00:00"/>
    <n v="16.55"/>
    <n v="21.01"/>
    <x v="33"/>
  </r>
  <r>
    <s v="HYJUL24"/>
    <s v="D3"/>
    <d v="2024-07-16T00:00:00"/>
    <n v="18.09"/>
    <n v="22.13"/>
    <x v="33"/>
  </r>
  <r>
    <s v="WQAUG24"/>
    <s v="D3"/>
    <d v="2024-07-31T00:00:00"/>
    <n v="19.350000000000001"/>
    <n v="23.64"/>
    <x v="33"/>
  </r>
  <r>
    <s v="HYAUG24"/>
    <s v="D3"/>
    <d v="2024-08-12T00:00:00"/>
    <n v="20.190000000000001"/>
    <n v="23.59"/>
    <x v="33"/>
  </r>
  <r>
    <s v="WQSEP24"/>
    <s v="D3"/>
    <d v="2024-08-27T00:00:00"/>
    <n v="21.49"/>
    <n v="23.58"/>
    <x v="33"/>
  </r>
  <r>
    <s v="WQOCT24"/>
    <s v="D3"/>
    <d v="2024-10-03T00:00:00"/>
    <n v="20.55"/>
    <n v="20.74"/>
    <x v="33"/>
  </r>
  <r>
    <m/>
    <m/>
    <m/>
    <m/>
    <m/>
    <x v="34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s v="WQJAN91"/>
    <s v="I2"/>
    <d v="1991-01-30T00:00:00"/>
    <n v="3.6796000000000002"/>
    <n v="3.7119"/>
    <x v="0"/>
  </r>
  <r>
    <s v="WQFEB91"/>
    <s v="I2"/>
    <d v="1991-02-20T00:00:00"/>
    <n v="3.0297999999999998"/>
    <m/>
    <x v="0"/>
  </r>
  <r>
    <s v="WQMAR91"/>
    <s v="I2"/>
    <d v="1991-03-25T00:00:00"/>
    <n v="4.4516"/>
    <n v="4.3746999999999998"/>
    <x v="0"/>
  </r>
  <r>
    <s v="WQAPR91"/>
    <s v="I2"/>
    <d v="1991-04-02T00:00:00"/>
    <n v="5.1529999999999996"/>
    <n v="5.0568"/>
    <x v="0"/>
  </r>
  <r>
    <s v="WQMAY91"/>
    <s v="I2"/>
    <d v="1991-05-01T00:00:00"/>
    <m/>
    <m/>
    <x v="0"/>
  </r>
  <r>
    <s v="WQJUN91"/>
    <s v="I2"/>
    <d v="1991-06-04T00:00:00"/>
    <n v="17.805299999999999"/>
    <n v="14.296799999999999"/>
    <x v="0"/>
  </r>
  <r>
    <s v="WQJUL91"/>
    <s v="I2"/>
    <d v="1991-07-08T00:00:00"/>
    <n v="20.8568"/>
    <n v="18.327500000000001"/>
    <x v="0"/>
  </r>
  <r>
    <s v="WQAUG91"/>
    <s v="I2"/>
    <d v="1991-08-13T00:00:00"/>
    <n v="23.029699999999998"/>
    <n v="21.980399999999999"/>
    <x v="0"/>
  </r>
  <r>
    <s v="WQSEP91"/>
    <s v="I2"/>
    <d v="1991-09-05T00:00:00"/>
    <n v="21.869800000000001"/>
    <n v="21.6267"/>
    <x v="0"/>
  </r>
  <r>
    <s v="WQOCT91"/>
    <s v="I2"/>
    <d v="1991-10-01T00:00:00"/>
    <m/>
    <n v="19.311699999999998"/>
    <x v="0"/>
  </r>
  <r>
    <s v="WQNOV91"/>
    <s v="I2"/>
    <d v="1991-11-15T00:00:00"/>
    <n v="12.785500000000001"/>
    <n v="12.1678"/>
    <x v="0"/>
  </r>
  <r>
    <s v="WQJAN92"/>
    <s v="I2"/>
    <d v="1992-01-07T00:00:00"/>
    <n v="5.4497999999999998"/>
    <n v="5.4454000000000002"/>
    <x v="1"/>
  </r>
  <r>
    <s v="WQFEB92"/>
    <s v="I2"/>
    <d v="1992-02-04T00:00:00"/>
    <n v="2.2368000000000001"/>
    <n v="2.3106"/>
    <x v="1"/>
  </r>
  <r>
    <s v="CHFEB92"/>
    <s v="I2"/>
    <d v="1992-02-19T00:00:00"/>
    <n v="1.889"/>
    <n v="1.9054"/>
    <x v="1"/>
  </r>
  <r>
    <s v="WQMAY92"/>
    <s v="I2"/>
    <d v="1992-05-05T00:00:00"/>
    <n v="9.2108000000000008"/>
    <n v="7.7717000000000001"/>
    <x v="1"/>
  </r>
  <r>
    <s v="WQJUN92"/>
    <s v="I2"/>
    <d v="1992-06-02T00:00:00"/>
    <m/>
    <n v="11.0388"/>
    <x v="1"/>
  </r>
  <r>
    <s v="WQJUL92"/>
    <s v="I2"/>
    <d v="1992-07-08T00:00:00"/>
    <m/>
    <n v="16.668600000000001"/>
    <x v="1"/>
  </r>
  <r>
    <s v="WQAUG92"/>
    <s v="I2"/>
    <d v="1992-08-05T00:00:00"/>
    <m/>
    <n v="20.3233"/>
    <x v="1"/>
  </r>
  <r>
    <s v="WQSEP92"/>
    <s v="I2"/>
    <d v="1992-09-01T00:00:00"/>
    <n v="21.248100000000001"/>
    <n v="21.184799999999999"/>
    <x v="1"/>
  </r>
  <r>
    <s v="WQOCT92"/>
    <s v="I2"/>
    <d v="1992-10-06T00:00:00"/>
    <n v="17.586500000000001"/>
    <n v="17.564"/>
    <x v="1"/>
  </r>
  <r>
    <s v="WQNOV92"/>
    <s v="I2"/>
    <d v="1992-11-04T00:00:00"/>
    <n v="13.528600000000001"/>
    <n v="13.3523"/>
    <x v="1"/>
  </r>
  <r>
    <s v="WQDEC92"/>
    <s v="I2"/>
    <d v="1992-12-08T00:00:00"/>
    <m/>
    <n v="8.5823999999999998"/>
    <x v="1"/>
  </r>
  <r>
    <s v="WQJAN93"/>
    <s v="I2"/>
    <d v="1993-01-14T00:00:00"/>
    <n v="4.1955999999999998"/>
    <n v="4.2080000000000002"/>
    <x v="2"/>
  </r>
  <r>
    <s v="WQFEB93"/>
    <s v="I2"/>
    <d v="1993-02-08T00:00:00"/>
    <m/>
    <n v="1.9921"/>
    <x v="2"/>
  </r>
  <r>
    <s v="WQMAR93"/>
    <s v="I2"/>
    <d v="1993-03-08T00:00:00"/>
    <m/>
    <n v="1.1265000000000001"/>
    <x v="2"/>
  </r>
  <r>
    <s v="WQMAY93"/>
    <s v="I2"/>
    <d v="1993-05-05T00:00:00"/>
    <n v="7.2824"/>
    <n v="7.2051999999999996"/>
    <x v="2"/>
  </r>
  <r>
    <s v="WQJUN93"/>
    <s v="I2"/>
    <d v="1993-06-01T00:00:00"/>
    <m/>
    <n v="12.5359"/>
    <x v="2"/>
  </r>
  <r>
    <s v="WQJUL93"/>
    <s v="I2"/>
    <d v="1993-07-07T00:00:00"/>
    <n v="21.7911"/>
    <n v="17.575199999999999"/>
    <x v="2"/>
  </r>
  <r>
    <s v="WQAUG93"/>
    <s v="I2"/>
    <d v="1993-08-02T00:00:00"/>
    <n v="23.1904"/>
    <n v="20.532699999999998"/>
    <x v="2"/>
  </r>
  <r>
    <s v="WQSEP93"/>
    <s v="I2"/>
    <d v="1993-09-07T00:00:00"/>
    <n v="23.837800000000001"/>
    <n v="22.5609"/>
    <x v="2"/>
  </r>
  <r>
    <s v="WQOCT93"/>
    <s v="I2"/>
    <d v="1993-10-05T00:00:00"/>
    <n v="18.215900000000001"/>
    <n v="18.2989"/>
    <x v="2"/>
  </r>
  <r>
    <s v="WQNOV93"/>
    <s v="I2"/>
    <d v="1993-11-02T00:00:00"/>
    <m/>
    <n v="13.459099999999999"/>
    <x v="2"/>
  </r>
  <r>
    <s v="WQDEC93"/>
    <s v="I2"/>
    <d v="1993-12-15T00:00:00"/>
    <m/>
    <n v="8.5733999999999995"/>
    <x v="2"/>
  </r>
  <r>
    <s v="WQJAN94"/>
    <s v="I2"/>
    <d v="1994-01-11T00:00:00"/>
    <n v="2.54"/>
    <n v="2.5499999999999998"/>
    <x v="3"/>
  </r>
  <r>
    <s v="WQFEB94"/>
    <s v="I2"/>
    <d v="1994-02-01T00:00:00"/>
    <n v="0.4"/>
    <n v="0.28999999999999998"/>
    <x v="3"/>
  </r>
  <r>
    <s v="WQMAR94"/>
    <s v="I2"/>
    <d v="1994-03-07T00:00:00"/>
    <n v="-0.22"/>
    <n v="-0.28999999999999998"/>
    <x v="3"/>
  </r>
  <r>
    <s v="WQAPR94"/>
    <s v="I2"/>
    <d v="1994-04-05T00:00:00"/>
    <n v="3.56"/>
    <n v="2.67"/>
    <x v="3"/>
  </r>
  <r>
    <s v="WQMAY94"/>
    <s v="I2"/>
    <d v="1994-05-03T00:00:00"/>
    <n v="8.1999999999999993"/>
    <n v="7.21"/>
    <x v="3"/>
  </r>
  <r>
    <s v="WQJUN94"/>
    <s v="I2"/>
    <d v="1994-06-01T00:00:00"/>
    <n v="12.52"/>
    <n v="11.38"/>
    <x v="3"/>
  </r>
  <r>
    <s v="WQJUL94"/>
    <s v="I2"/>
    <d v="1994-07-07T00:00:00"/>
    <n v="22.7"/>
    <n v="17.329999999999998"/>
    <x v="3"/>
  </r>
  <r>
    <s v="WQAUG94"/>
    <s v="I2"/>
    <d v="1994-08-01T00:00:00"/>
    <n v="24.6"/>
    <n v="21.14"/>
    <x v="3"/>
  </r>
  <r>
    <s v="WQSEP94"/>
    <s v="I2"/>
    <d v="1994-08-29T00:00:00"/>
    <n v="22.33"/>
    <n v="21.39"/>
    <x v="3"/>
  </r>
  <r>
    <s v="WQOCT94"/>
    <s v="I2"/>
    <d v="1994-10-04T00:00:00"/>
    <n v="18.309999999999999"/>
    <n v="18.07"/>
    <x v="3"/>
  </r>
  <r>
    <s v="WQNOV94"/>
    <s v="I2"/>
    <d v="1994-11-09T00:00:00"/>
    <n v="14.57"/>
    <n v="14.63"/>
    <x v="3"/>
  </r>
  <r>
    <s v="WQDEC94"/>
    <s v="I2"/>
    <d v="1994-12-07T00:00:00"/>
    <n v="10.09"/>
    <n v="10.1"/>
    <x v="3"/>
  </r>
  <r>
    <s v="WQJAN95"/>
    <s v="I2"/>
    <d v="1995-01-10T00:00:00"/>
    <n v="4.8099999999999996"/>
    <n v="4.9000000000000004"/>
    <x v="4"/>
  </r>
  <r>
    <s v="WQFEB95"/>
    <s v="I2"/>
    <d v="1995-02-15T00:00:00"/>
    <n v="1.86"/>
    <n v="1.88"/>
    <x v="4"/>
  </r>
  <r>
    <s v="WQMAR95"/>
    <s v="I2"/>
    <d v="1995-03-07T00:00:00"/>
    <n v="2.21"/>
    <n v="2.25"/>
    <x v="4"/>
  </r>
  <r>
    <s v="WQAPR95"/>
    <s v="I2"/>
    <d v="1995-04-10T00:00:00"/>
    <n v="5.7"/>
    <n v="5.0199999999999996"/>
    <x v="4"/>
  </r>
  <r>
    <s v="WQMAY95"/>
    <s v="I2"/>
    <d v="1995-05-09T00:00:00"/>
    <n v="9.36"/>
    <n v="9.18"/>
    <x v="4"/>
  </r>
  <r>
    <s v="WQJUN95"/>
    <s v="I2"/>
    <d v="1995-06-05T00:00:00"/>
    <n v="16.007000000000001"/>
    <n v="12.7729"/>
    <x v="4"/>
  </r>
  <r>
    <s v="HYJUN95"/>
    <s v="I2"/>
    <d v="1995-06-22T00:00:00"/>
    <n v="18.21"/>
    <n v="15.973100000000001"/>
    <x v="4"/>
  </r>
  <r>
    <s v="WQJUL95"/>
    <s v="I2"/>
    <d v="1995-07-10T00:00:00"/>
    <n v="20.34"/>
    <n v="17.6434"/>
    <x v="4"/>
  </r>
  <r>
    <s v="HYJUL95"/>
    <s v="I2"/>
    <d v="1995-07-20T00:00:00"/>
    <n v="23.31"/>
    <n v="19.52"/>
    <x v="4"/>
  </r>
  <r>
    <s v="WQAUG95"/>
    <s v="I2"/>
    <d v="1995-08-01T00:00:00"/>
    <n v="24.63"/>
    <n v="20.7"/>
    <x v="4"/>
  </r>
  <r>
    <s v="HYAUG95"/>
    <s v="I2"/>
    <d v="1995-08-16T00:00:00"/>
    <n v="24.21"/>
    <m/>
    <x v="4"/>
  </r>
  <r>
    <s v="WQSEP95"/>
    <s v="I2"/>
    <d v="1995-09-12T00:00:00"/>
    <n v="21.92"/>
    <n v="21.8536"/>
    <x v="4"/>
  </r>
  <r>
    <s v="WQOCT95"/>
    <s v="I2"/>
    <d v="1995-10-03T00:00:00"/>
    <n v="19.52"/>
    <n v="19.320399999999999"/>
    <x v="4"/>
  </r>
  <r>
    <s v="WQDEC95"/>
    <s v="I2"/>
    <d v="1995-12-05T00:00:00"/>
    <n v="9.01"/>
    <n v="9.02"/>
    <x v="4"/>
  </r>
  <r>
    <s v="WQJAN96"/>
    <s v="I2"/>
    <d v="1996-01-10T00:00:00"/>
    <n v="1.47"/>
    <n v="1.53"/>
    <x v="5"/>
  </r>
  <r>
    <s v="WQFEB96"/>
    <s v="I2"/>
    <d v="1996-02-07T00:00:00"/>
    <n v="0.49"/>
    <n v="0.46"/>
    <x v="5"/>
  </r>
  <r>
    <s v="WQMAR96"/>
    <s v="I2"/>
    <d v="1996-03-07T00:00:00"/>
    <n v="0.86"/>
    <n v="0.95"/>
    <x v="5"/>
  </r>
  <r>
    <s v="WQAPR96"/>
    <s v="I2"/>
    <d v="1996-04-03T00:00:00"/>
    <n v="3.03"/>
    <n v="3.23"/>
    <x v="5"/>
  </r>
  <r>
    <s v="WQMAY96"/>
    <s v="I2"/>
    <d v="1996-05-10T00:00:00"/>
    <n v="9.5"/>
    <n v="8.1"/>
    <x v="5"/>
  </r>
  <r>
    <s v="WQJUN96"/>
    <s v="I2"/>
    <d v="1996-06-05T00:00:00"/>
    <n v="14.44"/>
    <n v="11.72"/>
    <x v="5"/>
  </r>
  <r>
    <s v="HYJUN96"/>
    <s v="I2"/>
    <d v="1996-06-25T00:00:00"/>
    <n v="17.53"/>
    <m/>
    <x v="5"/>
  </r>
  <r>
    <s v="WQJUL96"/>
    <s v="I2"/>
    <d v="1996-07-10T00:00:00"/>
    <n v="20.56"/>
    <n v="17.600000000000001"/>
    <x v="5"/>
  </r>
  <r>
    <s v="HYJUL96"/>
    <s v="I2"/>
    <d v="1996-07-23T00:00:00"/>
    <n v="20.04"/>
    <n v="18.03"/>
    <x v="5"/>
  </r>
  <r>
    <s v="WQAUG96"/>
    <s v="I2"/>
    <d v="1996-08-06T00:00:00"/>
    <n v="21.9"/>
    <n v="19.45"/>
    <x v="5"/>
  </r>
  <r>
    <s v="HYAUG96"/>
    <s v="I2"/>
    <d v="1996-08-20T00:00:00"/>
    <n v="22.66"/>
    <m/>
    <x v="5"/>
  </r>
  <r>
    <s v="WQSEP96"/>
    <s v="I2"/>
    <d v="1996-09-04T00:00:00"/>
    <n v="21.89"/>
    <n v="21.5"/>
    <x v="5"/>
  </r>
  <r>
    <s v="WQOCT96"/>
    <s v="I2"/>
    <d v="1996-10-02T00:00:00"/>
    <n v="19.829999999999998"/>
    <n v="19.12"/>
    <x v="5"/>
  </r>
  <r>
    <s v="WQNOV96"/>
    <s v="I2"/>
    <d v="1996-11-07T00:00:00"/>
    <n v="14.04"/>
    <n v="13.75"/>
    <x v="5"/>
  </r>
  <r>
    <s v="WQDEC96"/>
    <s v="I2"/>
    <d v="1996-12-03T00:00:00"/>
    <n v="9.2200000000000006"/>
    <n v="9.23"/>
    <x v="5"/>
  </r>
  <r>
    <s v="WQJAN97"/>
    <s v="I2"/>
    <d v="1997-01-14T00:00:00"/>
    <n v="4.24"/>
    <n v="4.24"/>
    <x v="6"/>
  </r>
  <r>
    <s v="WQFEB97"/>
    <s v="I2"/>
    <d v="1997-02-06T00:00:00"/>
    <n v="2.72"/>
    <n v="2.78"/>
    <x v="6"/>
  </r>
  <r>
    <s v="WQMAR97"/>
    <s v="I2"/>
    <d v="1997-03-05T00:00:00"/>
    <n v="3.26"/>
    <n v="3.67"/>
    <x v="6"/>
  </r>
  <r>
    <s v="WQAPR97"/>
    <s v="I2"/>
    <d v="1997-04-04T00:00:00"/>
    <n v="5.1100000000000003"/>
    <n v="4.93"/>
    <x v="6"/>
  </r>
  <r>
    <s v="WQMAY97"/>
    <s v="I2"/>
    <d v="1997-05-05T00:00:00"/>
    <n v="9.33"/>
    <n v="8.5"/>
    <x v="6"/>
  </r>
  <r>
    <s v="WQJUN97"/>
    <s v="I2"/>
    <d v="1997-06-03T00:00:00"/>
    <n v="11.31"/>
    <n v="11.35"/>
    <x v="6"/>
  </r>
  <r>
    <s v="WQJUL97"/>
    <s v="I2"/>
    <d v="1997-07-08T00:00:00"/>
    <n v="20.64"/>
    <n v="17.850000000000001"/>
    <x v="6"/>
  </r>
  <r>
    <s v="WQAUG97"/>
    <s v="I2"/>
    <d v="1997-08-06T00:00:00"/>
    <n v="23.24"/>
    <n v="20.23"/>
    <x v="6"/>
  </r>
  <r>
    <s v="HYAUG97"/>
    <s v="I2"/>
    <d v="1997-08-19T00:00:00"/>
    <n v="22.09"/>
    <n v="20.69"/>
    <x v="6"/>
  </r>
  <r>
    <s v="WQSEP97"/>
    <s v="I2"/>
    <d v="1997-09-03T00:00:00"/>
    <n v="22.51"/>
    <n v="21.34"/>
    <x v="6"/>
  </r>
  <r>
    <s v="WQOCT97"/>
    <s v="I2"/>
    <d v="1997-10-06T00:00:00"/>
    <n v="18.89"/>
    <n v="18.420000000000002"/>
    <x v="6"/>
  </r>
  <r>
    <s v="WQNOV97"/>
    <s v="I2"/>
    <d v="1997-11-05T00:00:00"/>
    <n v="14.53"/>
    <n v="14.42"/>
    <x v="6"/>
  </r>
  <r>
    <s v="WQDEC97"/>
    <s v="I2"/>
    <d v="1997-12-05T00:00:00"/>
    <n v="8.06"/>
    <n v="8.14"/>
    <x v="6"/>
  </r>
  <r>
    <s v="WQJAN98"/>
    <s v="I2"/>
    <d v="1998-01-07T00:00:00"/>
    <n v="5.1100000000000003"/>
    <n v="4.96"/>
    <x v="7"/>
  </r>
  <r>
    <s v="WQFEB98"/>
    <s v="I2"/>
    <d v="1998-02-03T00:00:00"/>
    <n v="4.1399999999999997"/>
    <n v="3.93"/>
    <x v="7"/>
  </r>
  <r>
    <s v="WQMAR98"/>
    <s v="I2"/>
    <d v="1998-02-27T00:00:00"/>
    <n v="4.42"/>
    <n v="3.92"/>
    <x v="7"/>
  </r>
  <r>
    <s v="WQAPR98"/>
    <s v="I2"/>
    <d v="1998-04-14T00:00:00"/>
    <m/>
    <m/>
    <x v="7"/>
  </r>
  <r>
    <s v="WQMAY98"/>
    <s v="I2"/>
    <d v="1998-05-08T00:00:00"/>
    <n v="12.34"/>
    <n v="9.24"/>
    <x v="7"/>
  </r>
  <r>
    <s v="WQJUN98"/>
    <s v="I2"/>
    <d v="1998-06-08T00:00:00"/>
    <n v="15.67"/>
    <n v="14.24"/>
    <x v="7"/>
  </r>
  <r>
    <s v="WQJUL98"/>
    <s v="I2"/>
    <d v="1998-07-07T00:00:00"/>
    <n v="20.91"/>
    <n v="17.32"/>
    <x v="7"/>
  </r>
  <r>
    <s v="WQAUG98"/>
    <s v="I2"/>
    <d v="1998-08-05T00:00:00"/>
    <n v="23.25"/>
    <n v="19.79"/>
    <x v="7"/>
  </r>
  <r>
    <s v="HYAUG98"/>
    <s v="I2"/>
    <d v="1998-08-21T00:00:00"/>
    <n v="21.95"/>
    <n v="21.63"/>
    <x v="7"/>
  </r>
  <r>
    <s v="WQSEP98"/>
    <s v="I2"/>
    <d v="1998-09-01T00:00:00"/>
    <n v="23.67"/>
    <n v="21.68"/>
    <x v="7"/>
  </r>
  <r>
    <s v="WQOCT98"/>
    <s v="I2"/>
    <d v="1998-10-05T00:00:00"/>
    <n v="19.43"/>
    <n v="19.440000000000001"/>
    <x v="7"/>
  </r>
  <r>
    <s v="WQNOV98"/>
    <s v="I2"/>
    <d v="1998-11-04T00:00:00"/>
    <n v="14.06"/>
    <n v="14.07"/>
    <x v="7"/>
  </r>
  <r>
    <s v="WQDEC98"/>
    <s v="I2"/>
    <d v="1998-11-30T00:00:00"/>
    <n v="10.84"/>
    <n v="10.49"/>
    <x v="7"/>
  </r>
  <r>
    <s v="WQJAN99"/>
    <s v="I2"/>
    <d v="1999-01-06T00:00:00"/>
    <n v="5.29"/>
    <n v="5.3"/>
    <x v="8"/>
  </r>
  <r>
    <s v="WQFEB99"/>
    <s v="I2"/>
    <d v="1999-02-02T00:00:00"/>
    <n v="3.39"/>
    <n v="3.38"/>
    <x v="8"/>
  </r>
  <r>
    <s v="WQMAR99"/>
    <s v="I2"/>
    <d v="1999-03-05T00:00:00"/>
    <n v="3.17"/>
    <n v="3.16"/>
    <x v="8"/>
  </r>
  <r>
    <s v="WQAPR99"/>
    <s v="I2"/>
    <d v="1999-04-06T00:00:00"/>
    <n v="5.45"/>
    <n v="5.0999999999999996"/>
    <x v="8"/>
  </r>
  <r>
    <s v="WQMAY99"/>
    <s v="I2"/>
    <d v="1999-05-05T00:00:00"/>
    <n v="9.7899999999999991"/>
    <n v="8.7799999999999994"/>
    <x v="8"/>
  </r>
  <r>
    <s v="WQJUN99"/>
    <s v="I2"/>
    <d v="1999-06-02T00:00:00"/>
    <n v="15.68"/>
    <n v="12.84"/>
    <x v="8"/>
  </r>
  <r>
    <s v="HYJUN99"/>
    <s v="I2"/>
    <d v="1999-06-22T00:00:00"/>
    <n v="18.68"/>
    <m/>
    <x v="8"/>
  </r>
  <r>
    <s v="WQJUL99"/>
    <s v="I2"/>
    <d v="1999-07-06T00:00:00"/>
    <n v="23.62"/>
    <n v="18.71"/>
    <x v="8"/>
  </r>
  <r>
    <s v="HYJUL99"/>
    <s v="I2"/>
    <d v="1999-07-20T00:00:00"/>
    <n v="22.72"/>
    <n v="20.23"/>
    <x v="8"/>
  </r>
  <r>
    <s v="WQAUG99"/>
    <s v="I2"/>
    <d v="1999-08-03T00:00:00"/>
    <n v="23.94"/>
    <n v="20.48"/>
    <x v="8"/>
  </r>
  <r>
    <s v="HYAUG99"/>
    <s v="I2"/>
    <d v="1999-08-17T00:00:00"/>
    <n v="23.32"/>
    <n v="22.27"/>
    <x v="8"/>
  </r>
  <r>
    <s v="WQSEP99"/>
    <s v="I2"/>
    <d v="1999-09-02T00:00:00"/>
    <n v="22.35"/>
    <n v="21.9"/>
    <x v="8"/>
  </r>
  <r>
    <s v="WQOCT99"/>
    <s v="I2"/>
    <d v="1999-10-04T00:00:00"/>
    <n v="20.21"/>
    <n v="20.09"/>
    <x v="8"/>
  </r>
  <r>
    <s v="WQNOV99"/>
    <s v="I2"/>
    <d v="1999-11-08T00:00:00"/>
    <n v="13.85"/>
    <n v="13.83"/>
    <x v="8"/>
  </r>
  <r>
    <s v="WQDEC99"/>
    <s v="I2"/>
    <d v="1999-12-08T00:00:00"/>
    <n v="10.09"/>
    <n v="10.09"/>
    <x v="8"/>
  </r>
  <r>
    <s v="WQJAN00"/>
    <s v="I2"/>
    <d v="2000-01-13T00:00:00"/>
    <n v="5.72"/>
    <n v="5.9"/>
    <x v="9"/>
  </r>
  <r>
    <s v="WQFEB00"/>
    <s v="I2"/>
    <d v="2000-02-03T00:00:00"/>
    <n v="0.92"/>
    <n v="0.91"/>
    <x v="9"/>
  </r>
  <r>
    <s v="WQMAR00"/>
    <s v="I2"/>
    <d v="2000-03-01T00:00:00"/>
    <n v="2.33"/>
    <n v="2.0099999999999998"/>
    <x v="9"/>
  </r>
  <r>
    <s v="WQAPR00"/>
    <s v="I2"/>
    <d v="2000-04-07T00:00:00"/>
    <n v="6.12"/>
    <n v="5.98"/>
    <x v="9"/>
  </r>
  <r>
    <s v="WQMAY00"/>
    <s v="I2"/>
    <d v="2000-05-01T00:00:00"/>
    <n v="8.66"/>
    <n v="7.24"/>
    <x v="9"/>
  </r>
  <r>
    <s v="WQJUN00"/>
    <s v="I2"/>
    <d v="2000-06-01T00:00:00"/>
    <n v="16.04"/>
    <n v="12.12"/>
    <x v="9"/>
  </r>
  <r>
    <s v="HYJUN00"/>
    <s v="I2"/>
    <d v="2000-06-22T00:00:00"/>
    <n v="17.25"/>
    <n v="15.19"/>
    <x v="9"/>
  </r>
  <r>
    <s v="WQJUL00"/>
    <s v="I2"/>
    <d v="2000-07-06T00:00:00"/>
    <n v="20.5"/>
    <n v="17.98"/>
    <x v="9"/>
  </r>
  <r>
    <s v="HYJUL00"/>
    <s v="I2"/>
    <d v="2000-07-18T00:00:00"/>
    <n v="21.78"/>
    <n v="19.28"/>
    <x v="9"/>
  </r>
  <r>
    <s v="WQAUG00"/>
    <s v="I2"/>
    <d v="2000-08-02T00:00:00"/>
    <n v="20.23"/>
    <n v="20.05"/>
    <x v="9"/>
  </r>
  <r>
    <s v="HYAUG00"/>
    <s v="I2"/>
    <d v="2000-08-15T00:00:00"/>
    <n v="21.03"/>
    <n v="20.76"/>
    <x v="9"/>
  </r>
  <r>
    <s v="WQSEP00"/>
    <s v="I2"/>
    <d v="2000-08-30T00:00:00"/>
    <n v="21.48"/>
    <n v="21.01"/>
    <x v="9"/>
  </r>
  <r>
    <s v="WQOCT00"/>
    <s v="I2"/>
    <d v="2000-10-04T00:00:00"/>
    <n v="19.28"/>
    <n v="19.149999999999999"/>
    <x v="9"/>
  </r>
  <r>
    <s v="WQNOV00"/>
    <s v="I2"/>
    <d v="2000-11-08T00:00:00"/>
    <n v="13.83"/>
    <n v="13.52"/>
    <x v="9"/>
  </r>
  <r>
    <s v="WQDEC00"/>
    <s v="I2"/>
    <d v="2000-12-06T00:00:00"/>
    <n v="7.9"/>
    <n v="7.82"/>
    <x v="9"/>
  </r>
  <r>
    <s v="WQJAN01"/>
    <s v="I2"/>
    <d v="2001-01-08T00:00:00"/>
    <n v="2.42"/>
    <n v="2.4500000000000002"/>
    <x v="10"/>
  </r>
  <r>
    <s v="WQFEB01"/>
    <s v="I2"/>
    <d v="2001-02-02T00:00:00"/>
    <n v="1.97"/>
    <n v="2.2000000000000002"/>
    <x v="10"/>
  </r>
  <r>
    <s v="WQMAR01"/>
    <s v="I2"/>
    <d v="2001-03-01T00:00:00"/>
    <n v="1.88"/>
    <n v="1.87"/>
    <x v="10"/>
  </r>
  <r>
    <s v="WQAPR01"/>
    <s v="I2"/>
    <d v="2001-04-03T00:00:00"/>
    <n v="3.73"/>
    <n v="3.43"/>
    <x v="10"/>
  </r>
  <r>
    <s v="WQMAY01"/>
    <s v="I2"/>
    <d v="2001-04-30T00:00:00"/>
    <m/>
    <m/>
    <x v="10"/>
  </r>
  <r>
    <s v="WQJUN01"/>
    <s v="I2"/>
    <d v="2001-06-04T00:00:00"/>
    <n v="13.78"/>
    <n v="11.97"/>
    <x v="10"/>
  </r>
  <r>
    <s v="WQJUL01"/>
    <s v="I2"/>
    <d v="2001-07-09T00:00:00"/>
    <n v="19.66"/>
    <n v="18.8"/>
    <x v="10"/>
  </r>
  <r>
    <s v="HYJUL01"/>
    <s v="I2"/>
    <d v="2001-07-24T00:00:00"/>
    <n v="22.59"/>
    <n v="19.149999999999999"/>
    <x v="10"/>
  </r>
  <r>
    <s v="WQAUG01"/>
    <s v="I2"/>
    <d v="2001-08-08T00:00:00"/>
    <n v="24.25"/>
    <n v="20.71"/>
    <x v="10"/>
  </r>
  <r>
    <s v="HYAUG01"/>
    <s v="I2"/>
    <d v="2001-08-22T00:00:00"/>
    <n v="23.32"/>
    <n v="21.94"/>
    <x v="10"/>
  </r>
  <r>
    <s v="WQSEP01"/>
    <s v="I2"/>
    <d v="2001-09-07T00:00:00"/>
    <n v="22.4"/>
    <n v="22.2"/>
    <x v="10"/>
  </r>
  <r>
    <s v="WQOCT01"/>
    <s v="I2"/>
    <d v="2001-10-02T00:00:00"/>
    <n v="20.059999999999999"/>
    <n v="19.79"/>
    <x v="10"/>
  </r>
  <r>
    <s v="WQNOV01"/>
    <s v="I2"/>
    <d v="2001-11-08T00:00:00"/>
    <n v="14.35"/>
    <n v="14.01"/>
    <x v="10"/>
  </r>
  <r>
    <s v="WQDEC01"/>
    <s v="I2"/>
    <d v="2001-12-04T00:00:00"/>
    <n v="11.88"/>
    <n v="11.95"/>
    <x v="10"/>
  </r>
  <r>
    <s v="WQJAN02"/>
    <s v="I2"/>
    <d v="2002-01-11T00:00:00"/>
    <n v="5.18"/>
    <n v="5.22"/>
    <x v="11"/>
  </r>
  <r>
    <s v="WQFEB02"/>
    <s v="I2"/>
    <d v="2002-02-04T00:00:00"/>
    <n v="4.84"/>
    <n v="4.74"/>
    <x v="11"/>
  </r>
  <r>
    <s v="WQMAR02"/>
    <s v="I2"/>
    <d v="2002-03-05T00:00:00"/>
    <n v="4.55"/>
    <n v="4.53"/>
    <x v="11"/>
  </r>
  <r>
    <s v="WQAPR02"/>
    <s v="I2"/>
    <d v="2002-04-02T00:00:00"/>
    <n v="5.93"/>
    <n v="5.65"/>
    <x v="11"/>
  </r>
  <r>
    <s v="WQMAY02"/>
    <s v="I2"/>
    <d v="2002-05-06T00:00:00"/>
    <n v="10.4"/>
    <n v="9.6999999999999993"/>
    <x v="11"/>
  </r>
  <r>
    <s v="WQJUN02"/>
    <s v="I2"/>
    <d v="2002-06-04T00:00:00"/>
    <n v="15.24"/>
    <n v="13.69"/>
    <x v="11"/>
  </r>
  <r>
    <s v="WQJUL02"/>
    <s v="I2"/>
    <d v="2002-07-08T00:00:00"/>
    <n v="21.39"/>
    <n v="18.34"/>
    <x v="11"/>
  </r>
  <r>
    <s v="WQAUG02"/>
    <s v="I2"/>
    <d v="2002-08-05T00:00:00"/>
    <n v="25.02"/>
    <n v="21.16"/>
    <x v="11"/>
  </r>
  <r>
    <s v="WQSEP02"/>
    <s v="I2"/>
    <d v="2002-09-09T00:00:00"/>
    <n v="21.1"/>
    <n v="21.84"/>
    <x v="11"/>
  </r>
  <r>
    <s v="WQOCT02"/>
    <s v="I2"/>
    <d v="2002-10-08T00:00:00"/>
    <n v="20.21"/>
    <n v="20.079999999999998"/>
    <x v="11"/>
  </r>
  <r>
    <s v="WQNOV02"/>
    <s v="I2"/>
    <d v="2002-11-05T00:00:00"/>
    <n v="13.64"/>
    <n v="13.69"/>
    <x v="11"/>
  </r>
  <r>
    <s v="WQDEC02"/>
    <s v="I2"/>
    <d v="2002-12-09T00:00:00"/>
    <n v="6.6"/>
    <n v="6.6"/>
    <x v="11"/>
  </r>
  <r>
    <s v="WQFEB03"/>
    <s v="I2"/>
    <d v="2003-02-03T00:00:00"/>
    <n v="0.48"/>
    <n v="0.69"/>
    <x v="12"/>
  </r>
  <r>
    <s v="WQMAR03"/>
    <s v="I2"/>
    <d v="2003-03-04T00:00:00"/>
    <n v="0.22"/>
    <n v="0.11"/>
    <x v="12"/>
  </r>
  <r>
    <s v="WQAPR03"/>
    <s v="I2"/>
    <d v="2003-04-03T00:00:00"/>
    <n v="3.62"/>
    <n v="3.24"/>
    <x v="12"/>
  </r>
  <r>
    <s v="WQMAY03"/>
    <s v="I2"/>
    <d v="2003-05-05T00:00:00"/>
    <n v="9.58"/>
    <n v="7.06"/>
    <x v="12"/>
  </r>
  <r>
    <s v="WQJUN03"/>
    <s v="I2"/>
    <d v="2003-06-03T00:00:00"/>
    <n v="12.76"/>
    <n v="11.15"/>
    <x v="12"/>
  </r>
  <r>
    <s v="WQJUL03"/>
    <s v="I2"/>
    <d v="2003-07-07T00:00:00"/>
    <n v="20.170000000000002"/>
    <n v="16.170000000000002"/>
    <x v="12"/>
  </r>
  <r>
    <s v="HYJUL03"/>
    <s v="I2"/>
    <d v="2003-07-24T00:00:00"/>
    <n v="20.95"/>
    <n v="18.350000000000001"/>
    <x v="12"/>
  </r>
  <r>
    <s v="WQAUG03"/>
    <s v="I2"/>
    <d v="2003-08-04T00:00:00"/>
    <n v="22.7"/>
    <n v="18.78"/>
    <x v="12"/>
  </r>
  <r>
    <s v="HYAUG03"/>
    <s v="I2"/>
    <d v="2003-08-19T00:00:00"/>
    <n v="23.75"/>
    <n v="20.53"/>
    <x v="12"/>
  </r>
  <r>
    <s v="WQSEP03"/>
    <s v="I2"/>
    <d v="2003-09-09T00:00:00"/>
    <n v="20.74"/>
    <n v="20.47"/>
    <x v="12"/>
  </r>
  <r>
    <s v="WQNOV03"/>
    <s v="I2"/>
    <d v="2003-11-03T00:00:00"/>
    <n v="15.55"/>
    <n v="15.16"/>
    <x v="12"/>
  </r>
  <r>
    <s v="WQDEC03"/>
    <s v="I2"/>
    <d v="2003-12-08T00:00:00"/>
    <n v="8.0299999999999994"/>
    <n v="7.92"/>
    <x v="12"/>
  </r>
  <r>
    <s v="WQJAN04"/>
    <s v="I2"/>
    <d v="2004-01-05T00:00:00"/>
    <n v="5.34"/>
    <n v="5.58"/>
    <x v="13"/>
  </r>
  <r>
    <s v="WQFEB04"/>
    <s v="I2"/>
    <d v="2004-02-05T00:00:00"/>
    <n v="-0.04"/>
    <n v="0.15"/>
    <x v="13"/>
  </r>
  <r>
    <s v="WQMAR04"/>
    <s v="I2"/>
    <d v="2004-03-04T00:00:00"/>
    <n v="1.58"/>
    <n v="1.68"/>
    <x v="13"/>
  </r>
  <r>
    <s v="WQAPR04"/>
    <s v="I2"/>
    <d v="2004-04-07T00:00:00"/>
    <n v="3.52"/>
    <n v="3.5"/>
    <x v="13"/>
  </r>
  <r>
    <s v="WQMAY04"/>
    <s v="I2"/>
    <d v="2004-05-05T00:00:00"/>
    <n v="9.6"/>
    <n v="8.44"/>
    <x v="13"/>
  </r>
  <r>
    <s v="WQJUN04"/>
    <s v="I2"/>
    <d v="2004-06-01T00:00:00"/>
    <n v="12.94"/>
    <n v="11.91"/>
    <x v="13"/>
  </r>
  <r>
    <s v="HYJUN04"/>
    <s v="I2"/>
    <d v="2004-06-28T00:00:00"/>
    <n v="17.96"/>
    <n v="16.07"/>
    <x v="13"/>
  </r>
  <r>
    <s v="WQJUL04"/>
    <s v="I2"/>
    <d v="2004-07-08T00:00:00"/>
    <n v="20.49"/>
    <n v="17.420000000000002"/>
    <x v="13"/>
  </r>
  <r>
    <s v="HYJUL04"/>
    <s v="I2"/>
    <d v="2004-07-19T00:00:00"/>
    <n v="21.31"/>
    <n v="19.09"/>
    <x v="13"/>
  </r>
  <r>
    <s v="WQAUG04"/>
    <s v="I2"/>
    <d v="2004-08-02T00:00:00"/>
    <n v="23"/>
    <n v="20.77"/>
    <x v="13"/>
  </r>
  <r>
    <s v="HYAUG04"/>
    <s v="I2"/>
    <d v="2004-08-19T00:00:00"/>
    <n v="22.16"/>
    <n v="20.82"/>
    <x v="13"/>
  </r>
  <r>
    <s v="WQSEP04"/>
    <s v="I2"/>
    <d v="2004-08-31T00:00:00"/>
    <n v="23.61"/>
    <n v="21.74"/>
    <x v="13"/>
  </r>
  <r>
    <s v="WQOCT04"/>
    <s v="I2"/>
    <d v="2004-10-06T00:00:00"/>
    <n v="20.22"/>
    <n v="20.04"/>
    <x v="13"/>
  </r>
  <r>
    <s v="WQDEC04"/>
    <s v="I2"/>
    <d v="2004-11-29T00:00:00"/>
    <n v="10.71"/>
    <n v="10.71"/>
    <x v="13"/>
  </r>
  <r>
    <s v="WQJAN05"/>
    <s v="I2"/>
    <d v="2005-01-10T00:00:00"/>
    <n v="5.04"/>
    <n v="5.04"/>
    <x v="14"/>
  </r>
  <r>
    <s v="WQFEB05"/>
    <s v="I2"/>
    <d v="2005-02-02T00:00:00"/>
    <n v="1.0900000000000001"/>
    <n v="1.2"/>
    <x v="14"/>
  </r>
  <r>
    <s v="WQMAR05"/>
    <s v="I2"/>
    <d v="2005-03-07T00:00:00"/>
    <m/>
    <n v="1.49"/>
    <x v="14"/>
  </r>
  <r>
    <s v="WQAPR05"/>
    <s v="I2"/>
    <d v="2005-04-05T00:00:00"/>
    <n v="3.77"/>
    <n v="3.25"/>
    <x v="14"/>
  </r>
  <r>
    <s v="WQMAY05"/>
    <s v="I2"/>
    <d v="2005-05-05T00:00:00"/>
    <n v="10.36"/>
    <n v="8.5299999999999994"/>
    <x v="14"/>
  </r>
  <r>
    <s v="WQJUN05"/>
    <s v="I2"/>
    <d v="2005-06-08T00:00:00"/>
    <n v="16.510000000000002"/>
    <n v="12.18"/>
    <x v="14"/>
  </r>
  <r>
    <s v="WQJUL05"/>
    <s v="I2"/>
    <d v="2005-07-07T00:00:00"/>
    <n v="19"/>
    <n v="17.440000000000001"/>
    <x v="14"/>
  </r>
  <r>
    <s v="HYJUL05"/>
    <s v="I2"/>
    <d v="2005-07-18T00:00:00"/>
    <n v="20.25"/>
    <n v="18.02"/>
    <x v="14"/>
  </r>
  <r>
    <s v="WQAUG05"/>
    <s v="I2"/>
    <d v="2005-08-02T00:00:00"/>
    <n v="23.03"/>
    <n v="20.59"/>
    <x v="14"/>
  </r>
  <r>
    <s v="HYAUG05"/>
    <s v="I2"/>
    <d v="2005-08-16T00:00:00"/>
    <n v="24.16"/>
    <n v="21.21"/>
    <x v="14"/>
  </r>
  <r>
    <s v="WQSEP05"/>
    <s v="I2"/>
    <d v="2005-08-29T00:00:00"/>
    <n v="23.9"/>
    <n v="21.9"/>
    <x v="14"/>
  </r>
  <r>
    <s v="WQOCT05"/>
    <s v="I2"/>
    <d v="2005-10-06T00:00:00"/>
    <n v="21.25"/>
    <n v="20.7"/>
    <x v="14"/>
  </r>
  <r>
    <s v="WQNOV05"/>
    <s v="I2"/>
    <d v="2005-11-14T00:00:00"/>
    <n v="13.47"/>
    <n v="13.3"/>
    <x v="14"/>
  </r>
  <r>
    <s v="WQDEC05"/>
    <s v="I2"/>
    <d v="2005-12-08T00:00:00"/>
    <n v="7.9"/>
    <n v="8.77"/>
    <x v="14"/>
  </r>
  <r>
    <s v="WQAPR06"/>
    <s v="I2"/>
    <d v="2006-04-11T00:00:00"/>
    <n v="6.44"/>
    <n v="5.78"/>
    <x v="15"/>
  </r>
  <r>
    <s v="WQMAY06"/>
    <s v="I2"/>
    <d v="2006-05-02T00:00:00"/>
    <n v="9.34"/>
    <n v="8.52"/>
    <x v="15"/>
  </r>
  <r>
    <s v="WQJUN06"/>
    <s v="I2"/>
    <d v="2006-06-06T00:00:00"/>
    <n v="15.13"/>
    <n v="12.13"/>
    <x v="15"/>
  </r>
  <r>
    <s v="WQJUL06"/>
    <s v="I2"/>
    <d v="2006-07-06T00:00:00"/>
    <m/>
    <m/>
    <x v="15"/>
  </r>
  <r>
    <s v="WQAUG06"/>
    <s v="I2"/>
    <d v="2006-08-01T00:00:00"/>
    <n v="24.65"/>
    <n v="20.74"/>
    <x v="15"/>
  </r>
  <r>
    <s v="WQSEP06"/>
    <s v="I2"/>
    <d v="2006-08-29T00:00:00"/>
    <n v="21.78"/>
    <n v="21.78"/>
    <x v="15"/>
  </r>
  <r>
    <s v="WQOCT06"/>
    <s v="I2"/>
    <d v="2006-10-04T00:00:00"/>
    <n v="19.54"/>
    <n v="19.440000000000001"/>
    <x v="15"/>
  </r>
  <r>
    <s v="WQNOV06"/>
    <s v="I2"/>
    <d v="2006-11-07T00:00:00"/>
    <n v="13.44"/>
    <n v="13.43"/>
    <x v="15"/>
  </r>
  <r>
    <s v="WQDEC06"/>
    <s v="I2"/>
    <d v="2006-12-12T00:00:00"/>
    <n v="8.9"/>
    <n v="9.11"/>
    <x v="15"/>
  </r>
  <r>
    <s v="WQJAN07"/>
    <s v="I2"/>
    <d v="2007-01-11T00:00:00"/>
    <n v="7.22"/>
    <n v="7.64"/>
    <x v="16"/>
  </r>
  <r>
    <s v="WQFEB07"/>
    <s v="I2"/>
    <d v="2007-02-01T00:00:00"/>
    <n v="3.76"/>
    <n v="4.22"/>
    <x v="16"/>
  </r>
  <r>
    <s v="WQMAR07"/>
    <s v="I2"/>
    <d v="2007-03-01T00:00:00"/>
    <m/>
    <m/>
    <x v="16"/>
  </r>
  <r>
    <s v="WQAPR07"/>
    <s v="I2"/>
    <d v="2007-04-02T00:00:00"/>
    <n v="3.72"/>
    <n v="3.68"/>
    <x v="16"/>
  </r>
  <r>
    <s v="WQMAY07"/>
    <s v="I2"/>
    <d v="2007-05-07T00:00:00"/>
    <n v="10.27"/>
    <n v="7.04"/>
    <x v="16"/>
  </r>
  <r>
    <s v="WQJUN07"/>
    <s v="I2"/>
    <d v="2007-06-05T00:00:00"/>
    <n v="15.96"/>
    <n v="12.33"/>
    <x v="16"/>
  </r>
  <r>
    <s v="WQJUL07"/>
    <s v="I2"/>
    <d v="2007-07-09T00:00:00"/>
    <n v="20.239999999999998"/>
    <n v="17.77"/>
    <x v="16"/>
  </r>
  <r>
    <s v="HYJUL07"/>
    <s v="I2"/>
    <d v="2007-07-19T00:00:00"/>
    <n v="21.24"/>
    <n v="19.09"/>
    <x v="16"/>
  </r>
  <r>
    <s v="WQAUG07"/>
    <s v="I2"/>
    <d v="2007-07-30T00:00:00"/>
    <n v="21.16"/>
    <n v="20.309999999999999"/>
    <x v="16"/>
  </r>
  <r>
    <s v="HYAUG07"/>
    <s v="I2"/>
    <d v="2007-08-13T00:00:00"/>
    <n v="23.27"/>
    <n v="21.99"/>
    <x v="16"/>
  </r>
  <r>
    <s v="WQSEP07"/>
    <s v="I2"/>
    <d v="2007-08-28T00:00:00"/>
    <n v="22.1"/>
    <n v="21.4"/>
    <x v="16"/>
  </r>
  <r>
    <s v="WQOCT07"/>
    <s v="I2"/>
    <d v="2007-10-02T00:00:00"/>
    <n v="21.07"/>
    <n v="20.64"/>
    <x v="16"/>
  </r>
  <r>
    <s v="WQNOV07"/>
    <s v="I2"/>
    <d v="2007-11-08T00:00:00"/>
    <n v="14.62"/>
    <n v="14.64"/>
    <x v="16"/>
  </r>
  <r>
    <s v="WQDEC07"/>
    <s v="I2"/>
    <d v="2007-12-05T00:00:00"/>
    <n v="8.48"/>
    <n v="8.98"/>
    <x v="16"/>
  </r>
  <r>
    <s v="WQJAN08"/>
    <s v="I2"/>
    <d v="2008-01-07T00:00:00"/>
    <n v="4.79"/>
    <n v="4.74"/>
    <x v="17"/>
  </r>
  <r>
    <s v="WQFEB08"/>
    <s v="I2"/>
    <d v="2008-02-04T00:00:00"/>
    <n v="3.23"/>
    <n v="3.22"/>
    <x v="17"/>
  </r>
  <r>
    <s v="WQMAR08"/>
    <s v="I2"/>
    <d v="2008-03-07T00:00:00"/>
    <n v="3.22"/>
    <n v="3.16"/>
    <x v="17"/>
  </r>
  <r>
    <s v="WQAPR08"/>
    <s v="I2"/>
    <d v="2008-04-03T00:00:00"/>
    <n v="4.95"/>
    <n v="4.97"/>
    <x v="17"/>
  </r>
  <r>
    <s v="WQMAY08"/>
    <s v="I2"/>
    <d v="2008-05-05T00:00:00"/>
    <n v="9.09"/>
    <n v="8.84"/>
    <x v="17"/>
  </r>
  <r>
    <s v="WQJUN08"/>
    <s v="I2"/>
    <d v="2008-06-02T00:00:00"/>
    <n v="15.2"/>
    <n v="12.05"/>
    <x v="17"/>
  </r>
  <r>
    <s v="WQJUL08"/>
    <s v="I2"/>
    <d v="2008-07-02T00:00:00"/>
    <n v="21.7"/>
    <n v="17.38"/>
    <x v="17"/>
  </r>
  <r>
    <s v="HYJUL08"/>
    <s v="I2"/>
    <d v="2008-07-21T00:00:00"/>
    <n v="22.6"/>
    <n v="19.95"/>
    <x v="17"/>
  </r>
  <r>
    <s v="WQAUG08"/>
    <s v="I2"/>
    <d v="2008-08-07T00:00:00"/>
    <n v="23.7"/>
    <n v="21.17"/>
    <x v="17"/>
  </r>
  <r>
    <s v="WQSEP08"/>
    <s v="I2"/>
    <d v="2008-09-05T00:00:00"/>
    <n v="22.91"/>
    <n v="21.43"/>
    <x v="17"/>
  </r>
  <r>
    <s v="WQOCT08"/>
    <s v="I2"/>
    <d v="2008-10-06T00:00:00"/>
    <n v="19.239999999999998"/>
    <n v="19.11"/>
    <x v="17"/>
  </r>
  <r>
    <s v="WQNOV08"/>
    <s v="I2"/>
    <d v="2008-11-05T00:00:00"/>
    <n v="14.78"/>
    <n v="14.48"/>
    <x v="17"/>
  </r>
  <r>
    <s v="WQDEC08"/>
    <s v="I2"/>
    <d v="2008-12-16T00:00:00"/>
    <n v="7.76"/>
    <n v="7.77"/>
    <x v="17"/>
  </r>
  <r>
    <s v="WQJAN09"/>
    <s v="I2"/>
    <d v="2009-01-16T00:00:00"/>
    <m/>
    <m/>
    <x v="18"/>
  </r>
  <r>
    <s v="WQFEB09"/>
    <s v="I2"/>
    <d v="2009-02-02T00:00:00"/>
    <n v="1.75"/>
    <n v="1.84"/>
    <x v="18"/>
  </r>
  <r>
    <s v="WQMAR09"/>
    <s v="I2"/>
    <d v="2009-03-04T00:00:00"/>
    <n v="1.57"/>
    <n v="1.65"/>
    <x v="18"/>
  </r>
  <r>
    <s v="WQAPR09"/>
    <s v="I2"/>
    <d v="2009-03-31T00:00:00"/>
    <n v="4.1900000000000004"/>
    <n v="3.97"/>
    <x v="18"/>
  </r>
  <r>
    <s v="WQMAY09"/>
    <s v="I2"/>
    <d v="2009-04-29T00:00:00"/>
    <n v="8.09"/>
    <n v="7.59"/>
    <x v="18"/>
  </r>
  <r>
    <s v="WQJUN09"/>
    <s v="I2"/>
    <d v="2009-06-04T00:00:00"/>
    <n v="15"/>
    <n v="12.72"/>
    <x v="18"/>
  </r>
  <r>
    <s v="WQJUL09"/>
    <s v="I2"/>
    <d v="2009-07-07T00:00:00"/>
    <n v="20.21"/>
    <n v="17.22"/>
    <x v="18"/>
  </r>
  <r>
    <s v="HYJUL09"/>
    <s v="I2"/>
    <d v="2009-07-20T00:00:00"/>
    <n v="20.66"/>
    <n v="18.75"/>
    <x v="18"/>
  </r>
  <r>
    <s v="WQAUG09"/>
    <s v="I2"/>
    <d v="2009-08-03T00:00:00"/>
    <n v="23.1"/>
    <n v="19.86"/>
    <x v="18"/>
  </r>
  <r>
    <s v="HYAUG09"/>
    <s v="I2"/>
    <d v="2009-08-19T00:00:00"/>
    <n v="21.89"/>
    <n v="21.35"/>
    <x v="18"/>
  </r>
  <r>
    <s v="WQSEP09"/>
    <s v="I2"/>
    <d v="2009-09-08T00:00:00"/>
    <n v="22.31"/>
    <n v="21.86"/>
    <x v="18"/>
  </r>
  <r>
    <s v="WQOCT09"/>
    <s v="I2"/>
    <d v="2009-10-05T00:00:00"/>
    <n v="19.23"/>
    <n v="19.11"/>
    <x v="18"/>
  </r>
  <r>
    <s v="WQNOV09"/>
    <s v="I2"/>
    <d v="2009-11-03T00:00:00"/>
    <n v="14.75"/>
    <n v="14.6"/>
    <x v="18"/>
  </r>
  <r>
    <s v="WQDEC09"/>
    <s v="I2"/>
    <d v="2009-12-01T00:00:00"/>
    <n v="11.41"/>
    <n v="11.44"/>
    <x v="18"/>
  </r>
  <r>
    <s v="WQJAN10"/>
    <s v="I2"/>
    <d v="2010-01-05T00:00:00"/>
    <n v="3.65"/>
    <n v="3.65"/>
    <x v="19"/>
  </r>
  <r>
    <s v="WQFEB10"/>
    <s v="I2"/>
    <d v="2010-02-05T00:00:00"/>
    <n v="1.7"/>
    <n v="2.0499999999999998"/>
    <x v="19"/>
  </r>
  <r>
    <s v="WQMAR10"/>
    <s v="I2"/>
    <d v="2010-03-08T00:00:00"/>
    <n v="2.2799999999999998"/>
    <n v="2.2400000000000002"/>
    <x v="19"/>
  </r>
  <r>
    <s v="WQAPR10"/>
    <s v="I2"/>
    <d v="2010-04-06T00:00:00"/>
    <n v="7.48"/>
    <n v="4.96"/>
    <x v="19"/>
  </r>
  <r>
    <s v="WQMAY10"/>
    <s v="I2"/>
    <d v="2010-05-03T00:00:00"/>
    <n v="10.33"/>
    <n v="9.17"/>
    <x v="19"/>
  </r>
  <r>
    <s v="WQJUN10"/>
    <s v="I2"/>
    <d v="2010-06-03T00:00:00"/>
    <n v="18.71"/>
    <n v="13.46"/>
    <x v="19"/>
  </r>
  <r>
    <s v="WQSEP10"/>
    <s v="I2"/>
    <d v="2010-09-02T00:00:00"/>
    <n v="23.89"/>
    <n v="22.31"/>
    <x v="19"/>
  </r>
  <r>
    <s v="WQOCT10"/>
    <s v="I2"/>
    <d v="2010-10-06T00:00:00"/>
    <n v="19.66"/>
    <n v="19.68"/>
    <x v="19"/>
  </r>
  <r>
    <s v="WQNOV10"/>
    <s v="I2"/>
    <d v="2010-11-03T00:00:00"/>
    <n v="14.76"/>
    <n v="14.54"/>
    <x v="19"/>
  </r>
  <r>
    <s v="WQDEC10"/>
    <s v="I2"/>
    <d v="2010-11-29T00:00:00"/>
    <n v="10.6"/>
    <n v="10.73"/>
    <x v="19"/>
  </r>
  <r>
    <s v="WQJAN11"/>
    <s v="I2"/>
    <d v="2011-01-06T00:00:00"/>
    <n v="3.36"/>
    <n v="3.36"/>
    <x v="20"/>
  </r>
  <r>
    <s v="WQFEB11"/>
    <s v="I2"/>
    <d v="2011-01-31T00:00:00"/>
    <n v="1.22"/>
    <n v="1.2"/>
    <x v="20"/>
  </r>
  <r>
    <s v="WQMAR11"/>
    <s v="I2"/>
    <d v="2011-03-14T00:00:00"/>
    <n v="3.18"/>
    <n v="2.52"/>
    <x v="20"/>
  </r>
  <r>
    <s v="WQAPR11"/>
    <s v="I2"/>
    <d v="2011-04-12T00:00:00"/>
    <n v="6.21"/>
    <n v="4.8600000000000003"/>
    <x v="20"/>
  </r>
  <r>
    <s v="WQMAY11"/>
    <s v="I2"/>
    <d v="2011-05-04T00:00:00"/>
    <n v="9.32"/>
    <n v="7.69"/>
    <x v="20"/>
  </r>
  <r>
    <s v="WQJUN11"/>
    <s v="I2"/>
    <d v="2011-05-31T00:00:00"/>
    <n v="16.579999999999998"/>
    <n v="11.99"/>
    <x v="20"/>
  </r>
  <r>
    <s v="WQJUL11"/>
    <s v="I2"/>
    <d v="2011-07-05T00:00:00"/>
    <n v="22.24"/>
    <n v="17.899999999999999"/>
    <x v="20"/>
  </r>
  <r>
    <s v="HYJUL11"/>
    <s v="I2"/>
    <d v="2011-07-20T00:00:00"/>
    <n v="22.02"/>
    <n v="20.65"/>
    <x v="20"/>
  </r>
  <r>
    <s v="WQAUG11"/>
    <s v="I2"/>
    <d v="2011-08-01T00:00:00"/>
    <n v="24.4"/>
    <n v="20.69"/>
    <x v="20"/>
  </r>
  <r>
    <s v="HYAUG11"/>
    <s v="I2"/>
    <d v="2011-08-17T00:00:00"/>
    <n v="23.67"/>
    <n v="22.02"/>
    <x v="20"/>
  </r>
  <r>
    <s v="WQSEP11"/>
    <s v="I2"/>
    <d v="2011-08-30T00:00:00"/>
    <n v="22.39"/>
    <n v="22.14"/>
    <x v="20"/>
  </r>
  <r>
    <s v="WQOCT11"/>
    <s v="I2"/>
    <d v="2011-10-04T00:00:00"/>
    <n v="20.74"/>
    <n v="20.78"/>
    <x v="20"/>
  </r>
  <r>
    <s v="WQNOV11"/>
    <s v="I2"/>
    <d v="2011-11-08T00:00:00"/>
    <n v="13.61"/>
    <n v="13.83"/>
    <x v="20"/>
  </r>
  <r>
    <s v="WQDEC11"/>
    <s v="I2"/>
    <d v="2011-11-28T00:00:00"/>
    <n v="11.93"/>
    <n v="11.99"/>
    <x v="20"/>
  </r>
  <r>
    <s v="WQJAN12"/>
    <s v="I2"/>
    <d v="2012-01-11T00:00:00"/>
    <n v="6.7"/>
    <n v="7.37"/>
    <x v="21"/>
  </r>
  <r>
    <s v="WQFEB12"/>
    <s v="I2"/>
    <d v="2012-02-01T00:00:00"/>
    <n v="4.93"/>
    <n v="5.63"/>
    <x v="21"/>
  </r>
  <r>
    <s v="WQMAR12"/>
    <s v="I2"/>
    <d v="2012-03-02T00:00:00"/>
    <n v="4.74"/>
    <n v="5.52"/>
    <x v="21"/>
  </r>
  <r>
    <s v="WQAPR12"/>
    <s v="I2"/>
    <d v="2012-04-03T00:00:00"/>
    <n v="7.84"/>
    <m/>
    <x v="21"/>
  </r>
  <r>
    <s v="WQMAY12"/>
    <s v="I2"/>
    <d v="2012-05-01T00:00:00"/>
    <n v="10.52"/>
    <n v="10.66"/>
    <x v="21"/>
  </r>
  <r>
    <s v="WQJUN12"/>
    <s v="I2"/>
    <d v="2012-05-29T00:00:00"/>
    <n v="19.62"/>
    <n v="13.01"/>
    <x v="21"/>
  </r>
  <r>
    <s v="WQJUL12"/>
    <s v="I2"/>
    <d v="2012-06-26T00:00:00"/>
    <n v="19"/>
    <n v="18.04"/>
    <x v="21"/>
  </r>
  <r>
    <s v="HYJUL12"/>
    <s v="I2"/>
    <d v="2012-07-18T00:00:00"/>
    <n v="23.53"/>
    <n v="20.96"/>
    <x v="21"/>
  </r>
  <r>
    <s v="WQAUG12"/>
    <s v="I2"/>
    <d v="2012-07-30T00:00:00"/>
    <n v="23.27"/>
    <n v="21.79"/>
    <x v="21"/>
  </r>
  <r>
    <s v="HYAUG12"/>
    <s v="I2"/>
    <d v="2012-08-14T00:00:00"/>
    <n v="24.91"/>
    <n v="22.61"/>
    <x v="21"/>
  </r>
  <r>
    <s v="WQSEP12"/>
    <s v="I2"/>
    <d v="2012-08-27T00:00:00"/>
    <n v="24.4"/>
    <n v="23.38"/>
    <x v="21"/>
  </r>
  <r>
    <s v="WQOCT12"/>
    <s v="I2"/>
    <d v="2012-10-09T00:00:00"/>
    <n v="20.079999999999998"/>
    <n v="19.57"/>
    <x v="21"/>
  </r>
  <r>
    <s v="WQNOV12"/>
    <s v="I2"/>
    <d v="2012-11-13T00:00:00"/>
    <n v="12.65"/>
    <n v="13.19"/>
    <x v="21"/>
  </r>
  <r>
    <s v="WQDEC12"/>
    <s v="I2"/>
    <d v="2012-12-03T00:00:00"/>
    <n v="9.23"/>
    <n v="9.65"/>
    <x v="21"/>
  </r>
  <r>
    <s v="WQJAN13"/>
    <s v="I2"/>
    <d v="2013-01-11T00:00:00"/>
    <n v="5.16"/>
    <n v="5.16"/>
    <x v="22"/>
  </r>
  <r>
    <s v="WQFEB13"/>
    <s v="I2"/>
    <d v="2013-01-28T00:00:00"/>
    <n v="3.19"/>
    <n v="3.25"/>
    <x v="22"/>
  </r>
  <r>
    <s v="WQMAR13"/>
    <s v="I2"/>
    <d v="2013-03-05T00:00:00"/>
    <n v="2.4700000000000002"/>
    <n v="2.35"/>
    <x v="22"/>
  </r>
  <r>
    <s v="WQAPR13"/>
    <s v="I2"/>
    <d v="2013-04-01T00:00:00"/>
    <n v="4.25"/>
    <n v="4.0199999999999996"/>
    <x v="22"/>
  </r>
  <r>
    <s v="WQMAY13"/>
    <s v="I2"/>
    <d v="2013-04-29T00:00:00"/>
    <n v="8"/>
    <n v="7.93"/>
    <x v="22"/>
  </r>
  <r>
    <s v="WQJUN13"/>
    <s v="I2"/>
    <d v="2013-06-03T00:00:00"/>
    <n v="15.52"/>
    <n v="13.79"/>
    <x v="22"/>
  </r>
  <r>
    <s v="WQJUL13"/>
    <s v="I2"/>
    <d v="2013-07-01T00:00:00"/>
    <n v="21.43"/>
    <n v="18.23"/>
    <x v="22"/>
  </r>
  <r>
    <s v="HYJUL13"/>
    <s v="I2"/>
    <d v="2013-07-17T00:00:00"/>
    <n v="23.33"/>
    <n v="18.760000000000002"/>
    <x v="22"/>
  </r>
  <r>
    <s v="WQAUG13"/>
    <s v="I2"/>
    <d v="2013-07-29T00:00:00"/>
    <n v="23.11"/>
    <n v="20.49"/>
    <x v="22"/>
  </r>
  <r>
    <s v="HYAUG13"/>
    <s v="I2"/>
    <d v="2013-08-14T00:00:00"/>
    <n v="22.55"/>
    <n v="21.54"/>
    <x v="22"/>
  </r>
  <r>
    <s v="WQSEP13"/>
    <s v="I2"/>
    <d v="2013-08-27T00:00:00"/>
    <n v="22.33"/>
    <n v="21.93"/>
    <x v="22"/>
  </r>
  <r>
    <s v="WQOCT13"/>
    <s v="I2"/>
    <d v="2013-10-01T00:00:00"/>
    <n v="20.190000000000001"/>
    <n v="19.690000000000001"/>
    <x v="22"/>
  </r>
  <r>
    <s v="WQNOV13"/>
    <s v="I2"/>
    <d v="2013-11-04T00:00:00"/>
    <n v="14.97"/>
    <n v="14.97"/>
    <x v="22"/>
  </r>
  <r>
    <s v="WQDEC13"/>
    <s v="I2"/>
    <d v="2013-12-02T00:00:00"/>
    <n v="9.14"/>
    <n v="8.7899999999999991"/>
    <x v="22"/>
  </r>
  <r>
    <s v="WQJAN14"/>
    <s v="I2"/>
    <d v="2014-01-13T00:00:00"/>
    <n v="3.26"/>
    <n v="3.25"/>
    <x v="23"/>
  </r>
  <r>
    <s v="WQFEB14"/>
    <s v="I2"/>
    <d v="2014-02-03T00:00:00"/>
    <n v="1.18"/>
    <n v="1.28"/>
    <x v="23"/>
  </r>
  <r>
    <s v="WQMAR14"/>
    <s v="I2"/>
    <d v="2014-03-07T00:00:00"/>
    <n v="0.27"/>
    <n v="0.14000000000000001"/>
    <x v="23"/>
  </r>
  <r>
    <s v="WQAPR14"/>
    <s v="I2"/>
    <d v="2014-04-07T00:00:00"/>
    <n v="3.78"/>
    <n v="2.71"/>
    <x v="23"/>
  </r>
  <r>
    <s v="WQMAY14"/>
    <s v="I2"/>
    <d v="2014-05-06T00:00:00"/>
    <n v="8.91"/>
    <n v="7.9"/>
    <x v="23"/>
  </r>
  <r>
    <s v="WQJUN14"/>
    <s v="I2"/>
    <d v="2014-06-02T00:00:00"/>
    <n v="15.12"/>
    <n v="12.08"/>
    <x v="23"/>
  </r>
  <r>
    <s v="WQJUL14"/>
    <s v="I2"/>
    <d v="2014-06-30T00:00:00"/>
    <n v="21.16"/>
    <n v="16.8"/>
    <x v="23"/>
  </r>
  <r>
    <s v="WQAUG14"/>
    <s v="I2"/>
    <d v="2014-08-04T00:00:00"/>
    <n v="22.3"/>
    <n v="20.84"/>
    <x v="23"/>
  </r>
  <r>
    <s v="HYAUG14"/>
    <s v="I2"/>
    <d v="2014-08-20T00:00:00"/>
    <n v="22.77"/>
    <n v="21.91"/>
    <x v="23"/>
  </r>
  <r>
    <s v="WQSEP14"/>
    <s v="I2"/>
    <d v="2014-09-04T00:00:00"/>
    <n v="23.55"/>
    <n v="21.52"/>
    <x v="23"/>
  </r>
  <r>
    <s v="WQOCT14"/>
    <s v="I2"/>
    <d v="2014-09-30T00:00:00"/>
    <n v="20.51"/>
    <n v="20.190000000000001"/>
    <x v="23"/>
  </r>
  <r>
    <s v="WQNOV14"/>
    <s v="I2"/>
    <d v="2014-11-06T00:00:00"/>
    <n v="14.62"/>
    <n v="14.67"/>
    <x v="23"/>
  </r>
  <r>
    <s v="WQDEC14"/>
    <s v="I2"/>
    <d v="2014-12-15T00:00:00"/>
    <n v="7.57"/>
    <n v="7.54"/>
    <x v="23"/>
  </r>
  <r>
    <s v="WQJAN15"/>
    <s v="I2"/>
    <d v="2015-01-12T00:00:00"/>
    <n v="3.67"/>
    <n v="3.9"/>
    <x v="24"/>
  </r>
  <r>
    <s v="WQFEB15"/>
    <s v="I2"/>
    <d v="2015-02-04T00:00:00"/>
    <n v="1.04"/>
    <n v="1.01"/>
    <x v="24"/>
  </r>
  <r>
    <s v="WQMAR15"/>
    <s v="I2"/>
    <d v="2015-03-11T00:00:00"/>
    <n v="-0.52"/>
    <n v="-0.4"/>
    <x v="24"/>
  </r>
  <r>
    <s v="WQAPR15"/>
    <s v="I2"/>
    <d v="2015-04-02T00:00:00"/>
    <n v="1.53"/>
    <n v="1.42"/>
    <x v="24"/>
  </r>
  <r>
    <s v="WQMAY15"/>
    <s v="I2"/>
    <d v="2015-04-30T00:00:00"/>
    <n v="6.38"/>
    <n v="6.07"/>
    <x v="24"/>
  </r>
  <r>
    <s v="WQJUN15"/>
    <s v="I2"/>
    <d v="2015-05-28T00:00:00"/>
    <n v="14.42"/>
    <n v="10.78"/>
    <x v="24"/>
  </r>
  <r>
    <s v="WQJUL15"/>
    <s v="I2"/>
    <d v="2015-07-06T00:00:00"/>
    <n v="20.98"/>
    <n v="17.059999999999999"/>
    <x v="24"/>
  </r>
  <r>
    <s v="HYJUL15"/>
    <s v="I2"/>
    <d v="2015-07-23T00:00:00"/>
    <n v="21.8"/>
    <n v="20.14"/>
    <x v="24"/>
  </r>
  <r>
    <s v="WQAUG15"/>
    <s v="I2"/>
    <d v="2015-08-06T00:00:00"/>
    <n v="23.75"/>
    <n v="22.12"/>
    <x v="24"/>
  </r>
  <r>
    <s v="HYAUG15"/>
    <s v="I2"/>
    <d v="2015-08-19T00:00:00"/>
    <n v="25.84"/>
    <n v="22.56"/>
    <x v="24"/>
  </r>
  <r>
    <s v="WQSEP15"/>
    <s v="I2"/>
    <d v="2015-09-02T00:00:00"/>
    <n v="25.67"/>
    <n v="23.53"/>
    <x v="24"/>
  </r>
  <r>
    <s v="WQOCT15"/>
    <s v="I2"/>
    <d v="2015-10-13T00:00:00"/>
    <n v="19.059999999999999"/>
    <n v="19.21"/>
    <x v="24"/>
  </r>
  <r>
    <s v="WQNOV15"/>
    <s v="I2"/>
    <d v="2015-11-06T00:00:00"/>
    <n v="15.94"/>
    <n v="15.72"/>
    <x v="24"/>
  </r>
  <r>
    <s v="WQDEC15"/>
    <s v="I2"/>
    <d v="2015-12-16T00:00:00"/>
    <n v="11.11"/>
    <n v="11.12"/>
    <x v="24"/>
  </r>
  <r>
    <s v="WQJAN16"/>
    <s v="I2"/>
    <d v="2016-01-07T00:00:00"/>
    <n v="8.24"/>
    <n v="8.1300000000000008"/>
    <x v="25"/>
  </r>
  <r>
    <s v="WQFEB16"/>
    <s v="I2"/>
    <d v="2016-02-04T00:00:00"/>
    <n v="4.49"/>
    <n v="4.59"/>
    <x v="25"/>
  </r>
  <r>
    <s v="WQMAR16"/>
    <s v="I2"/>
    <d v="2016-03-10T00:00:00"/>
    <n v="4"/>
    <n v="3.95"/>
    <x v="25"/>
  </r>
  <r>
    <s v="WQAPR16"/>
    <s v="I2"/>
    <d v="2016-04-13T00:00:00"/>
    <n v="6.46"/>
    <n v="6.43"/>
    <x v="25"/>
  </r>
  <r>
    <s v="WQMAY16"/>
    <s v="I2"/>
    <d v="2016-05-11T00:00:00"/>
    <n v="10.35"/>
    <n v="9.5399999999999991"/>
    <x v="25"/>
  </r>
  <r>
    <s v="WQJUN16"/>
    <s v="I2"/>
    <d v="2016-06-14T00:00:00"/>
    <n v="16.84"/>
    <n v="15.71"/>
    <x v="25"/>
  </r>
  <r>
    <s v="WQJUL16"/>
    <s v="I2"/>
    <d v="2016-07-05T00:00:00"/>
    <n v="20.96"/>
    <n v="19.170000000000002"/>
    <x v="25"/>
  </r>
  <r>
    <s v="HYJUL16"/>
    <s v="I2"/>
    <d v="2016-07-18T00:00:00"/>
    <m/>
    <m/>
    <x v="25"/>
  </r>
  <r>
    <s v="WQAUG16"/>
    <s v="I2"/>
    <d v="2016-08-01T00:00:00"/>
    <n v="22.7"/>
    <n v="22.43"/>
    <x v="25"/>
  </r>
  <r>
    <s v="HYAUG16"/>
    <s v="I2"/>
    <d v="2016-08-16T00:00:00"/>
    <n v="26.14"/>
    <n v="22.29"/>
    <x v="25"/>
  </r>
  <r>
    <s v="WQSEP16"/>
    <s v="I2"/>
    <d v="2016-08-29T00:00:00"/>
    <n v="25.25"/>
    <n v="23.74"/>
    <x v="25"/>
  </r>
  <r>
    <s v="WQOCT16"/>
    <s v="I2"/>
    <d v="2016-10-03T00:00:00"/>
    <n v="21.35"/>
    <n v="21.13"/>
    <x v="25"/>
  </r>
  <r>
    <s v="WQNOV16"/>
    <s v="I2"/>
    <d v="2016-11-07T00:00:00"/>
    <n v="15.07"/>
    <n v="14.82"/>
    <x v="25"/>
  </r>
  <r>
    <s v="WQDEC16"/>
    <s v="I2"/>
    <d v="2016-11-30T00:00:00"/>
    <n v="11.04"/>
    <n v="11.07"/>
    <x v="25"/>
  </r>
  <r>
    <s v="WQJAN17"/>
    <s v="I2"/>
    <d v="2017-01-04T00:00:00"/>
    <n v="5.9"/>
    <n v="5.89"/>
    <x v="26"/>
  </r>
  <r>
    <s v="WQFEB17"/>
    <s v="I2"/>
    <d v="2017-02-07T00:00:00"/>
    <n v="3.66"/>
    <n v="3.68"/>
    <x v="26"/>
  </r>
  <r>
    <s v="WQMAR17"/>
    <s v="I2"/>
    <d v="2017-03-06T00:00:00"/>
    <n v="3.89"/>
    <n v="3.46"/>
    <x v="26"/>
  </r>
  <r>
    <s v="WQAPR17"/>
    <s v="I2"/>
    <d v="2017-04-03T00:00:00"/>
    <n v="4.8099999999999996"/>
    <n v="3.82"/>
    <x v="26"/>
  </r>
  <r>
    <s v="WQMAY17"/>
    <s v="I2"/>
    <d v="2017-05-01T00:00:00"/>
    <n v="9.15"/>
    <n v="6.9"/>
    <x v="26"/>
  </r>
  <r>
    <s v="WQJUN17"/>
    <s v="I2"/>
    <d v="2017-06-05T00:00:00"/>
    <n v="14.94"/>
    <n v="12.81"/>
    <x v="26"/>
  </r>
  <r>
    <s v="WQJUL17"/>
    <s v="I2"/>
    <d v="2017-07-05T00:00:00"/>
    <n v="22.57"/>
    <n v="18.489999999999998"/>
    <x v="26"/>
  </r>
  <r>
    <s v="HYJUL17"/>
    <s v="I2"/>
    <d v="2017-07-20T00:00:00"/>
    <n v="26.35"/>
    <n v="19.96"/>
    <x v="26"/>
  </r>
  <r>
    <s v="WQAUG17"/>
    <s v="I2"/>
    <d v="2017-07-31T00:00:00"/>
    <n v="21.28"/>
    <n v="20.95"/>
    <x v="26"/>
  </r>
  <r>
    <s v="HYAUG17"/>
    <s v="I2"/>
    <d v="2017-08-14T00:00:00"/>
    <n v="23.26"/>
    <n v="21.59"/>
    <x v="26"/>
  </r>
  <r>
    <s v="WQSEP17"/>
    <s v="I2"/>
    <d v="2017-09-01T00:00:00"/>
    <n v="21.92"/>
    <n v="22.03"/>
    <x v="26"/>
  </r>
  <r>
    <s v="WQOCT17"/>
    <s v="I2"/>
    <d v="2017-10-06T00:00:00"/>
    <n v="20.41"/>
    <n v="20.37"/>
    <x v="26"/>
  </r>
  <r>
    <s v="WQNOV17"/>
    <s v="I2"/>
    <d v="2017-11-09T00:00:00"/>
    <m/>
    <m/>
    <x v="26"/>
  </r>
  <r>
    <s v="WQDEC17"/>
    <s v="I2"/>
    <d v="2017-12-04T00:00:00"/>
    <n v="10.91"/>
    <n v="10.89"/>
    <x v="26"/>
  </r>
  <r>
    <s v="WQJAN18"/>
    <s v="I2"/>
    <d v="2018-01-10T00:00:00"/>
    <n v="1.28"/>
    <n v="1.65"/>
    <x v="27"/>
  </r>
  <r>
    <s v="WQFEB18"/>
    <s v="I2"/>
    <d v="2018-02-09T00:00:00"/>
    <m/>
    <m/>
    <x v="27"/>
  </r>
  <r>
    <s v="WQMAR18"/>
    <s v="I2"/>
    <d v="2018-03-06T00:00:00"/>
    <n v="3.31"/>
    <n v="2.94"/>
    <x v="27"/>
  </r>
  <r>
    <s v="WQAPR18"/>
    <s v="I2"/>
    <d v="2018-04-09T00:00:00"/>
    <n v="4.32"/>
    <n v="4.25"/>
    <x v="27"/>
  </r>
  <r>
    <s v="WQMAY18"/>
    <s v="I2"/>
    <d v="2018-05-01T00:00:00"/>
    <n v="7.57"/>
    <n v="7.15"/>
    <x v="27"/>
  </r>
  <r>
    <s v="WQJUN18"/>
    <s v="I2"/>
    <d v="2018-05-30T00:00:00"/>
    <n v="14.98"/>
    <n v="11.63"/>
    <x v="27"/>
  </r>
  <r>
    <s v="WQJUL18"/>
    <s v="I2"/>
    <d v="2018-07-02T00:00:00"/>
    <n v="21.74"/>
    <n v="16.82"/>
    <x v="27"/>
  </r>
  <r>
    <s v="HYJUL18"/>
    <s v="I2"/>
    <d v="2018-07-18T00:00:00"/>
    <n v="23.28"/>
    <n v="20.05"/>
    <x v="27"/>
  </r>
  <r>
    <s v="WQAUG18"/>
    <s v="I2"/>
    <d v="2018-07-30T00:00:00"/>
    <n v="23.3"/>
    <n v="20.95"/>
    <x v="27"/>
  </r>
  <r>
    <s v="HYAUG18"/>
    <s v="I2"/>
    <d v="2018-08-13T00:00:00"/>
    <n v="24.74"/>
    <n v="22.47"/>
    <x v="27"/>
  </r>
  <r>
    <s v="WQSEP18"/>
    <s v="I2"/>
    <d v="2018-08-29T00:00:00"/>
    <n v="25.03"/>
    <n v="22.98"/>
    <x v="27"/>
  </r>
  <r>
    <s v="WQOCT18"/>
    <s v="I2"/>
    <d v="2018-10-02T00:00:00"/>
    <n v="21.43"/>
    <n v="21.22"/>
    <x v="27"/>
  </r>
  <r>
    <s v="WQNOV18"/>
    <s v="I2"/>
    <d v="2018-11-08T00:00:00"/>
    <n v="14.56"/>
    <n v="14.53"/>
    <x v="27"/>
  </r>
  <r>
    <s v="WQDEC18"/>
    <s v="I2"/>
    <d v="2018-11-30T00:00:00"/>
    <n v="8.69"/>
    <n v="9.08"/>
    <x v="27"/>
  </r>
  <r>
    <s v="WQJAN19"/>
    <s v="I2"/>
    <d v="2019-01-02T00:00:00"/>
    <n v="6.11"/>
    <n v="6.05"/>
    <x v="28"/>
  </r>
  <r>
    <s v="WQFEB19"/>
    <s v="I2"/>
    <d v="2019-02-04T00:00:00"/>
    <n v="2.1800000000000002"/>
    <n v="2.5"/>
    <x v="28"/>
  </r>
  <r>
    <s v="WQMAR19"/>
    <s v="I2"/>
    <d v="2019-03-08T00:00:00"/>
    <n v="1.74"/>
    <n v="2.13"/>
    <x v="28"/>
  </r>
  <r>
    <s v="WQAPR19"/>
    <s v="I2"/>
    <d v="2019-04-04T00:00:00"/>
    <n v="5.4"/>
    <n v="4.9400000000000004"/>
    <x v="28"/>
  </r>
  <r>
    <s v="WQMAY19"/>
    <s v="I2"/>
    <d v="2019-05-06T00:00:00"/>
    <n v="8.98"/>
    <n v="8.82"/>
    <x v="28"/>
  </r>
  <r>
    <s v="WQJUN19"/>
    <s v="I2"/>
    <d v="2019-05-29T00:00:00"/>
    <n v="14.94"/>
    <n v="11.69"/>
    <x v="28"/>
  </r>
  <r>
    <s v="WQJUL19"/>
    <s v="I2"/>
    <d v="2019-07-01T00:00:00"/>
    <n v="20.86"/>
    <n v="16.72"/>
    <x v="28"/>
  </r>
  <r>
    <s v="HYJUL19"/>
    <s v="I2"/>
    <d v="2019-07-17T00:00:00"/>
    <n v="22.13"/>
    <n v="20.27"/>
    <x v="28"/>
  </r>
  <r>
    <s v="WQAUG19"/>
    <s v="I2"/>
    <d v="2019-07-29T00:00:00"/>
    <n v="24.03"/>
    <n v="20.51"/>
    <x v="28"/>
  </r>
  <r>
    <s v="HYAUG19"/>
    <s v="I2"/>
    <d v="2019-08-14T00:00:00"/>
    <n v="22.85"/>
    <n v="21.7"/>
    <x v="28"/>
  </r>
  <r>
    <s v="WQSEP19"/>
    <s v="I2"/>
    <d v="2019-08-27T00:00:00"/>
    <n v="23.18"/>
    <n v="21.74"/>
    <x v="28"/>
  </r>
  <r>
    <s v="WQOCT19"/>
    <s v="I2"/>
    <d v="2019-09-30T00:00:00"/>
    <n v="20.96"/>
    <n v="20.91"/>
    <x v="28"/>
  </r>
  <r>
    <s v="WQNOV19"/>
    <s v="I2"/>
    <d v="2019-11-04T00:00:00"/>
    <n v="16"/>
    <n v="15.88"/>
    <x v="28"/>
  </r>
  <r>
    <s v="WQDEC19"/>
    <s v="I2"/>
    <d v="2019-12-04T00:00:00"/>
    <n v="8.7200000000000006"/>
    <n v="8.77"/>
    <x v="28"/>
  </r>
  <r>
    <s v="WQJAN20"/>
    <s v="I2"/>
    <d v="2020-01-07T00:00:00"/>
    <n v="5.45"/>
    <n v="5.49"/>
    <x v="29"/>
  </r>
  <r>
    <s v="WQFEB20"/>
    <s v="I2"/>
    <d v="2020-02-13T00:00:00"/>
    <n v="4.24"/>
    <n v="4.3"/>
    <x v="29"/>
  </r>
  <r>
    <s v="WQMAR20"/>
    <s v="I2"/>
    <d v="2020-03-09T00:00:00"/>
    <m/>
    <m/>
    <x v="29"/>
  </r>
  <r>
    <s v="WQJUN20"/>
    <s v="I2"/>
    <d v="2020-06-16T00:00:00"/>
    <n v="17.43"/>
    <n v="14.68"/>
    <x v="29"/>
  </r>
  <r>
    <s v="WQJUL20"/>
    <s v="I2"/>
    <d v="2020-07-06T00:00:00"/>
    <n v="22.34"/>
    <n v="19.149999999999999"/>
    <x v="29"/>
  </r>
  <r>
    <s v="HYJUL20"/>
    <s v="I2"/>
    <d v="2020-07-22T00:00:00"/>
    <n v="24.02"/>
    <n v="20.83"/>
    <x v="29"/>
  </r>
  <r>
    <s v="WQAUG20"/>
    <s v="I2"/>
    <d v="2020-08-10T00:00:00"/>
    <n v="25.11"/>
    <n v="22.92"/>
    <x v="29"/>
  </r>
  <r>
    <s v="HYAUG20"/>
    <s v="I2"/>
    <d v="2020-08-25T00:00:00"/>
    <n v="24.28"/>
    <n v="23.05"/>
    <x v="29"/>
  </r>
  <r>
    <s v="WQSEP20"/>
    <s v="I2"/>
    <d v="2020-09-10T00:00:00"/>
    <n v="23.86"/>
    <n v="22.39"/>
    <x v="29"/>
  </r>
  <r>
    <s v="WQOCT20"/>
    <s v="I2"/>
    <d v="2020-10-06T00:00:00"/>
    <n v="20.03"/>
    <n v="19.95"/>
    <x v="29"/>
  </r>
  <r>
    <s v="WQNOV20"/>
    <s v="I2"/>
    <d v="2020-11-09T00:00:00"/>
    <n v="14.37"/>
    <n v="14.72"/>
    <x v="29"/>
  </r>
  <r>
    <s v="WQMAR21"/>
    <s v="I2"/>
    <d v="2021-03-08T00:00:00"/>
    <n v="2.4"/>
    <n v="2.5099999999999998"/>
    <x v="30"/>
  </r>
  <r>
    <s v="WQAPR21"/>
    <s v="I2"/>
    <d v="2021-04-06T00:00:00"/>
    <n v="5.52"/>
    <n v="5.29"/>
    <x v="30"/>
  </r>
  <r>
    <s v="WQMAY21"/>
    <s v="I2"/>
    <d v="2021-05-06T00:00:00"/>
    <n v="9.5500000000000007"/>
    <n v="9.2799999999999994"/>
    <x v="30"/>
  </r>
  <r>
    <s v="WQJUN21"/>
    <s v="I2"/>
    <d v="2021-06-03T00:00:00"/>
    <n v="14.31"/>
    <n v="13.03"/>
    <x v="30"/>
  </r>
  <r>
    <s v="WQJUL21"/>
    <s v="I2"/>
    <d v="2021-07-06T00:00:00"/>
    <n v="20.57"/>
    <n v="17.739999999999998"/>
    <x v="30"/>
  </r>
  <r>
    <s v="HYJUL21"/>
    <s v="I2"/>
    <d v="2021-07-21T00:00:00"/>
    <n v="23.27"/>
    <n v="20.47"/>
    <x v="30"/>
  </r>
  <r>
    <s v="WQAUG21"/>
    <s v="I2"/>
    <d v="2021-08-02T00:00:00"/>
    <n v="22.76"/>
    <n v="21.39"/>
    <x v="30"/>
  </r>
  <r>
    <s v="HYAUG21"/>
    <s v="I2"/>
    <d v="2021-08-18T00:00:00"/>
    <n v="22.93"/>
    <n v="21.83"/>
    <x v="30"/>
  </r>
  <r>
    <s v="WQSEP21"/>
    <s v="I2"/>
    <d v="2021-08-30T00:00:00"/>
    <n v="24.04"/>
    <n v="22.86"/>
    <x v="30"/>
  </r>
  <r>
    <s v="WQOCT21"/>
    <s v="I2"/>
    <d v="2021-10-06T00:00:00"/>
    <n v="21.07"/>
    <n v="20.91"/>
    <x v="30"/>
  </r>
  <r>
    <s v="WQNOV21"/>
    <s v="I2"/>
    <d v="2021-11-04T00:00:00"/>
    <n v="16.899999999999999"/>
    <n v="16.86"/>
    <x v="30"/>
  </r>
  <r>
    <s v="WQDEC21"/>
    <s v="I2"/>
    <d v="2021-12-02T00:00:00"/>
    <n v="11.04"/>
    <n v="11.13"/>
    <x v="30"/>
  </r>
  <r>
    <s v="WQFEB22"/>
    <s v="I2"/>
    <d v="2022-02-01T00:00:00"/>
    <n v="3.08"/>
    <n v="3.04"/>
    <x v="31"/>
  </r>
  <r>
    <s v="WQMAR22"/>
    <s v="I2"/>
    <d v="2022-03-02T00:00:00"/>
    <n v="3.41"/>
    <n v="3.45"/>
    <x v="31"/>
  </r>
  <r>
    <s v="WQAPR22"/>
    <s v="I2"/>
    <d v="2022-04-08T00:00:00"/>
    <n v="6.3"/>
    <n v="5.77"/>
    <x v="31"/>
  </r>
  <r>
    <s v="WQMAY22"/>
    <s v="I2"/>
    <d v="2022-05-04T00:00:00"/>
    <n v="9.5299999999999994"/>
    <n v="8.99"/>
    <x v="31"/>
  </r>
  <r>
    <s v="WQJUN22"/>
    <s v="I2"/>
    <d v="2022-06-02T00:00:00"/>
    <n v="16.18"/>
    <n v="13.4"/>
    <x v="31"/>
  </r>
  <r>
    <s v="WQJUL22"/>
    <s v="I2"/>
    <d v="2022-07-07T00:00:00"/>
    <n v="21.99"/>
    <n v="18.7"/>
    <x v="31"/>
  </r>
  <r>
    <s v="HYJUL22"/>
    <s v="I2"/>
    <d v="2022-07-18T00:00:00"/>
    <n v="23.96"/>
    <n v="19.559999999999999"/>
    <x v="31"/>
  </r>
  <r>
    <s v="WQAUG22"/>
    <s v="I2"/>
    <d v="2022-08-01T00:00:00"/>
    <n v="24.2"/>
    <n v="21.71"/>
    <x v="31"/>
  </r>
  <r>
    <s v="HYAUG22"/>
    <s v="I2"/>
    <d v="2022-08-19T00:00:00"/>
    <n v="23.96"/>
    <n v="22.74"/>
    <x v="31"/>
  </r>
  <r>
    <s v="WQSEP22"/>
    <s v="I2"/>
    <d v="2022-08-31T00:00:00"/>
    <n v="24.93"/>
    <n v="23.32"/>
    <x v="31"/>
  </r>
  <r>
    <s v="WQOCT22"/>
    <s v="I2"/>
    <d v="2022-10-06T00:00:00"/>
    <n v="19.32"/>
    <n v="19.010000000000002"/>
    <x v="31"/>
  </r>
  <r>
    <s v="WQNOV22"/>
    <s v="I2"/>
    <d v="2022-11-07T00:00:00"/>
    <m/>
    <m/>
    <x v="31"/>
  </r>
  <r>
    <s v="WQDEC22"/>
    <s v="I2"/>
    <d v="2022-12-15T00:00:00"/>
    <n v="8.49"/>
    <n v="8.51"/>
    <x v="31"/>
  </r>
  <r>
    <s v="WQJAN23"/>
    <s v="I2"/>
    <d v="2023-01-03T00:00:00"/>
    <n v="5.52"/>
    <n v="5.66"/>
    <x v="32"/>
  </r>
  <r>
    <s v="WQFEB23"/>
    <s v="I2"/>
    <d v="2023-02-06T00:00:00"/>
    <n v="4.37"/>
    <n v="4.25"/>
    <x v="32"/>
  </r>
  <r>
    <s v="WQAPR23"/>
    <s v="I2"/>
    <d v="2023-04-17T00:00:00"/>
    <n v="9.77"/>
    <n v="7.94"/>
    <x v="32"/>
  </r>
  <r>
    <s v="WQMAY23"/>
    <s v="I2"/>
    <d v="2023-05-08T00:00:00"/>
    <n v="11.26"/>
    <n v="9.94"/>
    <x v="32"/>
  </r>
  <r>
    <s v="WQJUN23"/>
    <s v="I2"/>
    <d v="2023-05-31T00:00:00"/>
    <n v="16.29"/>
    <n v="13.32"/>
    <x v="32"/>
  </r>
  <r>
    <s v="WQJUL23"/>
    <s v="I2"/>
    <d v="2023-07-05T00:00:00"/>
    <n v="23.47"/>
    <n v="17.98"/>
    <x v="32"/>
  </r>
  <r>
    <s v="HYJUL23"/>
    <s v="I2"/>
    <d v="2023-07-19T00:00:00"/>
    <n v="23.11"/>
    <n v="20.87"/>
    <x v="32"/>
  </r>
  <r>
    <s v="WQAUG23"/>
    <s v="I2"/>
    <d v="2023-07-31T00:00:00"/>
    <n v="24.22"/>
    <n v="21.51"/>
    <x v="32"/>
  </r>
  <r>
    <s v="WQSEP23"/>
    <s v="I2"/>
    <d v="2023-08-29T00:00:00"/>
    <n v="22.51"/>
    <n v="21.3"/>
    <x v="32"/>
  </r>
  <r>
    <s v="WQOCT23"/>
    <s v="I2"/>
    <d v="2023-10-05T00:00:00"/>
    <n v="19.670000000000002"/>
    <n v="19.62"/>
    <x v="32"/>
  </r>
  <r>
    <s v="WQNOV23"/>
    <s v="I2"/>
    <d v="2023-11-07T00:00:00"/>
    <n v="15.39"/>
    <n v="15.39"/>
    <x v="32"/>
  </r>
  <r>
    <s v="WQDEC23"/>
    <s v="I2"/>
    <d v="2023-12-05T00:00:00"/>
    <n v="10.47"/>
    <n v="10.49"/>
    <x v="32"/>
  </r>
  <r>
    <s v="WQJAN24"/>
    <s v="I2"/>
    <d v="2024-01-03T00:00:00"/>
    <n v="7.59"/>
    <n v="7.7"/>
    <x v="33"/>
  </r>
  <r>
    <s v="WQFEB24"/>
    <s v="I2"/>
    <d v="2024-02-05T00:00:00"/>
    <n v="4.49"/>
    <n v="4.5"/>
    <x v="33"/>
  </r>
  <r>
    <s v="WQMAR24"/>
    <s v="I2"/>
    <d v="2024-03-04T00:00:00"/>
    <n v="4.66"/>
    <n v="4.54"/>
    <x v="33"/>
  </r>
  <r>
    <s v="WQAPR24"/>
    <s v="I2"/>
    <d v="2024-04-01T00:00:00"/>
    <n v="6.36"/>
    <n v="6.15"/>
    <x v="33"/>
  </r>
  <r>
    <s v="WQMAY24"/>
    <s v="I2"/>
    <d v="2024-05-05T00:00:00"/>
    <n v="10.44"/>
    <n v="8.6199999999999992"/>
    <x v="33"/>
  </r>
  <r>
    <s v="WQJUN24"/>
    <s v="I2"/>
    <d v="2024-05-31T00:00:00"/>
    <n v="15.52"/>
    <n v="13.36"/>
    <x v="33"/>
  </r>
  <r>
    <s v="WQJUL24"/>
    <s v="I2"/>
    <d v="2024-06-27T00:00:00"/>
    <n v="20.34"/>
    <n v="17.55"/>
    <x v="33"/>
  </r>
  <r>
    <s v="HYJUL24"/>
    <s v="I2"/>
    <d v="2024-07-15T00:00:00"/>
    <n v="23.67"/>
    <n v="18.989999999999998"/>
    <x v="33"/>
  </r>
  <r>
    <s v="WQAUG24"/>
    <s v="I2"/>
    <d v="2024-07-29T00:00:00"/>
    <n v="22.44"/>
    <n v="20.91"/>
    <x v="33"/>
  </r>
  <r>
    <s v="HYAUG24"/>
    <s v="I2"/>
    <d v="2024-08-14T00:00:00"/>
    <n v="22.63"/>
    <n v="21.76"/>
    <x v="33"/>
  </r>
  <r>
    <s v="WQSEP24"/>
    <s v="I2"/>
    <d v="2024-08-26T00:00:00"/>
    <n v="23"/>
    <n v="22.09"/>
    <x v="33"/>
  </r>
  <r>
    <s v="WQOCT24"/>
    <s v="I2"/>
    <d v="2024-10-02T00:00:00"/>
    <n v="20.09"/>
    <n v="20.02"/>
    <x v="33"/>
  </r>
  <r>
    <m/>
    <m/>
    <m/>
    <m/>
    <m/>
    <x v="34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s v="WQJAN91"/>
    <s v="M3"/>
    <d v="1991-01-30T00:00:00"/>
    <m/>
    <n v="4.9641999999999999"/>
    <x v="0"/>
  </r>
  <r>
    <s v="WQFEB91"/>
    <s v="M3"/>
    <d v="1991-02-20T00:00:00"/>
    <n v="4.4903000000000004"/>
    <n v="4.4390999999999998"/>
    <x v="0"/>
  </r>
  <r>
    <s v="WQMAR91"/>
    <s v="M3"/>
    <d v="1991-03-25T00:00:00"/>
    <m/>
    <m/>
    <x v="0"/>
  </r>
  <r>
    <s v="WQAPR91"/>
    <s v="M3"/>
    <d v="1991-04-02T00:00:00"/>
    <m/>
    <m/>
    <x v="0"/>
  </r>
  <r>
    <s v="WQMAY91"/>
    <s v="M3"/>
    <d v="1991-05-01T00:00:00"/>
    <m/>
    <m/>
    <x v="0"/>
  </r>
  <r>
    <s v="WQJUN91"/>
    <s v="M3"/>
    <d v="1991-06-04T00:00:00"/>
    <m/>
    <n v="13.784700000000001"/>
    <x v="0"/>
  </r>
  <r>
    <s v="WQJUL91"/>
    <s v="M3"/>
    <d v="1991-07-08T00:00:00"/>
    <n v="16.6252"/>
    <n v="16.527200000000001"/>
    <x v="0"/>
  </r>
  <r>
    <s v="WQAUG91"/>
    <s v="M3"/>
    <d v="1991-08-13T00:00:00"/>
    <n v="19.186699999999998"/>
    <n v="18.610099999999999"/>
    <x v="0"/>
  </r>
  <r>
    <s v="WQSEP91"/>
    <s v="M3"/>
    <d v="1991-09-04T00:00:00"/>
    <n v="20.052199999999999"/>
    <m/>
    <x v="0"/>
  </r>
  <r>
    <s v="WQOCT91"/>
    <s v="M3"/>
    <d v="1991-10-01T00:00:00"/>
    <n v="18.117000000000001"/>
    <n v="18.058399999999999"/>
    <x v="0"/>
  </r>
  <r>
    <s v="WQNOV91"/>
    <s v="M3"/>
    <d v="1991-11-15T00:00:00"/>
    <n v="11.7729"/>
    <n v="12.313000000000001"/>
    <x v="0"/>
  </r>
  <r>
    <s v="WQJAN92"/>
    <s v="M3"/>
    <d v="1992-01-07T00:00:00"/>
    <n v="6.3646000000000003"/>
    <n v="6.5407000000000002"/>
    <x v="1"/>
  </r>
  <r>
    <s v="WQFEB92"/>
    <s v="M3"/>
    <d v="1992-02-04T00:00:00"/>
    <n v="3.2052"/>
    <n v="3.5596000000000001"/>
    <x v="1"/>
  </r>
  <r>
    <s v="CHFEB92"/>
    <s v="M3"/>
    <d v="1992-02-19T00:00:00"/>
    <n v="3.0766"/>
    <n v="3.1122999999999998"/>
    <x v="1"/>
  </r>
  <r>
    <s v="WQMAY92"/>
    <s v="M3"/>
    <d v="1992-05-05T00:00:00"/>
    <n v="7.3677000000000001"/>
    <m/>
    <x v="1"/>
  </r>
  <r>
    <s v="WQJUN92"/>
    <s v="M3"/>
    <d v="1992-06-02T00:00:00"/>
    <n v="11.4038"/>
    <n v="11.384499999999999"/>
    <x v="1"/>
  </r>
  <r>
    <s v="WQJUL92"/>
    <s v="M3"/>
    <d v="1992-07-08T00:00:00"/>
    <m/>
    <m/>
    <x v="1"/>
  </r>
  <r>
    <s v="WQAUG92"/>
    <s v="M3"/>
    <d v="1992-08-05T00:00:00"/>
    <n v="18.424299999999999"/>
    <n v="18.156400000000001"/>
    <x v="1"/>
  </r>
  <r>
    <s v="WQSEP92"/>
    <s v="M3"/>
    <d v="1992-09-01T00:00:00"/>
    <n v="19.1296"/>
    <n v="18.842700000000001"/>
    <x v="1"/>
  </r>
  <r>
    <s v="WQOCT92"/>
    <s v="M3"/>
    <d v="1992-10-06T00:00:00"/>
    <n v="16.190300000000001"/>
    <n v="16.273499999999999"/>
    <x v="1"/>
  </r>
  <r>
    <s v="WQNOV92"/>
    <s v="M3"/>
    <d v="1992-11-04T00:00:00"/>
    <n v="13.2308"/>
    <n v="12.75"/>
    <x v="1"/>
  </r>
  <r>
    <s v="WQDEC92"/>
    <s v="M3"/>
    <d v="1992-12-08T00:00:00"/>
    <n v="8.8076000000000008"/>
    <n v="9.0030999999999999"/>
    <x v="1"/>
  </r>
  <r>
    <s v="WQJAN93"/>
    <s v="M3"/>
    <d v="1993-01-14T00:00:00"/>
    <n v="4.9561000000000002"/>
    <n v="5.0237999999999996"/>
    <x v="2"/>
  </r>
  <r>
    <s v="WQFEB93"/>
    <s v="M3"/>
    <d v="1993-02-08T00:00:00"/>
    <m/>
    <n v="3.0819999999999999"/>
    <x v="2"/>
  </r>
  <r>
    <s v="WQMAR93"/>
    <s v="M3"/>
    <d v="1993-03-08T00:00:00"/>
    <m/>
    <n v="2.1276999999999999"/>
    <x v="2"/>
  </r>
  <r>
    <s v="WQMAY93"/>
    <s v="M3"/>
    <d v="1993-05-05T00:00:00"/>
    <m/>
    <n v="7.6661000000000001"/>
    <x v="2"/>
  </r>
  <r>
    <s v="WQJUN93"/>
    <s v="M3"/>
    <d v="1993-06-01T00:00:00"/>
    <m/>
    <n v="11.628399999999999"/>
    <x v="2"/>
  </r>
  <r>
    <s v="WQJUL93"/>
    <s v="M3"/>
    <d v="1993-07-07T00:00:00"/>
    <n v="17.099900000000002"/>
    <n v="16.684000000000001"/>
    <x v="2"/>
  </r>
  <r>
    <s v="WQAUG93"/>
    <s v="M3"/>
    <d v="1993-08-02T00:00:00"/>
    <n v="19.139399999999998"/>
    <n v="18.6572"/>
    <x v="2"/>
  </r>
  <r>
    <s v="WQSEP93"/>
    <s v="M3"/>
    <d v="1993-09-07T00:00:00"/>
    <m/>
    <n v="20.467300000000002"/>
    <x v="2"/>
  </r>
  <r>
    <s v="WQOCT93"/>
    <s v="M3"/>
    <d v="1993-10-05T00:00:00"/>
    <n v="17.211200000000002"/>
    <n v="17.1463"/>
    <x v="2"/>
  </r>
  <r>
    <s v="WQNOV93"/>
    <s v="M3"/>
    <d v="1993-11-02T00:00:00"/>
    <n v="13.396800000000001"/>
    <n v="13.4138"/>
    <x v="2"/>
  </r>
  <r>
    <s v="WQDEC93"/>
    <s v="M3"/>
    <d v="1993-12-15T00:00:00"/>
    <n v="8.8972999999999995"/>
    <m/>
    <x v="2"/>
  </r>
  <r>
    <s v="WQJAN94"/>
    <s v="M3"/>
    <d v="1994-01-11T00:00:00"/>
    <n v="4"/>
    <n v="3.8"/>
    <x v="3"/>
  </r>
  <r>
    <s v="WQFEB94"/>
    <s v="M3"/>
    <d v="1994-02-01T00:00:00"/>
    <n v="1.69"/>
    <n v="1.81"/>
    <x v="3"/>
  </r>
  <r>
    <s v="WQMAR94"/>
    <s v="M3"/>
    <d v="1994-03-07T00:00:00"/>
    <n v="0.89"/>
    <n v="1.02"/>
    <x v="3"/>
  </r>
  <r>
    <s v="WQAPR94"/>
    <s v="M3"/>
    <d v="1994-04-05T00:00:00"/>
    <n v="3.48"/>
    <n v="3.51"/>
    <x v="3"/>
  </r>
  <r>
    <s v="WQMAY94"/>
    <s v="M3"/>
    <d v="1994-05-03T00:00:00"/>
    <n v="6.76"/>
    <n v="6.61"/>
    <x v="3"/>
  </r>
  <r>
    <s v="WQJUN94"/>
    <s v="M3"/>
    <d v="1994-06-01T00:00:00"/>
    <n v="11.6"/>
    <n v="10.7"/>
    <x v="3"/>
  </r>
  <r>
    <s v="WQJUL94"/>
    <s v="M3"/>
    <d v="1994-07-11T00:00:00"/>
    <n v="17.7"/>
    <n v="17.14"/>
    <x v="3"/>
  </r>
  <r>
    <s v="WQAUG94"/>
    <s v="M3"/>
    <d v="1994-08-01T00:00:00"/>
    <n v="20.239999999999998"/>
    <n v="18.66"/>
    <x v="3"/>
  </r>
  <r>
    <s v="WQSEP94"/>
    <s v="M3"/>
    <d v="1994-08-29T00:00:00"/>
    <n v="19.899999999999999"/>
    <n v="19.84"/>
    <x v="3"/>
  </r>
  <r>
    <s v="WQOCT94"/>
    <s v="M3"/>
    <d v="1994-10-04T00:00:00"/>
    <n v="17.100000000000001"/>
    <n v="16.98"/>
    <x v="3"/>
  </r>
  <r>
    <s v="WQNOV94"/>
    <s v="M3"/>
    <d v="1994-11-09T00:00:00"/>
    <n v="14.47"/>
    <n v="14.43"/>
    <x v="3"/>
  </r>
  <r>
    <s v="WQJAN95"/>
    <s v="M3"/>
    <d v="1995-01-11T00:00:00"/>
    <n v="6"/>
    <n v="6.17"/>
    <x v="4"/>
  </r>
  <r>
    <s v="WQFEB95"/>
    <s v="M3"/>
    <d v="1995-02-16T00:00:00"/>
    <n v="3.29"/>
    <n v="3.43"/>
    <x v="4"/>
  </r>
  <r>
    <s v="WQMAR95"/>
    <s v="M3"/>
    <d v="1995-03-06T00:00:00"/>
    <n v="3.49"/>
    <n v="3.53"/>
    <x v="4"/>
  </r>
  <r>
    <s v="WQAPR95"/>
    <s v="M3"/>
    <d v="1995-04-03T00:00:00"/>
    <n v="5.36"/>
    <n v="5.36"/>
    <x v="4"/>
  </r>
  <r>
    <s v="WQMAY95"/>
    <s v="M3"/>
    <d v="1995-05-05T00:00:00"/>
    <n v="8.11"/>
    <n v="7.96"/>
    <x v="4"/>
  </r>
  <r>
    <s v="WQJUN95"/>
    <s v="M3"/>
    <d v="1995-06-02T00:00:00"/>
    <n v="11.93"/>
    <n v="11.7315"/>
    <x v="4"/>
  </r>
  <r>
    <s v="WQJUL95"/>
    <s v="M3"/>
    <d v="1995-07-11T00:00:00"/>
    <m/>
    <n v="16.385899999999999"/>
    <x v="4"/>
  </r>
  <r>
    <s v="WQAUG95"/>
    <s v="M3"/>
    <d v="1995-07-31T00:00:00"/>
    <n v="19.75"/>
    <n v="18.04"/>
    <x v="4"/>
  </r>
  <r>
    <s v="WQSEP95"/>
    <s v="M3"/>
    <d v="1995-09-12T00:00:00"/>
    <n v="20.22"/>
    <n v="19.55"/>
    <x v="4"/>
  </r>
  <r>
    <s v="WQOCT95"/>
    <s v="M3"/>
    <d v="1995-10-02T00:00:00"/>
    <n v="18.52"/>
    <n v="18.5"/>
    <x v="4"/>
  </r>
  <r>
    <s v="WQDEC95"/>
    <s v="M3"/>
    <d v="1995-12-04T00:00:00"/>
    <n v="9.91"/>
    <n v="9.94"/>
    <x v="4"/>
  </r>
  <r>
    <s v="WQJAN96"/>
    <s v="M3"/>
    <d v="1996-01-09T00:00:00"/>
    <n v="3.09"/>
    <n v="3.08"/>
    <x v="5"/>
  </r>
  <r>
    <s v="WQFEB96"/>
    <s v="M3"/>
    <d v="1996-02-06T00:00:00"/>
    <n v="1.07"/>
    <n v="1.42"/>
    <x v="5"/>
  </r>
  <r>
    <s v="WQMAR96"/>
    <s v="M3"/>
    <d v="1996-03-07T00:00:00"/>
    <n v="1.82"/>
    <n v="2.04"/>
    <x v="5"/>
  </r>
  <r>
    <s v="WQAPR96"/>
    <s v="M3"/>
    <d v="1996-04-01T00:00:00"/>
    <n v="3.35"/>
    <n v="3.26"/>
    <x v="5"/>
  </r>
  <r>
    <s v="WQMAY96"/>
    <s v="M3"/>
    <d v="1996-05-09T00:00:00"/>
    <n v="7.52"/>
    <n v="7.35"/>
    <x v="5"/>
  </r>
  <r>
    <s v="WQJUN96"/>
    <s v="M3"/>
    <d v="1996-06-06T00:00:00"/>
    <n v="12.24"/>
    <n v="11.58"/>
    <x v="5"/>
  </r>
  <r>
    <s v="WQJUL96"/>
    <s v="M3"/>
    <d v="1996-07-11T00:00:00"/>
    <n v="17.27"/>
    <n v="14.26"/>
    <x v="5"/>
  </r>
  <r>
    <s v="WQAUG96"/>
    <s v="M3"/>
    <d v="1996-08-05T00:00:00"/>
    <n v="17.79"/>
    <n v="17.53"/>
    <x v="5"/>
  </r>
  <r>
    <s v="WQSEP96"/>
    <s v="M3"/>
    <d v="1996-09-03T00:00:00"/>
    <n v="19.149999999999999"/>
    <n v="18.98"/>
    <x v="5"/>
  </r>
  <r>
    <s v="WQOCT96"/>
    <s v="M3"/>
    <d v="1996-10-01T00:00:00"/>
    <n v="18.39"/>
    <n v="17.84"/>
    <x v="5"/>
  </r>
  <r>
    <s v="WQNOV96"/>
    <s v="M3"/>
    <d v="1996-11-12T00:00:00"/>
    <m/>
    <m/>
    <x v="5"/>
  </r>
  <r>
    <s v="WQDEC96"/>
    <s v="M3"/>
    <d v="1996-12-02T00:00:00"/>
    <n v="9.35"/>
    <n v="9.35"/>
    <x v="5"/>
  </r>
  <r>
    <s v="WQJAN97"/>
    <s v="M3"/>
    <d v="1997-01-09T00:00:00"/>
    <n v="6.33"/>
    <n v="6.37"/>
    <x v="6"/>
  </r>
  <r>
    <s v="WQFEB97"/>
    <s v="M3"/>
    <d v="1997-02-07T00:00:00"/>
    <n v="4.09"/>
    <n v="4.3099999999999996"/>
    <x v="6"/>
  </r>
  <r>
    <s v="WQMAR97"/>
    <s v="M3"/>
    <d v="1997-03-05T00:00:00"/>
    <n v="4.2"/>
    <n v="4.37"/>
    <x v="6"/>
  </r>
  <r>
    <s v="WQAPR97"/>
    <s v="M3"/>
    <d v="1997-04-04T00:00:00"/>
    <n v="5.66"/>
    <n v="5.32"/>
    <x v="6"/>
  </r>
  <r>
    <s v="WQMAY97"/>
    <s v="M3"/>
    <d v="1997-05-05T00:00:00"/>
    <n v="8.09"/>
    <n v="7.93"/>
    <x v="6"/>
  </r>
  <r>
    <s v="WQJUN97"/>
    <s v="M3"/>
    <d v="1997-06-02T00:00:00"/>
    <n v="10.220000000000001"/>
    <n v="10.42"/>
    <x v="6"/>
  </r>
  <r>
    <s v="WQJUL97"/>
    <s v="M3"/>
    <d v="1997-07-08T00:00:00"/>
    <n v="17.88"/>
    <n v="15.49"/>
    <x v="6"/>
  </r>
  <r>
    <s v="WQAUG97"/>
    <s v="M3"/>
    <d v="1997-08-07T00:00:00"/>
    <n v="18.88"/>
    <n v="17.66"/>
    <x v="6"/>
  </r>
  <r>
    <s v="WQSEP97"/>
    <s v="M3"/>
    <d v="1997-09-02T00:00:00"/>
    <n v="19.89"/>
    <n v="19.260000000000002"/>
    <x v="6"/>
  </r>
  <r>
    <s v="WQOCT97"/>
    <s v="M3"/>
    <d v="1997-10-06T00:00:00"/>
    <n v="17.440000000000001"/>
    <n v="17.27"/>
    <x v="6"/>
  </r>
  <r>
    <s v="WQNOV97"/>
    <s v="M3"/>
    <d v="1997-11-06T00:00:00"/>
    <n v="14.28"/>
    <n v="14.22"/>
    <x v="6"/>
  </r>
  <r>
    <s v="WQDEC97"/>
    <s v="M3"/>
    <d v="1997-12-04T00:00:00"/>
    <n v="8.8000000000000007"/>
    <n v="8.9499999999999993"/>
    <x v="6"/>
  </r>
  <r>
    <s v="WQJAN98"/>
    <s v="M3"/>
    <d v="1998-01-05T00:00:00"/>
    <n v="5.67"/>
    <n v="5.78"/>
    <x v="7"/>
  </r>
  <r>
    <s v="WQFEB98"/>
    <s v="M3"/>
    <d v="1998-02-03T00:00:00"/>
    <n v="4.43"/>
    <n v="4.58"/>
    <x v="7"/>
  </r>
  <r>
    <s v="WQMAR98"/>
    <s v="M3"/>
    <d v="1998-02-27T00:00:00"/>
    <n v="4.17"/>
    <n v="4.16"/>
    <x v="7"/>
  </r>
  <r>
    <s v="WQAPR98"/>
    <s v="M3"/>
    <d v="1998-04-14T00:00:00"/>
    <n v="6.52"/>
    <n v="6.48"/>
    <x v="7"/>
  </r>
  <r>
    <s v="WQMAY98"/>
    <s v="M3"/>
    <d v="1998-05-07T00:00:00"/>
    <n v="9.64"/>
    <n v="9.65"/>
    <x v="7"/>
  </r>
  <r>
    <s v="WQJUN98"/>
    <s v="M3"/>
    <d v="1998-06-08T00:00:00"/>
    <n v="13.2"/>
    <n v="11.82"/>
    <x v="7"/>
  </r>
  <r>
    <s v="WQJUL98"/>
    <s v="M3"/>
    <d v="1998-07-06T00:00:00"/>
    <n v="16.64"/>
    <n v="13.82"/>
    <x v="7"/>
  </r>
  <r>
    <s v="WQAUG98"/>
    <s v="M3"/>
    <d v="1998-08-06T00:00:00"/>
    <n v="18.41"/>
    <n v="16.39"/>
    <x v="7"/>
  </r>
  <r>
    <s v="WQSEP98"/>
    <s v="M3"/>
    <d v="1998-08-31T00:00:00"/>
    <n v="20.2"/>
    <n v="19.47"/>
    <x v="7"/>
  </r>
  <r>
    <s v="WQOCT98"/>
    <s v="M3"/>
    <d v="1998-10-01T00:00:00"/>
    <n v="19.03"/>
    <n v="17.72"/>
    <x v="7"/>
  </r>
  <r>
    <s v="WQNOV98"/>
    <s v="M3"/>
    <d v="1998-11-04T00:00:00"/>
    <n v="12.95"/>
    <n v="12.93"/>
    <x v="7"/>
  </r>
  <r>
    <s v="WQDEC98"/>
    <s v="M3"/>
    <d v="1998-11-30T00:00:00"/>
    <n v="10.130000000000001"/>
    <n v="10.119999999999999"/>
    <x v="7"/>
  </r>
  <r>
    <s v="WQJAN99"/>
    <s v="M3"/>
    <d v="1999-01-05T00:00:00"/>
    <n v="6.01"/>
    <n v="6.03"/>
    <x v="8"/>
  </r>
  <r>
    <s v="WQFEB99"/>
    <s v="M3"/>
    <d v="1999-02-01T00:00:00"/>
    <n v="4.2699999999999996"/>
    <n v="4.3600000000000003"/>
    <x v="8"/>
  </r>
  <r>
    <s v="WQMAR99"/>
    <s v="M3"/>
    <d v="1999-03-03T00:00:00"/>
    <n v="4.4000000000000004"/>
    <n v="4.54"/>
    <x v="8"/>
  </r>
  <r>
    <s v="WQAPR99"/>
    <s v="M3"/>
    <d v="1999-04-05T00:00:00"/>
    <n v="5.61"/>
    <n v="5.84"/>
    <x v="8"/>
  </r>
  <r>
    <s v="WQMAY99"/>
    <s v="M3"/>
    <d v="1999-05-05T00:00:00"/>
    <n v="8.7200000000000006"/>
    <n v="8.7200000000000006"/>
    <x v="8"/>
  </r>
  <r>
    <s v="WQJUN99"/>
    <s v="M3"/>
    <d v="1999-06-02T00:00:00"/>
    <n v="13.46"/>
    <n v="13.13"/>
    <x v="8"/>
  </r>
  <r>
    <s v="WQJUL99"/>
    <s v="M3"/>
    <d v="1999-07-06T00:00:00"/>
    <n v="17.329999999999998"/>
    <n v="16.46"/>
    <x v="8"/>
  </r>
  <r>
    <s v="WQAUG99"/>
    <s v="M3"/>
    <d v="1999-08-02T00:00:00"/>
    <n v="20.48"/>
    <n v="19.38"/>
    <x v="8"/>
  </r>
  <r>
    <s v="WQSEP99"/>
    <s v="M3"/>
    <d v="1999-09-03T00:00:00"/>
    <n v="20.41"/>
    <n v="20.260000000000002"/>
    <x v="8"/>
  </r>
  <r>
    <s v="WQOCT99"/>
    <s v="M3"/>
    <d v="1999-10-05T00:00:00"/>
    <n v="18.86"/>
    <n v="18.809999999999999"/>
    <x v="8"/>
  </r>
  <r>
    <s v="WQNOV99"/>
    <s v="M3"/>
    <d v="1999-11-09T00:00:00"/>
    <n v="14.04"/>
    <n v="13.95"/>
    <x v="8"/>
  </r>
  <r>
    <s v="WQDEC99"/>
    <s v="M3"/>
    <d v="1999-12-06T00:00:00"/>
    <n v="10.86"/>
    <n v="10.88"/>
    <x v="8"/>
  </r>
  <r>
    <s v="WQJAN00"/>
    <s v="M3"/>
    <d v="2000-01-13T00:00:00"/>
    <n v="6.76"/>
    <n v="7"/>
    <x v="9"/>
  </r>
  <r>
    <s v="WQFEB00"/>
    <s v="M3"/>
    <d v="2000-02-03T00:00:00"/>
    <n v="2.69"/>
    <n v="2.7"/>
    <x v="9"/>
  </r>
  <r>
    <s v="WQMAR00"/>
    <s v="M3"/>
    <d v="2000-03-01T00:00:00"/>
    <n v="3.3"/>
    <n v="3.56"/>
    <x v="9"/>
  </r>
  <r>
    <s v="WQAPR00"/>
    <s v="M3"/>
    <d v="2000-04-03T00:00:00"/>
    <n v="5.51"/>
    <n v="5.53"/>
    <x v="9"/>
  </r>
  <r>
    <s v="WQMAY00"/>
    <s v="M3"/>
    <d v="2000-05-01T00:00:00"/>
    <n v="7.76"/>
    <n v="7.9"/>
    <x v="9"/>
  </r>
  <r>
    <s v="WQJUN00"/>
    <s v="M3"/>
    <d v="2000-06-01T00:00:00"/>
    <n v="12.05"/>
    <n v="12.41"/>
    <x v="9"/>
  </r>
  <r>
    <s v="WQJUL00"/>
    <s v="M3"/>
    <d v="2000-07-05T00:00:00"/>
    <n v="17.309999999999999"/>
    <n v="17.02"/>
    <x v="9"/>
  </r>
  <r>
    <s v="WQAUG00"/>
    <s v="M3"/>
    <d v="2000-07-31T00:00:00"/>
    <n v="19.010000000000002"/>
    <n v="18.940000000000001"/>
    <x v="9"/>
  </r>
  <r>
    <s v="WQSEP00"/>
    <s v="M3"/>
    <d v="2000-08-29T00:00:00"/>
    <n v="19.57"/>
    <n v="19.239999999999998"/>
    <x v="9"/>
  </r>
  <r>
    <s v="WQOCT00"/>
    <s v="M3"/>
    <d v="2000-10-05T00:00:00"/>
    <n v="18.05"/>
    <n v="17.96"/>
    <x v="9"/>
  </r>
  <r>
    <s v="WQNOV00"/>
    <s v="M3"/>
    <d v="2000-11-08T00:00:00"/>
    <n v="13.35"/>
    <n v="13.27"/>
    <x v="9"/>
  </r>
  <r>
    <s v="WQDEC00"/>
    <s v="M3"/>
    <d v="2000-12-06T00:00:00"/>
    <n v="8.7100000000000009"/>
    <n v="8.7799999999999994"/>
    <x v="9"/>
  </r>
  <r>
    <s v="WQJAN01"/>
    <s v="M3"/>
    <d v="2001-01-08T00:00:00"/>
    <m/>
    <m/>
    <x v="10"/>
  </r>
  <r>
    <s v="WQFEB01"/>
    <s v="M3"/>
    <d v="2001-02-01T00:00:00"/>
    <n v="2.86"/>
    <n v="3.21"/>
    <x v="10"/>
  </r>
  <r>
    <s v="WQMAR01"/>
    <s v="M3"/>
    <d v="2001-03-01T00:00:00"/>
    <n v="2.6"/>
    <n v="2.95"/>
    <x v="10"/>
  </r>
  <r>
    <s v="WQAPR01"/>
    <s v="M3"/>
    <d v="2001-04-03T00:00:00"/>
    <n v="4.09"/>
    <n v="4.05"/>
    <x v="10"/>
  </r>
  <r>
    <s v="WQMAY01"/>
    <s v="M3"/>
    <d v="2001-04-30T00:00:00"/>
    <m/>
    <m/>
    <x v="10"/>
  </r>
  <r>
    <s v="WQJUN01"/>
    <s v="M3"/>
    <d v="2001-06-04T00:00:00"/>
    <n v="12.44"/>
    <n v="12.34"/>
    <x v="10"/>
  </r>
  <r>
    <s v="WQJUL01"/>
    <s v="M3"/>
    <d v="2001-07-06T00:00:00"/>
    <n v="16.95"/>
    <n v="16.649999999999999"/>
    <x v="10"/>
  </r>
  <r>
    <s v="WQAUG01"/>
    <s v="M3"/>
    <d v="2001-08-09T00:00:00"/>
    <n v="21.48"/>
    <n v="17.63"/>
    <x v="10"/>
  </r>
  <r>
    <s v="WQSEP01"/>
    <s v="M3"/>
    <d v="2001-09-10T00:00:00"/>
    <n v="20.81"/>
    <n v="19.86"/>
    <x v="10"/>
  </r>
  <r>
    <s v="WQOCT01"/>
    <s v="M3"/>
    <d v="2001-10-02T00:00:00"/>
    <n v="18.53"/>
    <n v="18.45"/>
    <x v="10"/>
  </r>
  <r>
    <s v="WQNOV01"/>
    <s v="M3"/>
    <d v="2001-11-08T00:00:00"/>
    <n v="14.13"/>
    <n v="14.16"/>
    <x v="10"/>
  </r>
  <r>
    <s v="WQDEC01"/>
    <s v="M3"/>
    <d v="2001-12-03T00:00:00"/>
    <n v="12.04"/>
    <n v="12.11"/>
    <x v="10"/>
  </r>
  <r>
    <s v="WQJAN02"/>
    <s v="M3"/>
    <d v="2002-01-11T00:00:00"/>
    <n v="6.62"/>
    <n v="6.75"/>
    <x v="11"/>
  </r>
  <r>
    <s v="WQFEB02"/>
    <s v="M3"/>
    <d v="2002-02-04T00:00:00"/>
    <n v="5.4"/>
    <n v="5.53"/>
    <x v="11"/>
  </r>
  <r>
    <s v="WQMAR02"/>
    <s v="M3"/>
    <d v="2002-03-05T00:00:00"/>
    <n v="5.25"/>
    <n v="5.27"/>
    <x v="11"/>
  </r>
  <r>
    <s v="WQAPR02"/>
    <s v="M3"/>
    <d v="2002-04-02T00:00:00"/>
    <n v="5.93"/>
    <n v="5.98"/>
    <x v="11"/>
  </r>
  <r>
    <s v="WQMAY02"/>
    <s v="M3"/>
    <d v="2002-05-06T00:00:00"/>
    <n v="9.8000000000000007"/>
    <n v="9.1999999999999993"/>
    <x v="11"/>
  </r>
  <r>
    <s v="WQJUN02"/>
    <s v="M3"/>
    <d v="2002-06-04T00:00:00"/>
    <n v="12.64"/>
    <n v="12.25"/>
    <x v="11"/>
  </r>
  <r>
    <s v="WQJUL02"/>
    <s v="M3"/>
    <d v="2002-07-08T00:00:00"/>
    <n v="16.62"/>
    <n v="15.07"/>
    <x v="11"/>
  </r>
  <r>
    <s v="WQAUG02"/>
    <s v="M3"/>
    <d v="2002-08-05T00:00:00"/>
    <n v="20.41"/>
    <n v="19.079999999999998"/>
    <x v="11"/>
  </r>
  <r>
    <s v="WQSEP02"/>
    <s v="M3"/>
    <d v="2002-09-09T00:00:00"/>
    <n v="20.53"/>
    <n v="20.37"/>
    <x v="11"/>
  </r>
  <r>
    <s v="WQOCT02"/>
    <s v="M3"/>
    <d v="2002-10-08T00:00:00"/>
    <n v="18.84"/>
    <n v="18.88"/>
    <x v="11"/>
  </r>
  <r>
    <s v="WQNOV02"/>
    <s v="M3"/>
    <d v="2002-11-05T00:00:00"/>
    <n v="13.73"/>
    <n v="13.64"/>
    <x v="11"/>
  </r>
  <r>
    <s v="WQDEC02"/>
    <s v="M3"/>
    <d v="2002-12-09T00:00:00"/>
    <n v="7.87"/>
    <n v="8"/>
    <x v="11"/>
  </r>
  <r>
    <s v="WQFEB03"/>
    <s v="M3"/>
    <d v="2003-01-28T00:00:00"/>
    <n v="2.02"/>
    <n v="2.13"/>
    <x v="12"/>
  </r>
  <r>
    <s v="WQMAR03"/>
    <s v="M3"/>
    <d v="2003-03-04T00:00:00"/>
    <n v="1.31"/>
    <n v="1.46"/>
    <x v="12"/>
  </r>
  <r>
    <s v="WQAPR03"/>
    <s v="M3"/>
    <d v="2003-04-03T00:00:00"/>
    <n v="3.92"/>
    <n v="3.8"/>
    <x v="12"/>
  </r>
  <r>
    <s v="WQMAY03"/>
    <s v="M3"/>
    <d v="2003-05-05T00:00:00"/>
    <n v="7.05"/>
    <n v="6.94"/>
    <x v="12"/>
  </r>
  <r>
    <s v="WQJUN03"/>
    <s v="M3"/>
    <d v="2003-06-03T00:00:00"/>
    <n v="11.52"/>
    <n v="11.16"/>
    <x v="12"/>
  </r>
  <r>
    <s v="WQJUL03"/>
    <s v="M3"/>
    <d v="2003-07-07T00:00:00"/>
    <n v="16.38"/>
    <n v="15.86"/>
    <x v="12"/>
  </r>
  <r>
    <s v="WQAUG03"/>
    <s v="M3"/>
    <d v="2003-08-04T00:00:00"/>
    <n v="17.600000000000001"/>
    <n v="17.149999999999999"/>
    <x v="12"/>
  </r>
  <r>
    <s v="WQSEP03"/>
    <s v="M3"/>
    <d v="2003-09-09T00:00:00"/>
    <n v="18.54"/>
    <n v="18.510000000000002"/>
    <x v="12"/>
  </r>
  <r>
    <s v="WQNOV03"/>
    <s v="M3"/>
    <d v="2003-11-03T00:00:00"/>
    <n v="14.57"/>
    <n v="14.34"/>
    <x v="12"/>
  </r>
  <r>
    <s v="WQDEC03"/>
    <s v="M3"/>
    <d v="2003-12-08T00:00:00"/>
    <m/>
    <m/>
    <x v="12"/>
  </r>
  <r>
    <s v="WQJAN04"/>
    <s v="M3"/>
    <d v="2004-01-05T00:00:00"/>
    <m/>
    <m/>
    <x v="13"/>
  </r>
  <r>
    <s v="WQFEB04"/>
    <s v="M3"/>
    <d v="2004-02-05T00:00:00"/>
    <n v="1.39"/>
    <n v="1.65"/>
    <x v="13"/>
  </r>
  <r>
    <s v="WQMAR04"/>
    <s v="M3"/>
    <d v="2004-03-04T00:00:00"/>
    <n v="2.46"/>
    <n v="2.61"/>
    <x v="13"/>
  </r>
  <r>
    <s v="WQAPR04"/>
    <s v="M3"/>
    <d v="2004-04-07T00:00:00"/>
    <n v="3.84"/>
    <n v="3.81"/>
    <x v="13"/>
  </r>
  <r>
    <s v="WQMAY04"/>
    <s v="M3"/>
    <d v="2004-05-05T00:00:00"/>
    <n v="7.75"/>
    <n v="7.03"/>
    <x v="13"/>
  </r>
  <r>
    <s v="WQJUN04"/>
    <s v="M3"/>
    <d v="2004-06-01T00:00:00"/>
    <n v="11.69"/>
    <n v="11.65"/>
    <x v="13"/>
  </r>
  <r>
    <s v="WQJUL04"/>
    <s v="M3"/>
    <d v="2004-07-08T00:00:00"/>
    <n v="17.12"/>
    <n v="15.77"/>
    <x v="13"/>
  </r>
  <r>
    <s v="WQAUG04"/>
    <s v="M3"/>
    <d v="2004-08-02T00:00:00"/>
    <n v="19.43"/>
    <n v="19.149999999999999"/>
    <x v="13"/>
  </r>
  <r>
    <s v="WQSEP04"/>
    <s v="M3"/>
    <d v="2004-08-31T00:00:00"/>
    <n v="20.100000000000001"/>
    <n v="19.23"/>
    <x v="13"/>
  </r>
  <r>
    <s v="WQOCT04"/>
    <s v="M3"/>
    <d v="2004-10-06T00:00:00"/>
    <n v="18.54"/>
    <n v="18.32"/>
    <x v="13"/>
  </r>
  <r>
    <s v="WQDEC04"/>
    <s v="M3"/>
    <d v="2004-11-29T00:00:00"/>
    <n v="10.79"/>
    <n v="10.82"/>
    <x v="13"/>
  </r>
  <r>
    <s v="WQJAN05"/>
    <s v="M3"/>
    <d v="2005-01-10T00:00:00"/>
    <n v="5.98"/>
    <n v="5.98"/>
    <x v="14"/>
  </r>
  <r>
    <s v="WQFEB05"/>
    <s v="M3"/>
    <d v="2005-02-02T00:00:00"/>
    <n v="2.4"/>
    <n v="2.65"/>
    <x v="14"/>
  </r>
  <r>
    <s v="WQMAR05"/>
    <s v="M3"/>
    <d v="2005-03-07T00:00:00"/>
    <n v="2"/>
    <n v="2.08"/>
    <x v="14"/>
  </r>
  <r>
    <s v="WQAPR05"/>
    <s v="M3"/>
    <d v="2005-04-05T00:00:00"/>
    <n v="3.87"/>
    <n v="3.79"/>
    <x v="14"/>
  </r>
  <r>
    <s v="WQMAY05"/>
    <s v="M3"/>
    <d v="2005-05-05T00:00:00"/>
    <n v="7.36"/>
    <n v="6.95"/>
    <x v="14"/>
  </r>
  <r>
    <s v="WQJUN05"/>
    <s v="M3"/>
    <d v="2005-06-06T00:00:00"/>
    <n v="12.05"/>
    <n v="12.15"/>
    <x v="14"/>
  </r>
  <r>
    <s v="WQJUL05"/>
    <s v="M3"/>
    <d v="2005-07-07T00:00:00"/>
    <n v="16.149999999999999"/>
    <n v="15.22"/>
    <x v="14"/>
  </r>
  <r>
    <s v="WQAUG05"/>
    <s v="M3"/>
    <d v="2005-08-02T00:00:00"/>
    <n v="17.989999999999998"/>
    <n v="17.260000000000002"/>
    <x v="14"/>
  </r>
  <r>
    <s v="WQSEP05"/>
    <s v="M3"/>
    <d v="2005-08-29T00:00:00"/>
    <n v="20.45"/>
    <n v="19.61"/>
    <x v="14"/>
  </r>
  <r>
    <s v="WQOCT05"/>
    <s v="M3"/>
    <d v="2005-10-06T00:00:00"/>
    <n v="18.52"/>
    <n v="17.96"/>
    <x v="14"/>
  </r>
  <r>
    <s v="WQNOV05"/>
    <s v="M3"/>
    <d v="2005-11-14T00:00:00"/>
    <n v="13.43"/>
    <n v="13.32"/>
    <x v="14"/>
  </r>
  <r>
    <s v="WQDEC05"/>
    <s v="M3"/>
    <d v="2005-12-05T00:00:00"/>
    <n v="10.27"/>
    <n v="10.38"/>
    <x v="14"/>
  </r>
  <r>
    <s v="WQAPR06"/>
    <s v="M3"/>
    <d v="2006-04-11T00:00:00"/>
    <n v="6.47"/>
    <n v="6.35"/>
    <x v="15"/>
  </r>
  <r>
    <s v="WQMAY06"/>
    <s v="M3"/>
    <d v="2006-05-02T00:00:00"/>
    <n v="8.8699999999999992"/>
    <n v="8.9499999999999993"/>
    <x v="15"/>
  </r>
  <r>
    <s v="WQJUN06"/>
    <s v="M3"/>
    <d v="2006-06-06T00:00:00"/>
    <n v="12.51"/>
    <n v="12.23"/>
    <x v="15"/>
  </r>
  <r>
    <s v="WQJUL06"/>
    <s v="M3"/>
    <d v="2006-07-06T00:00:00"/>
    <n v="16.920000000000002"/>
    <n v="16.079999999999998"/>
    <x v="15"/>
  </r>
  <r>
    <s v="WQAUG06"/>
    <s v="M3"/>
    <d v="2006-08-01T00:00:00"/>
    <n v="20.78"/>
    <n v="17.79"/>
    <x v="15"/>
  </r>
  <r>
    <s v="SSAUG06"/>
    <s v="M3"/>
    <d v="2006-08-14T00:00:00"/>
    <n v="20.02"/>
    <n v="19.2"/>
    <x v="15"/>
  </r>
  <r>
    <s v="WQSEP06"/>
    <s v="M3"/>
    <d v="2006-08-29T00:00:00"/>
    <n v="19.61"/>
    <m/>
    <x v="15"/>
  </r>
  <r>
    <s v="WQOCT06"/>
    <s v="M3"/>
    <d v="2006-10-03T00:00:00"/>
    <n v="18.489999999999998"/>
    <n v="18.149999999999999"/>
    <x v="15"/>
  </r>
  <r>
    <s v="WQNOV06"/>
    <s v="M3"/>
    <d v="2006-11-06T00:00:00"/>
    <n v="13.4"/>
    <n v="13.39"/>
    <x v="15"/>
  </r>
  <r>
    <s v="WQJAN07"/>
    <s v="M3"/>
    <d v="2007-01-11T00:00:00"/>
    <n v="8.11"/>
    <n v="8.5399999999999991"/>
    <x v="16"/>
  </r>
  <r>
    <s v="WQFEB07"/>
    <s v="M3"/>
    <d v="2007-02-01T00:00:00"/>
    <n v="5.78"/>
    <n v="5.9"/>
    <x v="16"/>
  </r>
  <r>
    <s v="WQMAR07"/>
    <s v="M3"/>
    <d v="2007-03-01T00:00:00"/>
    <n v="2.71"/>
    <n v="3.08"/>
    <x v="16"/>
  </r>
  <r>
    <s v="WQAPR07"/>
    <s v="M3"/>
    <d v="2007-04-02T00:00:00"/>
    <n v="4.51"/>
    <n v="4.6900000000000004"/>
    <x v="16"/>
  </r>
  <r>
    <s v="WQMAY07"/>
    <s v="M3"/>
    <d v="2007-05-07T00:00:00"/>
    <n v="8.0500000000000007"/>
    <n v="7.67"/>
    <x v="16"/>
  </r>
  <r>
    <s v="WQJUN07"/>
    <s v="M3"/>
    <d v="2007-06-05T00:00:00"/>
    <n v="13.8"/>
    <n v="13.1"/>
    <x v="16"/>
  </r>
  <r>
    <s v="WQJUL07"/>
    <s v="M3"/>
    <d v="2007-07-09T00:00:00"/>
    <n v="16.98"/>
    <n v="16.309999999999999"/>
    <x v="16"/>
  </r>
  <r>
    <s v="WQAUG07"/>
    <s v="M3"/>
    <d v="2007-07-30T00:00:00"/>
    <n v="19.260000000000002"/>
    <n v="18.68"/>
    <x v="16"/>
  </r>
  <r>
    <s v="WQSEP07"/>
    <s v="M3"/>
    <d v="2007-08-28T00:00:00"/>
    <n v="20.18"/>
    <n v="19.64"/>
    <x v="16"/>
  </r>
  <r>
    <s v="WQOCT07"/>
    <s v="M3"/>
    <d v="2007-10-02T00:00:00"/>
    <n v="18.760000000000002"/>
    <n v="18.579999999999998"/>
    <x v="16"/>
  </r>
  <r>
    <s v="WQNOV07"/>
    <s v="M3"/>
    <d v="2007-11-08T00:00:00"/>
    <n v="14.31"/>
    <n v="14.18"/>
    <x v="16"/>
  </r>
  <r>
    <s v="WQDEC07"/>
    <s v="M3"/>
    <d v="2007-12-05T00:00:00"/>
    <n v="8.8699999999999992"/>
    <n v="9.15"/>
    <x v="16"/>
  </r>
  <r>
    <s v="WQJAN08"/>
    <s v="M3"/>
    <d v="2008-01-07T00:00:00"/>
    <n v="5.45"/>
    <n v="5.51"/>
    <x v="17"/>
  </r>
  <r>
    <s v="WQFEB08"/>
    <s v="M3"/>
    <d v="2008-02-04T00:00:00"/>
    <n v="4.32"/>
    <n v="4.47"/>
    <x v="17"/>
  </r>
  <r>
    <s v="WQMAR08"/>
    <s v="M3"/>
    <d v="2008-03-07T00:00:00"/>
    <n v="4.75"/>
    <n v="4.5999999999999996"/>
    <x v="17"/>
  </r>
  <r>
    <s v="WQAPR08"/>
    <s v="M3"/>
    <d v="2008-04-03T00:00:00"/>
    <n v="5.47"/>
    <n v="5.69"/>
    <x v="17"/>
  </r>
  <r>
    <s v="WQMAY08"/>
    <s v="M3"/>
    <d v="2008-05-05T00:00:00"/>
    <n v="8.7899999999999991"/>
    <n v="8.85"/>
    <x v="17"/>
  </r>
  <r>
    <s v="WQJUN08"/>
    <s v="M3"/>
    <d v="2008-06-02T00:00:00"/>
    <n v="11.02"/>
    <n v="10.44"/>
    <x v="17"/>
  </r>
  <r>
    <s v="WQJUL08"/>
    <s v="M3"/>
    <d v="2008-06-30T00:00:00"/>
    <n v="16.079999999999998"/>
    <n v="15.59"/>
    <x v="17"/>
  </r>
  <r>
    <s v="WQAUG08"/>
    <s v="M3"/>
    <d v="2008-08-07T00:00:00"/>
    <n v="19.14"/>
    <m/>
    <x v="17"/>
  </r>
  <r>
    <s v="WQOCT08"/>
    <s v="M3"/>
    <d v="2008-10-06T00:00:00"/>
    <n v="18.14"/>
    <n v="18.100000000000001"/>
    <x v="17"/>
  </r>
  <r>
    <s v="WQNOV08"/>
    <s v="M3"/>
    <d v="2008-11-05T00:00:00"/>
    <n v="13.95"/>
    <n v="13.95"/>
    <x v="17"/>
  </r>
  <r>
    <s v="WQDEC08"/>
    <s v="M3"/>
    <d v="2008-11-26T00:00:00"/>
    <n v="9.94"/>
    <n v="10.53"/>
    <x v="17"/>
  </r>
  <r>
    <s v="WQFEB09"/>
    <s v="M3"/>
    <d v="2009-02-02T00:00:00"/>
    <n v="2.71"/>
    <n v="3.33"/>
    <x v="18"/>
  </r>
  <r>
    <s v="WQMAR09"/>
    <s v="M3"/>
    <d v="2009-03-04T00:00:00"/>
    <n v="2.75"/>
    <n v="2.72"/>
    <x v="18"/>
  </r>
  <r>
    <s v="WQAPR09"/>
    <s v="M3"/>
    <d v="2009-03-31T00:00:00"/>
    <n v="4.33"/>
    <n v="4.42"/>
    <x v="18"/>
  </r>
  <r>
    <s v="WQMAY09"/>
    <s v="M3"/>
    <d v="2009-04-29T00:00:00"/>
    <n v="7.83"/>
    <n v="7.52"/>
    <x v="18"/>
  </r>
  <r>
    <s v="WQJUN09"/>
    <s v="M3"/>
    <d v="2009-06-04T00:00:00"/>
    <n v="11.86"/>
    <n v="11.57"/>
    <x v="18"/>
  </r>
  <r>
    <s v="WQJUL09"/>
    <s v="M3"/>
    <d v="2009-07-07T00:00:00"/>
    <n v="16.07"/>
    <n v="15.86"/>
    <x v="18"/>
  </r>
  <r>
    <s v="WQAUG09"/>
    <s v="M3"/>
    <d v="2009-08-03T00:00:00"/>
    <n v="19.02"/>
    <m/>
    <x v="18"/>
  </r>
  <r>
    <s v="WQSEP09"/>
    <s v="M3"/>
    <d v="2009-09-08T00:00:00"/>
    <n v="19.98"/>
    <n v="19.77"/>
    <x v="18"/>
  </r>
  <r>
    <s v="WQOCT09"/>
    <s v="M3"/>
    <d v="2009-10-05T00:00:00"/>
    <n v="18.21"/>
    <n v="18.079999999999998"/>
    <x v="18"/>
  </r>
  <r>
    <s v="WQNOV09"/>
    <s v="M3"/>
    <d v="2009-11-03T00:00:00"/>
    <n v="13.94"/>
    <n v="13.81"/>
    <x v="18"/>
  </r>
  <r>
    <s v="WQJAN10"/>
    <s v="M3"/>
    <d v="2010-01-05T00:00:00"/>
    <n v="5.33"/>
    <n v="5.23"/>
    <x v="19"/>
  </r>
  <r>
    <s v="WQFEB10"/>
    <s v="M3"/>
    <d v="2010-02-05T00:00:00"/>
    <n v="2.79"/>
    <n v="2.93"/>
    <x v="19"/>
  </r>
  <r>
    <s v="WQMAR10"/>
    <s v="M3"/>
    <d v="2010-03-08T00:00:00"/>
    <n v="3.18"/>
    <n v="2.94"/>
    <x v="19"/>
  </r>
  <r>
    <s v="WQAPR10"/>
    <s v="M3"/>
    <d v="2010-04-06T00:00:00"/>
    <n v="6.31"/>
    <n v="5.58"/>
    <x v="19"/>
  </r>
  <r>
    <s v="WQMAY10"/>
    <s v="M3"/>
    <d v="2010-05-03T00:00:00"/>
    <n v="9.5"/>
    <n v="9.06"/>
    <x v="19"/>
  </r>
  <r>
    <s v="WQMAY11"/>
    <s v="M3"/>
    <d v="2011-05-02T00:00:00"/>
    <n v="8.1999999999999993"/>
    <n v="7.35"/>
    <x v="20"/>
  </r>
  <r>
    <s v="WQJUN11"/>
    <s v="M3"/>
    <d v="2011-05-31T00:00:00"/>
    <n v="12.55"/>
    <n v="12.05"/>
    <x v="20"/>
  </r>
  <r>
    <s v="WQJUL11"/>
    <s v="M3"/>
    <d v="2011-07-05T00:00:00"/>
    <n v="18.98"/>
    <n v="17.21"/>
    <x v="20"/>
  </r>
  <r>
    <s v="WQAUG11"/>
    <s v="M3"/>
    <d v="2011-08-01T00:00:00"/>
    <n v="19.34"/>
    <n v="18.36"/>
    <x v="20"/>
  </r>
  <r>
    <s v="WQSEP11"/>
    <s v="M3"/>
    <d v="2011-08-30T00:00:00"/>
    <n v="20.010000000000002"/>
    <n v="19.73"/>
    <x v="20"/>
  </r>
  <r>
    <s v="WQOCT11"/>
    <s v="M3"/>
    <d v="2011-10-04T00:00:00"/>
    <n v="25.76"/>
    <n v="25.9"/>
    <x v="20"/>
  </r>
  <r>
    <s v="WQNOV11"/>
    <s v="M3"/>
    <d v="2011-11-07T00:00:00"/>
    <n v="13.4"/>
    <n v="13.51"/>
    <x v="20"/>
  </r>
  <r>
    <s v="WQDEC11"/>
    <s v="M3"/>
    <d v="2011-11-28T00:00:00"/>
    <n v="12.53"/>
    <n v="12.7"/>
    <x v="20"/>
  </r>
  <r>
    <s v="WQJAN12"/>
    <s v="M3"/>
    <d v="2012-01-05T00:00:00"/>
    <n v="8.44"/>
    <n v="9.19"/>
    <x v="21"/>
  </r>
  <r>
    <s v="WQFEB12"/>
    <s v="M3"/>
    <d v="2012-02-01T00:00:00"/>
    <n v="6.46"/>
    <n v="6.74"/>
    <x v="21"/>
  </r>
  <r>
    <s v="WQMAR12"/>
    <s v="M3"/>
    <d v="2012-03-02T00:00:00"/>
    <n v="6.44"/>
    <n v="6.46"/>
    <x v="21"/>
  </r>
  <r>
    <s v="WQAPR12"/>
    <s v="M3"/>
    <d v="2012-04-03T00:00:00"/>
    <n v="8.01"/>
    <n v="7.97"/>
    <x v="21"/>
  </r>
  <r>
    <s v="WQMAY12"/>
    <s v="M3"/>
    <d v="2012-05-01T00:00:00"/>
    <n v="10.53"/>
    <n v="9.9700000000000006"/>
    <x v="21"/>
  </r>
  <r>
    <s v="WQJUN12"/>
    <s v="M3"/>
    <d v="2012-05-29T00:00:00"/>
    <n v="13.95"/>
    <n v="13.68"/>
    <x v="21"/>
  </r>
  <r>
    <s v="WQJUL12"/>
    <s v="M3"/>
    <d v="2012-06-26T00:00:00"/>
    <n v="17.829999999999998"/>
    <n v="17.28"/>
    <x v="21"/>
  </r>
  <r>
    <s v="WQAUG12"/>
    <s v="M3"/>
    <d v="2012-07-30T00:00:00"/>
    <n v="19.7"/>
    <n v="19.239999999999998"/>
    <x v="21"/>
  </r>
  <r>
    <s v="WQSEP12"/>
    <s v="M3"/>
    <d v="2012-08-27T00:00:00"/>
    <n v="21.1"/>
    <m/>
    <x v="21"/>
  </r>
  <r>
    <s v="WQOCT12"/>
    <s v="M3"/>
    <d v="2012-10-10T00:00:00"/>
    <n v="18.14"/>
    <n v="17.87"/>
    <x v="21"/>
  </r>
  <r>
    <s v="WQNOV12"/>
    <s v="M3"/>
    <d v="2012-11-13T00:00:00"/>
    <n v="13.29"/>
    <n v="13.28"/>
    <x v="21"/>
  </r>
  <r>
    <s v="WQDEC12"/>
    <s v="M3"/>
    <d v="2012-12-03T00:00:00"/>
    <n v="10.27"/>
    <n v="10.32"/>
    <x v="21"/>
  </r>
  <r>
    <s v="WQJAN13"/>
    <s v="M3"/>
    <d v="2013-01-09T00:00:00"/>
    <n v="6.04"/>
    <n v="6.58"/>
    <x v="22"/>
  </r>
  <r>
    <s v="WQFEB13"/>
    <s v="M3"/>
    <d v="2013-01-28T00:00:00"/>
    <n v="4.8499999999999996"/>
    <n v="5.28"/>
    <x v="22"/>
  </r>
  <r>
    <s v="WQMAR13"/>
    <s v="M3"/>
    <d v="2013-03-05T00:00:00"/>
    <n v="3.89"/>
    <n v="4.03"/>
    <x v="22"/>
  </r>
  <r>
    <s v="WQAPR13"/>
    <s v="M3"/>
    <d v="2013-04-01T00:00:00"/>
    <n v="4.3600000000000003"/>
    <n v="4.4000000000000004"/>
    <x v="22"/>
  </r>
  <r>
    <s v="WQMAY13"/>
    <s v="M3"/>
    <d v="2013-04-29T00:00:00"/>
    <n v="7.84"/>
    <n v="7.69"/>
    <x v="22"/>
  </r>
  <r>
    <s v="WQJUN13"/>
    <s v="M3"/>
    <d v="2013-06-03T00:00:00"/>
    <n v="13.23"/>
    <n v="11.9"/>
    <x v="22"/>
  </r>
  <r>
    <s v="WQJUL13"/>
    <s v="M3"/>
    <d v="2013-07-01T00:00:00"/>
    <n v="17.809999999999999"/>
    <n v="16.84"/>
    <x v="22"/>
  </r>
  <r>
    <s v="WQAUG13"/>
    <s v="M3"/>
    <d v="2013-07-29T00:00:00"/>
    <n v="19.88"/>
    <m/>
    <x v="22"/>
  </r>
  <r>
    <s v="WQSEP13"/>
    <s v="M3"/>
    <d v="2013-08-27T00:00:00"/>
    <n v="20.059999999999999"/>
    <n v="19.53"/>
    <x v="22"/>
  </r>
  <r>
    <s v="WQOCT13"/>
    <s v="M3"/>
    <d v="2013-10-01T00:00:00"/>
    <n v="17.84"/>
    <n v="17.7"/>
    <x v="22"/>
  </r>
  <r>
    <s v="WQNOV13"/>
    <s v="M3"/>
    <d v="2013-11-04T00:00:00"/>
    <n v="15.15"/>
    <n v="15.23"/>
    <x v="22"/>
  </r>
  <r>
    <s v="WQDEC13"/>
    <s v="M3"/>
    <d v="2013-12-02T00:00:00"/>
    <n v="10.039999999999999"/>
    <n v="9.9700000000000006"/>
    <x v="22"/>
  </r>
  <r>
    <s v="WQJAN14"/>
    <s v="M3"/>
    <d v="2014-01-13T00:00:00"/>
    <n v="4.4400000000000004"/>
    <n v="4.51"/>
    <x v="23"/>
  </r>
  <r>
    <s v="WQFEB14"/>
    <s v="M3"/>
    <d v="2014-02-03T00:00:00"/>
    <n v="2.84"/>
    <n v="3.23"/>
    <x v="23"/>
  </r>
  <r>
    <s v="WQMAR14"/>
    <s v="M3"/>
    <d v="2014-03-07T00:00:00"/>
    <n v="2.16"/>
    <n v="2.25"/>
    <x v="23"/>
  </r>
  <r>
    <s v="WQAPR14"/>
    <s v="M3"/>
    <d v="2014-04-07T00:00:00"/>
    <n v="3.94"/>
    <n v="3.98"/>
    <x v="23"/>
  </r>
  <r>
    <s v="WQMAY14"/>
    <s v="M3"/>
    <d v="2014-05-06T00:00:00"/>
    <n v="7.59"/>
    <n v="7.47"/>
    <x v="23"/>
  </r>
  <r>
    <s v="WQJUN14"/>
    <s v="M3"/>
    <d v="2014-06-02T00:00:00"/>
    <n v="12.56"/>
    <n v="12.32"/>
    <x v="23"/>
  </r>
  <r>
    <s v="WQJUL14"/>
    <s v="M3"/>
    <d v="2014-06-30T00:00:00"/>
    <n v="17.98"/>
    <n v="17.079999999999998"/>
    <x v="23"/>
  </r>
  <r>
    <s v="WQAUG14"/>
    <s v="M3"/>
    <d v="2014-08-04T00:00:00"/>
    <n v="19.21"/>
    <n v="18.920000000000002"/>
    <x v="23"/>
  </r>
  <r>
    <s v="WQSEP14"/>
    <s v="M3"/>
    <d v="2014-09-04T00:00:00"/>
    <n v="20.350000000000001"/>
    <n v="19.37"/>
    <x v="23"/>
  </r>
  <r>
    <s v="WQOCT14"/>
    <s v="M3"/>
    <d v="2014-09-30T00:00:00"/>
    <n v="19.55"/>
    <n v="19.489999999999998"/>
    <x v="23"/>
  </r>
  <r>
    <s v="WQNOV14"/>
    <s v="M3"/>
    <d v="2014-11-06T00:00:00"/>
    <n v="14.9"/>
    <n v="14.86"/>
    <x v="23"/>
  </r>
  <r>
    <s v="WQDEC14"/>
    <s v="M3"/>
    <d v="2014-12-15T00:00:00"/>
    <n v="8.32"/>
    <n v="8.52"/>
    <x v="23"/>
  </r>
  <r>
    <s v="WQJAN15"/>
    <s v="M3"/>
    <d v="2015-01-12T00:00:00"/>
    <n v="5.2"/>
    <n v="5.36"/>
    <x v="24"/>
  </r>
  <r>
    <s v="WQFEB15"/>
    <s v="M3"/>
    <d v="2015-02-04T00:00:00"/>
    <n v="2.94"/>
    <n v="3.14"/>
    <x v="24"/>
  </r>
  <r>
    <s v="WQMAR15"/>
    <s v="M3"/>
    <d v="2015-03-11T00:00:00"/>
    <n v="0.57999999999999996"/>
    <n v="0.77"/>
    <x v="24"/>
  </r>
  <r>
    <s v="WQAPR15"/>
    <s v="M3"/>
    <d v="2015-04-02T00:00:00"/>
    <n v="3.1"/>
    <n v="2.48"/>
    <x v="24"/>
  </r>
  <r>
    <s v="WQMAY15"/>
    <s v="M3"/>
    <d v="2015-04-30T00:00:00"/>
    <n v="5.92"/>
    <n v="5.57"/>
    <x v="24"/>
  </r>
  <r>
    <s v="WQJUN15"/>
    <s v="M3"/>
    <d v="2015-05-28T00:00:00"/>
    <n v="11.12"/>
    <n v="8.57"/>
    <x v="24"/>
  </r>
  <r>
    <s v="WQJUL15"/>
    <s v="M3"/>
    <d v="2015-07-06T00:00:00"/>
    <n v="17.82"/>
    <n v="17.54"/>
    <x v="24"/>
  </r>
  <r>
    <s v="WQAUG15"/>
    <s v="M3"/>
    <d v="2015-08-06T00:00:00"/>
    <n v="19.59"/>
    <n v="19.04"/>
    <x v="24"/>
  </r>
  <r>
    <s v="WQSEP15"/>
    <s v="M3"/>
    <d v="2015-08-31T00:00:00"/>
    <n v="21.47"/>
    <n v="21.17"/>
    <x v="24"/>
  </r>
  <r>
    <s v="WQOCT15"/>
    <s v="M3"/>
    <d v="2015-10-07T00:00:00"/>
    <n v="18.399999999999999"/>
    <n v="18.23"/>
    <x v="24"/>
  </r>
  <r>
    <s v="WQNOV15"/>
    <s v="M3"/>
    <d v="2015-11-06T00:00:00"/>
    <n v="15.5"/>
    <n v="15.41"/>
    <x v="24"/>
  </r>
  <r>
    <s v="WQDEC15"/>
    <s v="M3"/>
    <d v="2015-12-16T00:00:00"/>
    <n v="11.39"/>
    <n v="11.39"/>
    <x v="24"/>
  </r>
  <r>
    <s v="WQJAN16"/>
    <s v="M3"/>
    <d v="2016-01-07T00:00:00"/>
    <n v="8.7799999999999994"/>
    <n v="8.83"/>
    <x v="25"/>
  </r>
  <r>
    <s v="WQFEB16"/>
    <s v="M3"/>
    <d v="2016-02-04T00:00:00"/>
    <n v="5.73"/>
    <n v="5.99"/>
    <x v="25"/>
  </r>
  <r>
    <s v="WQMAR16"/>
    <s v="M3"/>
    <d v="2016-03-10T00:00:00"/>
    <n v="5.52"/>
    <n v="5.18"/>
    <x v="25"/>
  </r>
  <r>
    <s v="WQAPR16"/>
    <s v="M3"/>
    <d v="2016-04-13T00:00:00"/>
    <n v="6.48"/>
    <n v="6.44"/>
    <x v="25"/>
  </r>
  <r>
    <s v="WQMAY16"/>
    <s v="M3"/>
    <d v="2016-05-11T00:00:00"/>
    <n v="9.33"/>
    <n v="9.34"/>
    <x v="25"/>
  </r>
  <r>
    <s v="WQJUN16"/>
    <s v="M3"/>
    <d v="2016-06-08T00:00:00"/>
    <n v="14.15"/>
    <n v="13.7"/>
    <x v="25"/>
  </r>
  <r>
    <s v="WQJUL16"/>
    <s v="M3"/>
    <d v="2016-07-05T00:00:00"/>
    <n v="18.2"/>
    <n v="17.23"/>
    <x v="25"/>
  </r>
  <r>
    <s v="WQAUG16"/>
    <s v="M3"/>
    <d v="2016-08-01T00:00:00"/>
    <n v="19.47"/>
    <n v="19.07"/>
    <x v="25"/>
  </r>
  <r>
    <s v="WQSEP16"/>
    <s v="M3"/>
    <d v="2016-08-29T00:00:00"/>
    <n v="20.88"/>
    <n v="20.37"/>
    <x v="25"/>
  </r>
  <r>
    <s v="WQOCT16"/>
    <s v="M3"/>
    <d v="2016-10-03T00:00:00"/>
    <n v="19.5"/>
    <n v="19.5"/>
    <x v="25"/>
  </r>
  <r>
    <s v="WQNOV16"/>
    <s v="M3"/>
    <d v="2016-11-07T00:00:00"/>
    <n v="15.21"/>
    <n v="15.23"/>
    <x v="25"/>
  </r>
  <r>
    <s v="WQDEC16"/>
    <s v="M3"/>
    <d v="2016-11-30T00:00:00"/>
    <n v="11.61"/>
    <n v="11.62"/>
    <x v="25"/>
  </r>
  <r>
    <s v="WQJAN17"/>
    <s v="M3"/>
    <d v="2017-01-04T00:00:00"/>
    <n v="6.88"/>
    <n v="6.87"/>
    <x v="26"/>
  </r>
  <r>
    <s v="WQFEB17"/>
    <s v="M3"/>
    <d v="2017-02-07T00:00:00"/>
    <n v="4.3899999999999997"/>
    <n v="4.58"/>
    <x v="26"/>
  </r>
  <r>
    <s v="WQMAR17"/>
    <s v="M3"/>
    <d v="2017-03-06T00:00:00"/>
    <m/>
    <m/>
    <x v="26"/>
  </r>
  <r>
    <s v="WQAPR17"/>
    <s v="M3"/>
    <d v="2017-04-03T00:00:00"/>
    <m/>
    <m/>
    <x v="26"/>
  </r>
  <r>
    <s v="WQMAY17"/>
    <s v="M3"/>
    <d v="2017-05-01T00:00:00"/>
    <n v="7.82"/>
    <n v="7.77"/>
    <x v="26"/>
  </r>
  <r>
    <s v="WQJUN17"/>
    <s v="M3"/>
    <d v="2017-06-05T00:00:00"/>
    <n v="13.12"/>
    <n v="12.74"/>
    <x v="26"/>
  </r>
  <r>
    <s v="WQJUL17"/>
    <s v="M3"/>
    <d v="2017-07-05T00:00:00"/>
    <n v="16.87"/>
    <n v="15.6"/>
    <x v="26"/>
  </r>
  <r>
    <s v="WQAUG17"/>
    <s v="M3"/>
    <d v="2017-07-31T00:00:00"/>
    <n v="19.760000000000002"/>
    <n v="19.37"/>
    <x v="26"/>
  </r>
  <r>
    <s v="WQSEP17"/>
    <s v="M3"/>
    <d v="2017-09-01T00:00:00"/>
    <n v="20.2"/>
    <n v="19.72"/>
    <x v="26"/>
  </r>
  <r>
    <s v="WQOCT17"/>
    <s v="M3"/>
    <d v="2017-10-06T00:00:00"/>
    <n v="19.25"/>
    <n v="19.11"/>
    <x v="26"/>
  </r>
  <r>
    <s v="WQNOV17"/>
    <s v="M3"/>
    <d v="2017-11-06T00:00:00"/>
    <m/>
    <n v="16.75"/>
    <x v="26"/>
  </r>
  <r>
    <s v="WQDEC17"/>
    <s v="M3"/>
    <d v="2017-12-04T00:00:00"/>
    <n v="11.91"/>
    <n v="12.12"/>
    <x v="26"/>
  </r>
  <r>
    <s v="WQJAN18"/>
    <s v="M3"/>
    <d v="2018-01-10T00:00:00"/>
    <n v="3.15"/>
    <n v="3.3"/>
    <x v="27"/>
  </r>
  <r>
    <s v="WQFEB18"/>
    <s v="M3"/>
    <d v="2018-02-09T00:00:00"/>
    <m/>
    <m/>
    <x v="27"/>
  </r>
  <r>
    <s v="WQMAR18"/>
    <s v="M3"/>
    <d v="2018-03-06T00:00:00"/>
    <n v="3.91"/>
    <n v="4.07"/>
    <x v="27"/>
  </r>
  <r>
    <s v="WQAPR18"/>
    <s v="M3"/>
    <d v="2018-04-09T00:00:00"/>
    <n v="4.57"/>
    <n v="4.76"/>
    <x v="27"/>
  </r>
  <r>
    <s v="WQMAY18"/>
    <s v="M3"/>
    <d v="2018-05-01T00:00:00"/>
    <n v="6.99"/>
    <n v="6.78"/>
    <x v="27"/>
  </r>
  <r>
    <s v="WQJUN18"/>
    <s v="M3"/>
    <d v="2018-05-30T00:00:00"/>
    <n v="11.57"/>
    <n v="11.43"/>
    <x v="27"/>
  </r>
  <r>
    <s v="WQJUL18"/>
    <s v="M3"/>
    <d v="2018-07-02T00:00:00"/>
    <n v="18.13"/>
    <n v="16.760000000000002"/>
    <x v="27"/>
  </r>
  <r>
    <s v="WQAUG18"/>
    <s v="M3"/>
    <d v="2018-07-30T00:00:00"/>
    <n v="20.91"/>
    <n v="19.96"/>
    <x v="27"/>
  </r>
  <r>
    <s v="WQSEP18"/>
    <s v="M3"/>
    <d v="2018-08-29T00:00:00"/>
    <n v="22.05"/>
    <n v="19.559999999999999"/>
    <x v="27"/>
  </r>
  <r>
    <s v="WQOCT18"/>
    <s v="M3"/>
    <d v="2018-10-02T00:00:00"/>
    <n v="20.149999999999999"/>
    <n v="20.02"/>
    <x v="27"/>
  </r>
  <r>
    <s v="WQNOV18"/>
    <s v="M3"/>
    <d v="2018-11-05T00:00:00"/>
    <n v="13.95"/>
    <n v="13.78"/>
    <x v="27"/>
  </r>
  <r>
    <s v="WQDEC18"/>
    <s v="M3"/>
    <d v="2018-11-30T00:00:00"/>
    <n v="9.35"/>
    <n v="9.5299999999999994"/>
    <x v="27"/>
  </r>
  <r>
    <s v="WQJAN19"/>
    <s v="M3"/>
    <d v="2019-01-02T00:00:00"/>
    <n v="6.93"/>
    <n v="7.5"/>
    <x v="28"/>
  </r>
  <r>
    <s v="WQFEB19"/>
    <s v="M3"/>
    <d v="2019-02-04T00:00:00"/>
    <n v="4.07"/>
    <n v="4.1399999999999997"/>
    <x v="28"/>
  </r>
  <r>
    <s v="WQMAR19"/>
    <s v="M3"/>
    <d v="2019-03-08T00:00:00"/>
    <n v="3.34"/>
    <n v="3.59"/>
    <x v="28"/>
  </r>
  <r>
    <s v="WQAPR19"/>
    <s v="M3"/>
    <d v="2019-04-02T00:00:00"/>
    <n v="5.48"/>
    <n v="5.43"/>
    <x v="28"/>
  </r>
  <r>
    <s v="WQMAY19"/>
    <s v="M3"/>
    <d v="2019-05-06T00:00:00"/>
    <n v="8.7200000000000006"/>
    <n v="8.5"/>
    <x v="28"/>
  </r>
  <r>
    <s v="WQJUN19"/>
    <s v="M3"/>
    <d v="2019-05-29T00:00:00"/>
    <n v="11.93"/>
    <n v="10.62"/>
    <x v="28"/>
  </r>
  <r>
    <s v="WQJUL19"/>
    <s v="M3"/>
    <d v="2019-07-01T00:00:00"/>
    <n v="16.350000000000001"/>
    <n v="14.99"/>
    <x v="28"/>
  </r>
  <r>
    <s v="WQAUG19"/>
    <s v="M3"/>
    <d v="2019-07-29T00:00:00"/>
    <n v="19.93"/>
    <n v="16.57"/>
    <x v="28"/>
  </r>
  <r>
    <s v="WQSEP19"/>
    <s v="M3"/>
    <d v="2019-08-27T00:00:00"/>
    <n v="19.649999999999999"/>
    <n v="19.38"/>
    <x v="28"/>
  </r>
  <r>
    <s v="WQOCT19"/>
    <s v="M3"/>
    <d v="2019-09-30T00:00:00"/>
    <n v="19.239999999999998"/>
    <n v="19.170000000000002"/>
    <x v="28"/>
  </r>
  <r>
    <s v="WQNOV19"/>
    <s v="M3"/>
    <d v="2019-11-04T00:00:00"/>
    <n v="15.37"/>
    <n v="15.4"/>
    <x v="28"/>
  </r>
  <r>
    <s v="WQDEC19"/>
    <s v="M3"/>
    <d v="2019-12-04T00:00:00"/>
    <n v="9.81"/>
    <n v="9.82"/>
    <x v="28"/>
  </r>
  <r>
    <s v="WQJAN20"/>
    <s v="M3"/>
    <d v="2020-01-06T00:00:00"/>
    <n v="6.26"/>
    <n v="7"/>
    <x v="29"/>
  </r>
  <r>
    <s v="WQFEB20"/>
    <s v="M3"/>
    <d v="2020-02-13T00:00:00"/>
    <n v="5.47"/>
    <n v="5.63"/>
    <x v="29"/>
  </r>
  <r>
    <s v="WQMAR20"/>
    <s v="M3"/>
    <d v="2020-03-09T00:00:00"/>
    <n v="5.45"/>
    <n v="5.99"/>
    <x v="29"/>
  </r>
  <r>
    <s v="WQJUL20"/>
    <s v="M3"/>
    <d v="2020-07-06T00:00:00"/>
    <n v="17.91"/>
    <n v="17.72"/>
    <x v="29"/>
  </r>
  <r>
    <s v="WQAUG20"/>
    <s v="M3"/>
    <d v="2020-08-10T00:00:00"/>
    <n v="20.77"/>
    <n v="20.190000000000001"/>
    <x v="29"/>
  </r>
  <r>
    <s v="WQSEP20"/>
    <s v="M3"/>
    <d v="2020-09-10T00:00:00"/>
    <n v="20.92"/>
    <n v="19.57"/>
    <x v="29"/>
  </r>
  <r>
    <s v="WQOCT20"/>
    <s v="M3"/>
    <d v="2020-10-06T00:00:00"/>
    <n v="19.12"/>
    <n v="19.03"/>
    <x v="29"/>
  </r>
  <r>
    <s v="WQNOV20"/>
    <s v="M3"/>
    <d v="2020-11-09T00:00:00"/>
    <n v="14.83"/>
    <n v="14.75"/>
    <x v="29"/>
  </r>
  <r>
    <s v="WQMAR21"/>
    <s v="M3"/>
    <d v="2021-03-08T00:00:00"/>
    <n v="3.39"/>
    <n v="3.38"/>
    <x v="30"/>
  </r>
  <r>
    <s v="WQAPR21"/>
    <s v="M3"/>
    <d v="2021-04-06T00:00:00"/>
    <n v="6.25"/>
    <n v="6.1"/>
    <x v="30"/>
  </r>
  <r>
    <s v="WQMAY21"/>
    <s v="M3"/>
    <d v="2021-05-06T00:00:00"/>
    <n v="9.4499999999999993"/>
    <n v="8.68"/>
    <x v="30"/>
  </r>
  <r>
    <s v="WQJUN21"/>
    <s v="M3"/>
    <d v="2021-06-03T00:00:00"/>
    <n v="12.52"/>
    <n v="12.33"/>
    <x v="30"/>
  </r>
  <r>
    <s v="WQJUL21"/>
    <s v="M3"/>
    <d v="2021-07-06T00:00:00"/>
    <n v="17.72"/>
    <n v="18.079999999999998"/>
    <x v="30"/>
  </r>
  <r>
    <s v="WQAUG21"/>
    <s v="M3"/>
    <d v="2021-08-02T00:00:00"/>
    <n v="20.260000000000002"/>
    <n v="19.260000000000002"/>
    <x v="30"/>
  </r>
  <r>
    <s v="WQSEP21"/>
    <s v="M3"/>
    <d v="2021-08-30T00:00:00"/>
    <n v="21.84"/>
    <n v="21.51"/>
    <x v="30"/>
  </r>
  <r>
    <s v="WQOCT21"/>
    <s v="M3"/>
    <d v="2021-10-04T00:00:00"/>
    <n v="19.91"/>
    <n v="19.600000000000001"/>
    <x v="30"/>
  </r>
  <r>
    <s v="WQNOV21"/>
    <s v="M3"/>
    <d v="2021-11-04T00:00:00"/>
    <n v="16.39"/>
    <n v="16.29"/>
    <x v="30"/>
  </r>
  <r>
    <s v="WQDEC21"/>
    <s v="M3"/>
    <d v="2021-12-02T00:00:00"/>
    <n v="11.61"/>
    <n v="12.05"/>
    <x v="30"/>
  </r>
  <r>
    <s v="WQFEB22"/>
    <s v="M3"/>
    <d v="2022-02-01T00:00:00"/>
    <n v="4.46"/>
    <n v="4.49"/>
    <x v="31"/>
  </r>
  <r>
    <s v="WQMAR22"/>
    <s v="M3"/>
    <d v="2022-03-02T00:00:00"/>
    <n v="4.3600000000000003"/>
    <n v="4.46"/>
    <x v="31"/>
  </r>
  <r>
    <s v="WQAPR22"/>
    <s v="M3"/>
    <d v="2022-04-04T00:00:00"/>
    <n v="6.09"/>
    <n v="6.16"/>
    <x v="31"/>
  </r>
  <r>
    <s v="WQMAY22"/>
    <s v="M3"/>
    <d v="2022-05-04T00:00:00"/>
    <n v="9.0500000000000007"/>
    <n v="8.8800000000000008"/>
    <x v="31"/>
  </r>
  <r>
    <s v="WQJUN22"/>
    <s v="M3"/>
    <d v="2022-06-02T00:00:00"/>
    <n v="13.58"/>
    <n v="12.9"/>
    <x v="31"/>
  </r>
  <r>
    <s v="WQJUL22"/>
    <s v="M3"/>
    <d v="2022-07-06T00:00:00"/>
    <n v="17.79"/>
    <n v="16.55"/>
    <x v="31"/>
  </r>
  <r>
    <s v="WQAUG22"/>
    <s v="M3"/>
    <d v="2022-08-01T00:00:00"/>
    <n v="21.16"/>
    <n v="18.559999999999999"/>
    <x v="31"/>
  </r>
  <r>
    <s v="WQSEP22"/>
    <s v="M3"/>
    <d v="2022-08-31T00:00:00"/>
    <n v="22.21"/>
    <m/>
    <x v="31"/>
  </r>
  <r>
    <s v="WQOCT22"/>
    <s v="M3"/>
    <d v="2022-10-06T00:00:00"/>
    <n v="17.73"/>
    <n v="17.739999999999998"/>
    <x v="31"/>
  </r>
  <r>
    <s v="WQNOV22"/>
    <s v="M3"/>
    <d v="2022-11-07T00:00:00"/>
    <m/>
    <m/>
    <x v="31"/>
  </r>
  <r>
    <s v="WQDEC22"/>
    <s v="M3"/>
    <d v="2022-12-15T00:00:00"/>
    <n v="9.65"/>
    <n v="9.59"/>
    <x v="31"/>
  </r>
  <r>
    <s v="WQJAN23"/>
    <s v="M3"/>
    <d v="2023-01-03T00:00:00"/>
    <n v="7.06"/>
    <n v="7.41"/>
    <x v="32"/>
  </r>
  <r>
    <s v="WQFEB23"/>
    <s v="M3"/>
    <d v="2023-02-06T00:00:00"/>
    <n v="5.5"/>
    <n v="5.78"/>
    <x v="32"/>
  </r>
  <r>
    <s v="WQAPR23"/>
    <s v="M3"/>
    <d v="2023-04-17T00:00:00"/>
    <n v="7.6"/>
    <n v="7.86"/>
    <x v="32"/>
  </r>
  <r>
    <s v="WQMAY23"/>
    <s v="M3"/>
    <d v="2023-05-08T00:00:00"/>
    <n v="10.029999999999999"/>
    <n v="10.49"/>
    <x v="32"/>
  </r>
  <r>
    <s v="WQJUN23"/>
    <s v="M3"/>
    <d v="2023-05-31T00:00:00"/>
    <n v="13.33"/>
    <n v="12.99"/>
    <x v="32"/>
  </r>
  <r>
    <s v="WQJUL23"/>
    <s v="M3"/>
    <d v="2023-07-05T00:00:00"/>
    <n v="18.84"/>
    <n v="18.52"/>
    <x v="32"/>
  </r>
  <r>
    <s v="WQAUG23"/>
    <s v="M3"/>
    <d v="2023-07-31T00:00:00"/>
    <n v="19.190000000000001"/>
    <n v="17.329999999999998"/>
    <x v="32"/>
  </r>
  <r>
    <s v="WQSEP23"/>
    <s v="M3"/>
    <d v="2023-08-29T00:00:00"/>
    <n v="19.59"/>
    <n v="18.88"/>
    <x v="32"/>
  </r>
  <r>
    <s v="WQOCT23"/>
    <s v="M3"/>
    <d v="2023-10-05T00:00:00"/>
    <n v="18.64"/>
    <n v="18.489999999999998"/>
    <x v="32"/>
  </r>
  <r>
    <s v="WQNOV23"/>
    <s v="M3"/>
    <d v="2023-11-07T00:00:00"/>
    <n v="14.83"/>
    <n v="14.81"/>
    <x v="32"/>
  </r>
  <r>
    <s v="WQDEC23"/>
    <s v="M3"/>
    <d v="2023-12-04T00:00:00"/>
    <n v="10.85"/>
    <n v="11.02"/>
    <x v="32"/>
  </r>
  <r>
    <s v="WQJAN24"/>
    <s v="M3"/>
    <d v="2024-01-03T00:00:00"/>
    <n v="8.3699999999999992"/>
    <n v="8.5500000000000007"/>
    <x v="33"/>
  </r>
  <r>
    <s v="WQFEB24"/>
    <s v="M3"/>
    <d v="2024-02-05T00:00:00"/>
    <n v="5.48"/>
    <n v="5.78"/>
    <x v="33"/>
  </r>
  <r>
    <s v="WQMAR24"/>
    <s v="M3"/>
    <d v="2024-03-04T00:00:00"/>
    <n v="5.1100000000000003"/>
    <n v="5.18"/>
    <x v="33"/>
  </r>
  <r>
    <s v="WQAPR24"/>
    <s v="M3"/>
    <d v="2024-04-01T00:00:00"/>
    <n v="6.14"/>
    <n v="5.96"/>
    <x v="33"/>
  </r>
  <r>
    <s v="WQMAY24"/>
    <s v="M3"/>
    <d v="2024-05-02T00:00:00"/>
    <n v="9.02"/>
    <n v="8.52"/>
    <x v="33"/>
  </r>
  <r>
    <s v="WQJUN24"/>
    <s v="M3"/>
    <d v="2024-05-30T00:00:00"/>
    <n v="13.76"/>
    <n v="12.66"/>
    <x v="33"/>
  </r>
  <r>
    <s v="WQJUL24"/>
    <s v="M3"/>
    <d v="2024-06-27T00:00:00"/>
    <n v="17.010000000000002"/>
    <n v="14.61"/>
    <x v="33"/>
  </r>
  <r>
    <s v="WQAUG24"/>
    <s v="M3"/>
    <d v="2024-07-29T00:00:00"/>
    <n v="18.73"/>
    <n v="18.52"/>
    <x v="33"/>
  </r>
  <r>
    <s v="WQSEP24"/>
    <s v="M3"/>
    <d v="2024-08-26T00:00:00"/>
    <n v="20.170000000000002"/>
    <n v="19.66"/>
    <x v="33"/>
  </r>
  <r>
    <s v="WQOCT24"/>
    <s v="M3"/>
    <d v="2024-10-02T00:00:00"/>
    <n v="18.829999999999998"/>
    <n v="18.739999999999998"/>
    <x v="33"/>
  </r>
  <r>
    <m/>
    <m/>
    <m/>
    <m/>
    <m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C322E-FEC8-447F-9170-1F5A98B90B70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J34" firstHeaderRow="0" firstDataRow="1" firstDataCol="1"/>
  <pivotFields count="6">
    <pivotField showAll="0"/>
    <pivotField showAll="0"/>
    <pivotField showAll="0"/>
    <pivotField dataField="1" showAll="0"/>
    <pivotField dataField="1"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</pivotFields>
  <rowFields count="1">
    <field x="5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 Temp" fld="3" subtotal="average" baseField="5" baseItem="0"/>
    <dataField name="Average of B Temp" fld="4" subtotal="average" baseField="5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B7329-BB9C-4E9E-B5EB-9964CE14AA5B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J38" firstHeaderRow="0" firstDataRow="1" firstDataCol="1"/>
  <pivotFields count="6">
    <pivotField showAll="0"/>
    <pivotField showAll="0"/>
    <pivotField showAll="0"/>
    <pivotField dataField="1" showAll="0"/>
    <pivotField dataField="1"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 count="1">
    <field x="5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 Temp" fld="4" subtotal="average" baseField="5" baseItem="0"/>
    <dataField name="Average of S Temp" fld="3" subtotal="average" baseField="5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J1:L33" firstHeaderRow="0" firstDataRow="1" firstDataCol="1"/>
  <pivotFields count="6">
    <pivotField showAll="0"/>
    <pivotField showAll="0"/>
    <pivotField showAll="0"/>
    <pivotField dataField="1" showAll="0"/>
    <pivotField dataField="1"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h="1" x="31"/>
        <item x="27"/>
        <item x="28"/>
        <item x="29"/>
        <item x="30"/>
        <item t="default"/>
      </items>
    </pivotField>
  </pivotFields>
  <rowFields count="1">
    <field x="5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 Temp" fld="3" subtotal="average" baseField="5" baseItem="0"/>
    <dataField name="Average of B Temp" fld="4" subtotal="average" baseField="5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I1:K33" firstHeaderRow="0" firstDataRow="1" firstDataCol="1"/>
  <pivotFields count="6">
    <pivotField showAll="0"/>
    <pivotField showAll="0"/>
    <pivotField showAll="0"/>
    <pivotField dataField="1" showAll="0"/>
    <pivotField dataField="1"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h="1" x="31"/>
        <item x="27"/>
        <item x="28"/>
        <item x="29"/>
        <item x="30"/>
        <item t="default"/>
      </items>
    </pivotField>
  </pivotFields>
  <rowFields count="1">
    <field x="5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 Temp" fld="3" subtotal="average" baseField="5" baseItem="0"/>
    <dataField name="Average of B Temp" fld="4" subtotal="average" baseField="5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1990A-F620-494C-903D-C090549E3C4D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K38" firstHeaderRow="0" firstDataRow="1" firstDataCol="1"/>
  <pivotFields count="6">
    <pivotField showAll="0"/>
    <pivotField showAll="0"/>
    <pivotField showAll="0"/>
    <pivotField dataField="1" showAll="0"/>
    <pivotField dataField="1"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 count="1">
    <field x="5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 Temp" fld="3" subtotal="average" baseField="5" baseItem="0"/>
    <dataField name="Average of S Temp" fld="4" subtotal="average" baseField="5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I1:L33" firstHeaderRow="0" firstDataRow="1" firstDataCol="1"/>
  <pivotFields count="6">
    <pivotField showAll="0"/>
    <pivotField showAll="0"/>
    <pivotField dataField="1" showAll="0"/>
    <pivotField dataField="1" showAll="0"/>
    <pivotField dataField="1"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h="1" x="31"/>
        <item x="27"/>
        <item x="28"/>
        <item x="29"/>
        <item x="30"/>
        <item t="default"/>
      </items>
    </pivotField>
  </pivotFields>
  <rowFields count="1">
    <field x="5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 Temp" fld="3" subtotal="average" baseField="5" baseItem="0"/>
    <dataField name="Average of B Temp" fld="4" subtotal="average" baseField="5" baseItem="0"/>
    <dataField name="Count of Station Name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I1:L34" firstHeaderRow="0" firstDataRow="1" firstDataCol="1"/>
  <pivotFields count="6">
    <pivotField showAll="0"/>
    <pivotField showAll="0"/>
    <pivotField dataField="1" showAll="0"/>
    <pivotField dataField="1" showAll="0"/>
    <pivotField dataField="1"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1"/>
        <item x="27"/>
        <item x="28"/>
        <item x="29"/>
        <item x="30"/>
        <item t="default"/>
      </items>
    </pivotField>
  </pivotFields>
  <rowFields count="1">
    <field x="5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 Temp" fld="3" subtotal="average" baseField="5" baseItem="0"/>
    <dataField name="Average of B Temp" fld="4" subtotal="average" baseField="5" baseItem="0"/>
    <dataField name="Count of Station Name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I1:L33" firstHeaderRow="0" firstDataRow="1" firstDataCol="1"/>
  <pivotFields count="6">
    <pivotField showAll="0"/>
    <pivotField showAll="0"/>
    <pivotField dataField="1" showAll="0"/>
    <pivotField dataField="1" showAll="0"/>
    <pivotField dataField="1"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h="1" x="31"/>
        <item x="27"/>
        <item x="28"/>
        <item x="29"/>
        <item x="30"/>
        <item t="default"/>
      </items>
    </pivotField>
  </pivotFields>
  <rowFields count="1">
    <field x="5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 Temp" fld="3" subtotal="average" baseField="5" baseItem="0"/>
    <dataField name="Average of B Temp" fld="4" subtotal="average" baseField="5" baseItem="0"/>
    <dataField name="Count of Station Name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I1:L33" firstHeaderRow="0" firstDataRow="1" firstDataCol="1"/>
  <pivotFields count="6">
    <pivotField showAll="0"/>
    <pivotField showAll="0"/>
    <pivotField dataField="1" showAll="0"/>
    <pivotField dataField="1" showAll="0"/>
    <pivotField dataField="1"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h="1" x="31"/>
        <item x="27"/>
        <item x="28"/>
        <item x="29"/>
        <item x="30"/>
        <item t="default"/>
      </items>
    </pivotField>
  </pivotFields>
  <rowFields count="1">
    <field x="5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 Temp" fld="3" subtotal="average" baseField="5" baseItem="0"/>
    <dataField name="Average of B Temp" fld="4" subtotal="average" baseField="5" baseItem="0"/>
    <dataField name="Count of Station Name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H1:K36" firstHeaderRow="0" firstDataRow="1" firstDataCol="1"/>
  <pivotFields count="6">
    <pivotField showAll="0"/>
    <pivotField showAll="0"/>
    <pivotField dataField="1" showAll="0"/>
    <pivotField dataField="1" showAll="0"/>
    <pivotField dataField="1"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4"/>
        <item x="30"/>
        <item x="31"/>
        <item x="32"/>
        <item x="33"/>
        <item t="default"/>
      </items>
    </pivotField>
  </pivotFields>
  <rowFields count="1">
    <field x="5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 Temp" fld="3" subtotal="average" baseField="5" baseItem="0"/>
    <dataField name="Average of B Temp" fld="4" subtotal="average" baseField="5" baseItem="0"/>
    <dataField name="Count of Station Name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9CA67-AF6C-4EED-B5AA-74BD51FE858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H1:K33" firstHeaderRow="0" firstDataRow="1" firstDataCol="1"/>
  <pivotFields count="6">
    <pivotField showAll="0"/>
    <pivotField showAll="0"/>
    <pivotField dataField="1" showAll="0"/>
    <pivotField dataField="1" showAll="0"/>
    <pivotField dataField="1"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h="1" x="31"/>
        <item x="27"/>
        <item x="28"/>
        <item x="29"/>
        <item x="30"/>
        <item t="default"/>
      </items>
    </pivotField>
  </pivotFields>
  <rowFields count="1">
    <field x="5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 Temp" fld="3" subtotal="average" baseField="5" baseItem="0"/>
    <dataField name="Average of B Temp" fld="4" subtotal="average" baseField="5" baseItem="0"/>
    <dataField name="Count of Station Name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000000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H1:K33" firstHeaderRow="0" firstDataRow="1" firstDataCol="1"/>
  <pivotFields count="6">
    <pivotField showAll="0"/>
    <pivotField showAll="0"/>
    <pivotField dataField="1" showAll="0"/>
    <pivotField dataField="1" showAll="0"/>
    <pivotField dataField="1"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h="1" x="31"/>
        <item x="27"/>
        <item x="28"/>
        <item x="29"/>
        <item x="30"/>
        <item t="default"/>
      </items>
    </pivotField>
  </pivotFields>
  <rowFields count="1">
    <field x="5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 Temp" fld="3" subtotal="average" baseField="5" baseItem="0"/>
    <dataField name="Average of B Temp" fld="4" subtotal="average" baseField="5" baseItem="0"/>
    <dataField name="Count of Station Name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000000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H1:K36" firstHeaderRow="0" firstDataRow="1" firstDataCol="1"/>
  <pivotFields count="6">
    <pivotField showAll="0"/>
    <pivotField showAll="0"/>
    <pivotField dataField="1" showAll="0"/>
    <pivotField dataField="1" showAll="0"/>
    <pivotField dataField="1"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4"/>
        <item x="30"/>
        <item x="31"/>
        <item x="32"/>
        <item x="33"/>
        <item t="default"/>
      </items>
    </pivotField>
  </pivotFields>
  <rowFields count="1">
    <field x="5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 Temp" fld="3" subtotal="average" baseField="5" baseItem="0"/>
    <dataField name="Average of B Temp" fld="4" subtotal="average" baseField="5" baseItem="0"/>
    <dataField name="Count of Station Name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9D21B-05DD-4B97-BD3A-8458268D93C2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39" firstHeaderRow="0" firstDataRow="1" firstDataCol="1"/>
  <pivotFields count="6">
    <pivotField showAll="0"/>
    <pivotField showAll="0"/>
    <pivotField showAll="0"/>
    <pivotField dataField="1" showAll="0"/>
    <pivotField dataField="1"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 count="1">
    <field x="5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 Temp" fld="4" subtotal="average" baseField="5" baseItem="0"/>
    <dataField name="Average of S Temp" fld="3" subtotal="average" baseField="5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000000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H1:K33" firstHeaderRow="0" firstDataRow="1" firstDataCol="1"/>
  <pivotFields count="6">
    <pivotField showAll="0"/>
    <pivotField showAll="0"/>
    <pivotField dataField="1" showAll="0"/>
    <pivotField dataField="1" showAll="0"/>
    <pivotField dataField="1"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h="1" x="31"/>
        <item x="27"/>
        <item x="28"/>
        <item x="29"/>
        <item x="30"/>
        <item t="default"/>
      </items>
    </pivotField>
  </pivotFields>
  <rowFields count="1">
    <field x="5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 Temp" fld="3" subtotal="average" baseField="5" baseItem="0"/>
    <dataField name="Average of B Temp" fld="4" subtotal="average" baseField="5" baseItem="0"/>
    <dataField name="Count of Station Name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0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H1:K33" firstHeaderRow="0" firstDataRow="1" firstDataCol="1"/>
  <pivotFields count="6">
    <pivotField showAll="0"/>
    <pivotField showAll="0"/>
    <pivotField dataField="1" showAll="0"/>
    <pivotField dataField="1" showAll="0"/>
    <pivotField dataField="1"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h="1" x="31"/>
        <item x="27"/>
        <item x="28"/>
        <item x="29"/>
        <item x="30"/>
        <item t="default"/>
      </items>
    </pivotField>
  </pivotFields>
  <rowFields count="1">
    <field x="5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 Temp" fld="3" subtotal="average" baseField="5" baseItem="0"/>
    <dataField name="Average of B Temp" fld="4" subtotal="average" baseField="5" baseItem="0"/>
    <dataField name="Count of Station Name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B2275-A9B2-4B01-B015-66A36C9F993D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J38" firstHeaderRow="0" firstDataRow="1" firstDataCol="1"/>
  <pivotFields count="6">
    <pivotField showAll="0"/>
    <pivotField showAll="0"/>
    <pivotField showAll="0"/>
    <pivotField dataField="1" showAll="0"/>
    <pivotField dataField="1"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 count="1">
    <field x="5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 Temp" fld="4" subtotal="average" baseField="5" baseItem="0"/>
    <dataField name="Average of S Temp" fld="3" subtotal="average" baseField="5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7"/>
  <sheetViews>
    <sheetView workbookViewId="0">
      <selection activeCell="G26" sqref="G26"/>
    </sheetView>
  </sheetViews>
  <sheetFormatPr defaultRowHeight="14.4" x14ac:dyDescent="0.3"/>
  <cols>
    <col min="1" max="1" width="10.44140625" style="20" bestFit="1" customWidth="1"/>
    <col min="2" max="2" width="13.109375" style="20" bestFit="1" customWidth="1"/>
    <col min="3" max="4" width="13.109375" style="21" bestFit="1" customWidth="1"/>
    <col min="6" max="6" width="14.109375" style="20" bestFit="1" customWidth="1"/>
    <col min="7" max="8" width="13.109375" style="22" bestFit="1" customWidth="1"/>
    <col min="9" max="9" width="30.6640625" style="25" bestFit="1" customWidth="1"/>
    <col min="10" max="10" width="26.5546875" bestFit="1" customWidth="1"/>
  </cols>
  <sheetData>
    <row r="1" spans="1:10" x14ac:dyDescent="0.3">
      <c r="A1" s="20" t="s">
        <v>1</v>
      </c>
      <c r="B1" s="20" t="s">
        <v>2</v>
      </c>
      <c r="C1" s="21" t="s">
        <v>37</v>
      </c>
      <c r="D1" s="21" t="s">
        <v>38</v>
      </c>
      <c r="F1" s="20" t="s">
        <v>2</v>
      </c>
      <c r="G1" s="22" t="s">
        <v>37</v>
      </c>
      <c r="H1" s="22" t="s">
        <v>38</v>
      </c>
      <c r="I1" s="25" t="s">
        <v>487</v>
      </c>
      <c r="J1" t="s">
        <v>483</v>
      </c>
    </row>
    <row r="2" spans="1:10" x14ac:dyDescent="0.3">
      <c r="A2" s="20" t="s">
        <v>6</v>
      </c>
      <c r="B2" s="20" t="s">
        <v>28</v>
      </c>
      <c r="C2" s="21">
        <v>5.65</v>
      </c>
      <c r="D2" s="21">
        <v>5.61</v>
      </c>
      <c r="F2" s="20" t="s">
        <v>28</v>
      </c>
      <c r="G2" s="22">
        <f>AVERAGE(C2:C16)</f>
        <v>12.950666666666669</v>
      </c>
      <c r="H2" s="22">
        <f>AVERAGE(D2:D16)</f>
        <v>13.524666666666667</v>
      </c>
      <c r="I2" s="25">
        <f>COUNT(C2:C16)</f>
        <v>15</v>
      </c>
    </row>
    <row r="3" spans="1:10" x14ac:dyDescent="0.3">
      <c r="A3" s="20" t="s">
        <v>7</v>
      </c>
      <c r="B3" s="20" t="s">
        <v>28</v>
      </c>
      <c r="C3" s="21">
        <v>2.16</v>
      </c>
      <c r="D3" s="21">
        <v>2.2000000000000002</v>
      </c>
      <c r="F3" s="20" t="s">
        <v>34</v>
      </c>
      <c r="G3" s="22">
        <f>AVERAGE(C17:C30)</f>
        <v>13.894285714285713</v>
      </c>
      <c r="H3" s="22">
        <f>AVERAGE(D17:D30)</f>
        <v>15.289285714285715</v>
      </c>
      <c r="I3" s="25">
        <f>COUNT(C17:C30)</f>
        <v>14</v>
      </c>
    </row>
    <row r="4" spans="1:10" x14ac:dyDescent="0.3">
      <c r="A4" s="20" t="s">
        <v>8</v>
      </c>
      <c r="B4" s="20" t="s">
        <v>28</v>
      </c>
      <c r="C4" s="21">
        <v>1.63</v>
      </c>
      <c r="D4" s="21">
        <v>1.62</v>
      </c>
      <c r="F4" s="20" t="s">
        <v>30</v>
      </c>
      <c r="G4" s="22">
        <f>AVERAGE(C31:C45)</f>
        <v>12.783333333333333</v>
      </c>
      <c r="H4" s="22">
        <f>AVERAGE(D31:D45)</f>
        <v>14.009333333333332</v>
      </c>
      <c r="I4" s="25">
        <f>COUNT(C31:C45)</f>
        <v>15</v>
      </c>
    </row>
    <row r="5" spans="1:10" x14ac:dyDescent="0.3">
      <c r="A5" s="20" t="s">
        <v>9</v>
      </c>
      <c r="B5" s="20" t="s">
        <v>28</v>
      </c>
      <c r="C5" s="21">
        <v>1.85</v>
      </c>
      <c r="D5" s="21">
        <v>1.65</v>
      </c>
      <c r="F5" s="20" t="s">
        <v>29</v>
      </c>
      <c r="G5" s="22">
        <v>12.633999999999999</v>
      </c>
      <c r="H5" s="22">
        <v>14.231999999999999</v>
      </c>
      <c r="I5" s="25">
        <v>15</v>
      </c>
    </row>
    <row r="6" spans="1:10" x14ac:dyDescent="0.3">
      <c r="A6" s="20" t="s">
        <v>10</v>
      </c>
      <c r="B6" s="20" t="s">
        <v>28</v>
      </c>
      <c r="C6" s="21">
        <v>5</v>
      </c>
      <c r="D6" s="21">
        <v>5.03</v>
      </c>
      <c r="F6" s="20" t="s">
        <v>26</v>
      </c>
      <c r="G6" s="22">
        <v>12.507333333333333</v>
      </c>
      <c r="H6" s="22">
        <v>14.337999999999999</v>
      </c>
      <c r="I6" s="25">
        <v>15</v>
      </c>
    </row>
    <row r="7" spans="1:10" x14ac:dyDescent="0.3">
      <c r="A7" s="20" t="s">
        <v>11</v>
      </c>
      <c r="B7" s="20" t="s">
        <v>28</v>
      </c>
      <c r="C7" s="21">
        <v>10.55</v>
      </c>
      <c r="D7" s="21">
        <v>11.56</v>
      </c>
      <c r="F7" s="20" t="s">
        <v>27</v>
      </c>
      <c r="G7" s="22">
        <v>12.339333333333336</v>
      </c>
      <c r="H7" s="22">
        <v>14.141333333333332</v>
      </c>
      <c r="I7" s="25">
        <v>15</v>
      </c>
    </row>
    <row r="8" spans="1:10" x14ac:dyDescent="0.3">
      <c r="A8" s="20" t="s">
        <v>12</v>
      </c>
      <c r="B8" s="20" t="s">
        <v>28</v>
      </c>
      <c r="C8" s="21">
        <v>14.51</v>
      </c>
      <c r="D8" s="21">
        <v>15.15</v>
      </c>
      <c r="F8" s="20" t="s">
        <v>35</v>
      </c>
      <c r="G8" s="22">
        <v>12.325333333333333</v>
      </c>
      <c r="H8" s="22">
        <v>14.168000000000001</v>
      </c>
      <c r="I8" s="25">
        <v>15</v>
      </c>
    </row>
    <row r="9" spans="1:10" x14ac:dyDescent="0.3">
      <c r="A9" s="20" t="s">
        <v>13</v>
      </c>
      <c r="B9" s="20" t="s">
        <v>28</v>
      </c>
      <c r="C9" s="21">
        <v>16.41</v>
      </c>
      <c r="D9" s="21">
        <v>16.559999999999999</v>
      </c>
      <c r="F9" s="20" t="s">
        <v>31</v>
      </c>
      <c r="G9" s="22">
        <v>12.940714285714284</v>
      </c>
      <c r="H9" s="22">
        <v>15.074285714285711</v>
      </c>
      <c r="I9" s="25">
        <v>14</v>
      </c>
    </row>
    <row r="10" spans="1:10" x14ac:dyDescent="0.3">
      <c r="A10" s="20" t="s">
        <v>14</v>
      </c>
      <c r="B10" s="20" t="s">
        <v>28</v>
      </c>
      <c r="C10" s="21">
        <v>15.45</v>
      </c>
      <c r="D10" s="21">
        <v>16.32</v>
      </c>
      <c r="F10" s="20" t="s">
        <v>32</v>
      </c>
      <c r="G10" s="22">
        <v>13.302142857142858</v>
      </c>
      <c r="H10" s="22">
        <v>14.797142857142855</v>
      </c>
      <c r="I10" s="25">
        <v>14</v>
      </c>
    </row>
    <row r="11" spans="1:10" x14ac:dyDescent="0.3">
      <c r="A11" s="20" t="s">
        <v>15</v>
      </c>
      <c r="B11" s="20" t="s">
        <v>28</v>
      </c>
      <c r="C11" s="21">
        <v>17.16</v>
      </c>
      <c r="D11" s="21">
        <v>19.3</v>
      </c>
      <c r="F11" s="20" t="s">
        <v>33</v>
      </c>
      <c r="G11" s="22">
        <v>12.409999999999998</v>
      </c>
      <c r="H11" s="22">
        <v>14.442307692307692</v>
      </c>
      <c r="I11" s="25">
        <v>13</v>
      </c>
    </row>
    <row r="12" spans="1:10" x14ac:dyDescent="0.3">
      <c r="A12" s="20" t="s">
        <v>16</v>
      </c>
      <c r="B12" s="20" t="s">
        <v>28</v>
      </c>
      <c r="C12" s="21">
        <v>18.239999999999998</v>
      </c>
      <c r="D12" s="21">
        <v>21.77</v>
      </c>
      <c r="F12" s="20" t="s">
        <v>25</v>
      </c>
      <c r="G12" s="22">
        <v>12.909999999999998</v>
      </c>
      <c r="H12" s="22">
        <v>14.370833333333335</v>
      </c>
      <c r="I12" s="25">
        <v>12</v>
      </c>
    </row>
    <row r="13" spans="1:10" x14ac:dyDescent="0.3">
      <c r="A13" s="20" t="s">
        <v>17</v>
      </c>
      <c r="B13" s="20" t="s">
        <v>28</v>
      </c>
      <c r="C13" s="21">
        <v>20.52</v>
      </c>
      <c r="D13" s="21">
        <v>20.97</v>
      </c>
      <c r="F13" s="20" t="s">
        <v>36</v>
      </c>
      <c r="G13" s="22">
        <v>12.748333333333333</v>
      </c>
      <c r="H13" s="22">
        <v>14.611666666666666</v>
      </c>
      <c r="I13" s="25">
        <v>12</v>
      </c>
    </row>
    <row r="14" spans="1:10" x14ac:dyDescent="0.3">
      <c r="A14" s="20" t="s">
        <v>18</v>
      </c>
      <c r="B14" s="20" t="s">
        <v>28</v>
      </c>
      <c r="C14" s="21">
        <v>22.52</v>
      </c>
      <c r="D14" s="21">
        <v>22.53</v>
      </c>
      <c r="F14" s="20" t="s">
        <v>24</v>
      </c>
      <c r="G14" s="22">
        <v>12.43</v>
      </c>
      <c r="H14" s="22">
        <v>14.726666666666667</v>
      </c>
      <c r="I14" s="25">
        <v>12</v>
      </c>
    </row>
    <row r="15" spans="1:10" x14ac:dyDescent="0.3">
      <c r="A15" s="20" t="s">
        <v>19</v>
      </c>
      <c r="B15" s="20" t="s">
        <v>28</v>
      </c>
      <c r="C15" s="21">
        <v>21.62</v>
      </c>
      <c r="D15" s="21">
        <v>21.61</v>
      </c>
      <c r="F15" s="20" t="s">
        <v>23</v>
      </c>
      <c r="G15" s="22">
        <v>13.165000000000001</v>
      </c>
      <c r="H15" s="22">
        <v>14.446666666666667</v>
      </c>
      <c r="I15" s="25">
        <v>12</v>
      </c>
    </row>
    <row r="16" spans="1:10" x14ac:dyDescent="0.3">
      <c r="A16" s="20" t="s">
        <v>39</v>
      </c>
      <c r="B16" s="20" t="s">
        <v>28</v>
      </c>
      <c r="C16" s="21">
        <v>20.99</v>
      </c>
      <c r="D16" s="21">
        <v>20.99</v>
      </c>
      <c r="F16" s="20" t="s">
        <v>22</v>
      </c>
      <c r="G16" s="22">
        <v>13.376666666666667</v>
      </c>
      <c r="H16" s="22">
        <v>13.88</v>
      </c>
      <c r="I16" s="25">
        <v>12</v>
      </c>
    </row>
    <row r="17" spans="1:9" x14ac:dyDescent="0.3">
      <c r="A17" s="20" t="s">
        <v>6</v>
      </c>
      <c r="B17" s="20" t="s">
        <v>34</v>
      </c>
      <c r="C17" s="21">
        <v>5.13</v>
      </c>
      <c r="D17" s="21">
        <v>5.1100000000000003</v>
      </c>
      <c r="F17" s="20" t="s">
        <v>21</v>
      </c>
      <c r="G17" s="22">
        <v>12.12</v>
      </c>
      <c r="H17" s="22">
        <v>12.845454545454546</v>
      </c>
      <c r="I17" s="25">
        <v>11</v>
      </c>
    </row>
    <row r="18" spans="1:9" x14ac:dyDescent="0.3">
      <c r="A18" s="20" t="s">
        <v>7</v>
      </c>
      <c r="B18" s="20" t="s">
        <v>34</v>
      </c>
      <c r="C18" s="21">
        <v>1.48</v>
      </c>
      <c r="D18" s="21">
        <v>1.86</v>
      </c>
      <c r="F18" s="20" t="s">
        <v>20</v>
      </c>
      <c r="G18" s="22">
        <v>10.989000000000001</v>
      </c>
      <c r="H18" s="22">
        <v>11.564</v>
      </c>
      <c r="I18" s="25">
        <v>10</v>
      </c>
    </row>
    <row r="19" spans="1:9" x14ac:dyDescent="0.3">
      <c r="A19" s="20" t="s">
        <v>9</v>
      </c>
      <c r="B19" s="20" t="s">
        <v>34</v>
      </c>
      <c r="C19" s="21">
        <v>1.35</v>
      </c>
      <c r="D19" s="21">
        <v>1.37</v>
      </c>
      <c r="F19" s="23" t="s">
        <v>485</v>
      </c>
      <c r="G19" s="24">
        <f>SUMPRODUCT(G2:G18,I2:I18)/SUM(I2:I18)</f>
        <v>12.721769911504424</v>
      </c>
      <c r="H19" s="24">
        <f>SUMPRODUCT(H2:H18,I2:I18)/SUM(I2:I18)</f>
        <v>14.192787610619467</v>
      </c>
      <c r="I19" s="25" t="s">
        <v>486</v>
      </c>
    </row>
    <row r="20" spans="1:9" x14ac:dyDescent="0.3">
      <c r="A20" s="20" t="s">
        <v>10</v>
      </c>
      <c r="B20" s="20" t="s">
        <v>34</v>
      </c>
      <c r="C20" s="21">
        <v>5.0999999999999996</v>
      </c>
      <c r="D20" s="21">
        <v>5.16</v>
      </c>
    </row>
    <row r="21" spans="1:9" x14ac:dyDescent="0.3">
      <c r="A21" s="20" t="s">
        <v>11</v>
      </c>
      <c r="B21" s="20" t="s">
        <v>34</v>
      </c>
      <c r="C21" s="21">
        <v>10.44</v>
      </c>
      <c r="D21" s="21">
        <v>10.96</v>
      </c>
    </row>
    <row r="22" spans="1:9" x14ac:dyDescent="0.3">
      <c r="A22" s="20" t="s">
        <v>12</v>
      </c>
      <c r="B22" s="20" t="s">
        <v>34</v>
      </c>
      <c r="C22" s="21">
        <v>12.75</v>
      </c>
      <c r="D22" s="21">
        <v>15.18</v>
      </c>
    </row>
    <row r="23" spans="1:9" x14ac:dyDescent="0.3">
      <c r="A23" s="20" t="s">
        <v>13</v>
      </c>
      <c r="B23" s="20" t="s">
        <v>34</v>
      </c>
      <c r="C23" s="21">
        <v>15.71</v>
      </c>
      <c r="D23" s="21">
        <v>16.600000000000001</v>
      </c>
      <c r="F23" s="20" t="s">
        <v>501</v>
      </c>
    </row>
    <row r="24" spans="1:9" x14ac:dyDescent="0.3">
      <c r="A24" s="20" t="s">
        <v>14</v>
      </c>
      <c r="B24" s="20" t="s">
        <v>34</v>
      </c>
      <c r="C24" s="21">
        <v>15.95</v>
      </c>
      <c r="D24" s="21">
        <v>22.15</v>
      </c>
    </row>
    <row r="25" spans="1:9" x14ac:dyDescent="0.3">
      <c r="A25" s="20" t="s">
        <v>15</v>
      </c>
      <c r="B25" s="20" t="s">
        <v>34</v>
      </c>
      <c r="C25" s="21">
        <v>18.12</v>
      </c>
      <c r="D25" s="21">
        <v>23.35</v>
      </c>
    </row>
    <row r="26" spans="1:9" x14ac:dyDescent="0.3">
      <c r="A26" s="20" t="s">
        <v>16</v>
      </c>
      <c r="B26" s="20" t="s">
        <v>34</v>
      </c>
      <c r="C26" s="21">
        <v>20.02</v>
      </c>
      <c r="D26" s="21">
        <v>23.13</v>
      </c>
    </row>
    <row r="27" spans="1:9" x14ac:dyDescent="0.3">
      <c r="A27" s="20" t="s">
        <v>17</v>
      </c>
      <c r="B27" s="20" t="s">
        <v>34</v>
      </c>
      <c r="C27" s="21">
        <v>22.96</v>
      </c>
      <c r="D27" s="21">
        <v>23.19</v>
      </c>
    </row>
    <row r="28" spans="1:9" x14ac:dyDescent="0.3">
      <c r="A28" s="20" t="s">
        <v>18</v>
      </c>
      <c r="B28" s="20" t="s">
        <v>34</v>
      </c>
      <c r="C28" s="21">
        <v>22.28</v>
      </c>
      <c r="D28" s="21">
        <v>22.61</v>
      </c>
    </row>
    <row r="29" spans="1:9" x14ac:dyDescent="0.3">
      <c r="A29" s="20" t="s">
        <v>19</v>
      </c>
      <c r="B29" s="20" t="s">
        <v>34</v>
      </c>
      <c r="C29" s="21">
        <v>21.85</v>
      </c>
      <c r="D29" s="21">
        <v>21.97</v>
      </c>
    </row>
    <row r="30" spans="1:9" x14ac:dyDescent="0.3">
      <c r="A30" s="20" t="s">
        <v>39</v>
      </c>
      <c r="B30" s="20" t="s">
        <v>34</v>
      </c>
      <c r="C30" s="21">
        <v>21.38</v>
      </c>
      <c r="D30" s="21">
        <v>21.41</v>
      </c>
    </row>
    <row r="31" spans="1:9" x14ac:dyDescent="0.3">
      <c r="A31" s="20" t="s">
        <v>6</v>
      </c>
      <c r="B31" s="20" t="s">
        <v>30</v>
      </c>
      <c r="C31" s="21">
        <v>5.59</v>
      </c>
      <c r="D31" s="21">
        <v>5.42</v>
      </c>
    </row>
    <row r="32" spans="1:9" x14ac:dyDescent="0.3">
      <c r="A32" s="20" t="s">
        <v>7</v>
      </c>
      <c r="B32" s="20" t="s">
        <v>30</v>
      </c>
      <c r="C32" s="21">
        <v>1.45</v>
      </c>
      <c r="D32" s="21">
        <v>1.44</v>
      </c>
    </row>
    <row r="33" spans="1:9" x14ac:dyDescent="0.3">
      <c r="A33" s="20" t="s">
        <v>8</v>
      </c>
      <c r="B33" s="20" t="s">
        <v>30</v>
      </c>
      <c r="C33" s="21">
        <v>1.61</v>
      </c>
      <c r="D33" s="21">
        <v>1.65</v>
      </c>
    </row>
    <row r="34" spans="1:9" x14ac:dyDescent="0.3">
      <c r="A34" s="20" t="s">
        <v>9</v>
      </c>
      <c r="B34" s="20" t="s">
        <v>30</v>
      </c>
      <c r="C34" s="21">
        <v>1.78</v>
      </c>
      <c r="D34" s="21">
        <v>1.82</v>
      </c>
    </row>
    <row r="35" spans="1:9" x14ac:dyDescent="0.3">
      <c r="A35" s="20" t="s">
        <v>10</v>
      </c>
      <c r="B35" s="20" t="s">
        <v>30</v>
      </c>
      <c r="C35" s="21">
        <v>4.25</v>
      </c>
      <c r="D35" s="21">
        <v>5.36</v>
      </c>
    </row>
    <row r="36" spans="1:9" x14ac:dyDescent="0.3">
      <c r="A36" s="20" t="s">
        <v>11</v>
      </c>
      <c r="B36" s="20" t="s">
        <v>30</v>
      </c>
      <c r="C36" s="21">
        <v>11.23</v>
      </c>
      <c r="D36" s="21">
        <v>11.99</v>
      </c>
    </row>
    <row r="37" spans="1:9" x14ac:dyDescent="0.3">
      <c r="A37" s="20" t="s">
        <v>12</v>
      </c>
      <c r="B37" s="20" t="s">
        <v>30</v>
      </c>
      <c r="C37" s="21">
        <v>11.83</v>
      </c>
      <c r="D37" s="21">
        <v>15.52</v>
      </c>
    </row>
    <row r="38" spans="1:9" x14ac:dyDescent="0.3">
      <c r="A38" s="20" t="s">
        <v>13</v>
      </c>
      <c r="B38" s="20" t="s">
        <v>30</v>
      </c>
      <c r="C38" s="21">
        <v>16.010000000000002</v>
      </c>
      <c r="D38" s="21">
        <v>17.100000000000001</v>
      </c>
    </row>
    <row r="39" spans="1:9" x14ac:dyDescent="0.3">
      <c r="A39" s="20" t="s">
        <v>14</v>
      </c>
      <c r="B39" s="20" t="s">
        <v>30</v>
      </c>
      <c r="C39" s="21">
        <v>15.27</v>
      </c>
      <c r="D39" s="21">
        <v>17.82</v>
      </c>
    </row>
    <row r="40" spans="1:9" x14ac:dyDescent="0.3">
      <c r="A40" s="20" t="s">
        <v>15</v>
      </c>
      <c r="B40" s="20" t="s">
        <v>30</v>
      </c>
      <c r="C40" s="21">
        <v>17.350000000000001</v>
      </c>
      <c r="D40" s="21">
        <v>20.34</v>
      </c>
    </row>
    <row r="41" spans="1:9" x14ac:dyDescent="0.3">
      <c r="A41" s="20" t="s">
        <v>16</v>
      </c>
      <c r="B41" s="20" t="s">
        <v>30</v>
      </c>
      <c r="C41" s="21">
        <v>18.559999999999999</v>
      </c>
      <c r="D41" s="21">
        <v>23.1</v>
      </c>
    </row>
    <row r="42" spans="1:9" x14ac:dyDescent="0.3">
      <c r="A42" s="20" t="s">
        <v>17</v>
      </c>
      <c r="B42" s="20" t="s">
        <v>30</v>
      </c>
      <c r="C42" s="21">
        <v>20.59</v>
      </c>
      <c r="D42" s="21">
        <v>22.25</v>
      </c>
    </row>
    <row r="43" spans="1:9" x14ac:dyDescent="0.3">
      <c r="A43" s="20" t="s">
        <v>18</v>
      </c>
      <c r="B43" s="20" t="s">
        <v>30</v>
      </c>
      <c r="C43" s="21">
        <v>22.81</v>
      </c>
      <c r="D43" s="21">
        <v>22.88</v>
      </c>
    </row>
    <row r="44" spans="1:9" x14ac:dyDescent="0.3">
      <c r="A44" s="20" t="s">
        <v>19</v>
      </c>
      <c r="B44" s="20" t="s">
        <v>30</v>
      </c>
      <c r="C44" s="21">
        <v>22.19</v>
      </c>
      <c r="D44" s="21">
        <v>22.2</v>
      </c>
    </row>
    <row r="45" spans="1:9" x14ac:dyDescent="0.3">
      <c r="A45" s="20" t="s">
        <v>39</v>
      </c>
      <c r="B45" s="20" t="s">
        <v>30</v>
      </c>
      <c r="C45" s="21">
        <v>21.23</v>
      </c>
      <c r="D45" s="21">
        <v>21.25</v>
      </c>
      <c r="F45" s="20" t="s">
        <v>29</v>
      </c>
      <c r="G45" s="22">
        <f>AVERAGE(C46:C60)</f>
        <v>12.633999999999999</v>
      </c>
      <c r="H45" s="22">
        <f>AVERAGE(D46:D60)</f>
        <v>14.231999999999999</v>
      </c>
      <c r="I45" s="25">
        <f>COUNT(D46:D60)</f>
        <v>15</v>
      </c>
    </row>
    <row r="46" spans="1:9" x14ac:dyDescent="0.3">
      <c r="A46" s="20" t="s">
        <v>6</v>
      </c>
      <c r="B46" s="20" t="s">
        <v>29</v>
      </c>
      <c r="C46" s="21">
        <v>5.54</v>
      </c>
      <c r="D46" s="21">
        <v>5.34</v>
      </c>
    </row>
    <row r="47" spans="1:9" x14ac:dyDescent="0.3">
      <c r="A47" s="20" t="s">
        <v>7</v>
      </c>
      <c r="B47" s="20" t="s">
        <v>29</v>
      </c>
      <c r="C47" s="21">
        <v>1.75</v>
      </c>
      <c r="D47" s="21">
        <v>1.85</v>
      </c>
    </row>
    <row r="48" spans="1:9" x14ac:dyDescent="0.3">
      <c r="A48" s="20" t="s">
        <v>8</v>
      </c>
      <c r="B48" s="20" t="s">
        <v>29</v>
      </c>
      <c r="C48" s="21">
        <v>1.64</v>
      </c>
      <c r="D48" s="21">
        <v>1.75</v>
      </c>
    </row>
    <row r="49" spans="1:9" x14ac:dyDescent="0.3">
      <c r="A49" s="20" t="s">
        <v>9</v>
      </c>
      <c r="B49" s="20" t="s">
        <v>29</v>
      </c>
      <c r="C49" s="21">
        <v>1.73</v>
      </c>
      <c r="D49" s="21">
        <v>1.88</v>
      </c>
    </row>
    <row r="50" spans="1:9" x14ac:dyDescent="0.3">
      <c r="A50" s="20" t="s">
        <v>10</v>
      </c>
      <c r="B50" s="20" t="s">
        <v>29</v>
      </c>
      <c r="C50" s="21">
        <v>4.24</v>
      </c>
      <c r="D50" s="21">
        <v>5.43</v>
      </c>
    </row>
    <row r="51" spans="1:9" x14ac:dyDescent="0.3">
      <c r="A51" s="20" t="s">
        <v>11</v>
      </c>
      <c r="B51" s="20" t="s">
        <v>29</v>
      </c>
      <c r="C51" s="21">
        <v>10.87</v>
      </c>
      <c r="D51" s="21">
        <v>12.27</v>
      </c>
    </row>
    <row r="52" spans="1:9" x14ac:dyDescent="0.3">
      <c r="A52" s="20" t="s">
        <v>12</v>
      </c>
      <c r="B52" s="20" t="s">
        <v>29</v>
      </c>
      <c r="C52" s="21">
        <v>11.28</v>
      </c>
      <c r="D52" s="21">
        <v>15.31</v>
      </c>
    </row>
    <row r="53" spans="1:9" x14ac:dyDescent="0.3">
      <c r="A53" s="20" t="s">
        <v>13</v>
      </c>
      <c r="B53" s="20" t="s">
        <v>29</v>
      </c>
      <c r="C53" s="21">
        <v>16.48</v>
      </c>
      <c r="D53" s="21">
        <v>16.95</v>
      </c>
    </row>
    <row r="54" spans="1:9" x14ac:dyDescent="0.3">
      <c r="A54" s="20" t="s">
        <v>14</v>
      </c>
      <c r="B54" s="20" t="s">
        <v>29</v>
      </c>
      <c r="C54" s="21">
        <v>14.54</v>
      </c>
      <c r="D54" s="21">
        <v>19.29</v>
      </c>
    </row>
    <row r="55" spans="1:9" x14ac:dyDescent="0.3">
      <c r="A55" s="20" t="s">
        <v>15</v>
      </c>
      <c r="B55" s="20" t="s">
        <v>29</v>
      </c>
      <c r="C55" s="21">
        <v>17.25</v>
      </c>
      <c r="D55" s="21">
        <v>20.77</v>
      </c>
    </row>
    <row r="56" spans="1:9" x14ac:dyDescent="0.3">
      <c r="A56" s="20" t="s">
        <v>16</v>
      </c>
      <c r="B56" s="20" t="s">
        <v>29</v>
      </c>
      <c r="C56" s="21">
        <v>18.260000000000002</v>
      </c>
      <c r="D56" s="21">
        <v>23.22</v>
      </c>
    </row>
    <row r="57" spans="1:9" x14ac:dyDescent="0.3">
      <c r="A57" s="20" t="s">
        <v>17</v>
      </c>
      <c r="B57" s="20" t="s">
        <v>29</v>
      </c>
      <c r="C57" s="21">
        <v>20.25</v>
      </c>
      <c r="D57" s="21">
        <v>23.34</v>
      </c>
    </row>
    <row r="58" spans="1:9" x14ac:dyDescent="0.3">
      <c r="A58" s="20" t="s">
        <v>18</v>
      </c>
      <c r="B58" s="20" t="s">
        <v>29</v>
      </c>
      <c r="C58" s="21">
        <v>22.29</v>
      </c>
      <c r="D58" s="21">
        <v>22.69</v>
      </c>
    </row>
    <row r="59" spans="1:9" x14ac:dyDescent="0.3">
      <c r="A59" s="20" t="s">
        <v>19</v>
      </c>
      <c r="B59" s="20" t="s">
        <v>29</v>
      </c>
      <c r="C59" s="21">
        <v>22.08</v>
      </c>
      <c r="D59" s="21">
        <v>22.15</v>
      </c>
    </row>
    <row r="60" spans="1:9" x14ac:dyDescent="0.3">
      <c r="A60" s="20" t="s">
        <v>39</v>
      </c>
      <c r="B60" s="20" t="s">
        <v>29</v>
      </c>
      <c r="C60" s="21">
        <v>21.31</v>
      </c>
      <c r="D60" s="21">
        <v>21.24</v>
      </c>
      <c r="F60" s="20" t="s">
        <v>26</v>
      </c>
      <c r="G60" s="22">
        <f>AVERAGE(C61:C75)</f>
        <v>12.507333333333333</v>
      </c>
      <c r="H60" s="22">
        <f>AVERAGE(D61:D75)</f>
        <v>14.337999999999999</v>
      </c>
      <c r="I60" s="25">
        <f>COUNT(D61:D75)</f>
        <v>15</v>
      </c>
    </row>
    <row r="61" spans="1:9" x14ac:dyDescent="0.3">
      <c r="A61" s="20" t="s">
        <v>6</v>
      </c>
      <c r="B61" s="20" t="s">
        <v>26</v>
      </c>
      <c r="C61" s="21">
        <v>5.68</v>
      </c>
      <c r="D61" s="21">
        <v>5.49</v>
      </c>
    </row>
    <row r="62" spans="1:9" x14ac:dyDescent="0.3">
      <c r="A62" s="20" t="s">
        <v>7</v>
      </c>
      <c r="B62" s="20" t="s">
        <v>26</v>
      </c>
      <c r="C62" s="21">
        <v>1.77</v>
      </c>
      <c r="D62" s="21">
        <v>1.67</v>
      </c>
    </row>
    <row r="63" spans="1:9" x14ac:dyDescent="0.3">
      <c r="A63" s="20" t="s">
        <v>8</v>
      </c>
      <c r="B63" s="20" t="s">
        <v>26</v>
      </c>
      <c r="C63" s="21">
        <v>1.76</v>
      </c>
      <c r="D63" s="21">
        <v>1.86</v>
      </c>
    </row>
    <row r="64" spans="1:9" x14ac:dyDescent="0.3">
      <c r="A64" s="20" t="s">
        <v>9</v>
      </c>
      <c r="B64" s="20" t="s">
        <v>26</v>
      </c>
      <c r="C64" s="21">
        <v>1.73</v>
      </c>
      <c r="D64" s="21">
        <v>1.89</v>
      </c>
    </row>
    <row r="65" spans="1:9" x14ac:dyDescent="0.3">
      <c r="A65" s="20" t="s">
        <v>10</v>
      </c>
      <c r="B65" s="20" t="s">
        <v>26</v>
      </c>
      <c r="C65" s="21">
        <v>3.95</v>
      </c>
      <c r="D65" s="21">
        <v>5.63</v>
      </c>
    </row>
    <row r="66" spans="1:9" x14ac:dyDescent="0.3">
      <c r="A66" s="20" t="s">
        <v>11</v>
      </c>
      <c r="B66" s="20" t="s">
        <v>26</v>
      </c>
      <c r="C66" s="21">
        <v>10.33</v>
      </c>
      <c r="D66" s="21">
        <v>11.46</v>
      </c>
    </row>
    <row r="67" spans="1:9" x14ac:dyDescent="0.3">
      <c r="A67" s="20" t="s">
        <v>12</v>
      </c>
      <c r="B67" s="20" t="s">
        <v>26</v>
      </c>
      <c r="C67" s="21">
        <v>11.87</v>
      </c>
      <c r="D67" s="21">
        <v>15.52</v>
      </c>
    </row>
    <row r="68" spans="1:9" x14ac:dyDescent="0.3">
      <c r="A68" s="20" t="s">
        <v>13</v>
      </c>
      <c r="B68" s="20" t="s">
        <v>26</v>
      </c>
      <c r="C68" s="21">
        <v>14.08</v>
      </c>
      <c r="D68" s="21">
        <v>16.760000000000002</v>
      </c>
    </row>
    <row r="69" spans="1:9" x14ac:dyDescent="0.3">
      <c r="A69" s="20" t="s">
        <v>14</v>
      </c>
      <c r="B69" s="20" t="s">
        <v>26</v>
      </c>
      <c r="C69" s="21">
        <v>14.76</v>
      </c>
      <c r="D69" s="21">
        <v>20.18</v>
      </c>
    </row>
    <row r="70" spans="1:9" x14ac:dyDescent="0.3">
      <c r="A70" s="20" t="s">
        <v>15</v>
      </c>
      <c r="B70" s="20" t="s">
        <v>26</v>
      </c>
      <c r="C70" s="21">
        <v>17.36</v>
      </c>
      <c r="D70" s="21">
        <v>22.36</v>
      </c>
    </row>
    <row r="71" spans="1:9" x14ac:dyDescent="0.3">
      <c r="A71" s="20" t="s">
        <v>16</v>
      </c>
      <c r="B71" s="20" t="s">
        <v>26</v>
      </c>
      <c r="C71" s="21">
        <v>18.21</v>
      </c>
      <c r="D71" s="21">
        <v>23.33</v>
      </c>
    </row>
    <row r="72" spans="1:9" x14ac:dyDescent="0.3">
      <c r="A72" s="20" t="s">
        <v>17</v>
      </c>
      <c r="B72" s="20" t="s">
        <v>26</v>
      </c>
      <c r="C72" s="21">
        <v>20.47</v>
      </c>
      <c r="D72" s="21">
        <v>22.91</v>
      </c>
    </row>
    <row r="73" spans="1:9" x14ac:dyDescent="0.3">
      <c r="A73" s="20" t="s">
        <v>18</v>
      </c>
      <c r="B73" s="20" t="s">
        <v>26</v>
      </c>
      <c r="C73" s="21">
        <v>22.34</v>
      </c>
      <c r="D73" s="21">
        <v>22.57</v>
      </c>
    </row>
    <row r="74" spans="1:9" x14ac:dyDescent="0.3">
      <c r="A74" s="20" t="s">
        <v>19</v>
      </c>
      <c r="B74" s="20" t="s">
        <v>26</v>
      </c>
      <c r="C74" s="21">
        <v>21.91</v>
      </c>
      <c r="D74" s="21">
        <v>21.99</v>
      </c>
    </row>
    <row r="75" spans="1:9" x14ac:dyDescent="0.3">
      <c r="A75" s="20" t="s">
        <v>39</v>
      </c>
      <c r="B75" s="20" t="s">
        <v>26</v>
      </c>
      <c r="C75" s="21">
        <v>21.39</v>
      </c>
      <c r="D75" s="21">
        <v>21.45</v>
      </c>
      <c r="F75" s="20" t="s">
        <v>27</v>
      </c>
      <c r="G75" s="22">
        <f>AVERAGE(C76:C90)</f>
        <v>12.339333333333336</v>
      </c>
      <c r="H75" s="22">
        <f>AVERAGE(D76:D90)</f>
        <v>14.141333333333332</v>
      </c>
      <c r="I75" s="25">
        <f>COUNT(D76:D90)</f>
        <v>15</v>
      </c>
    </row>
    <row r="76" spans="1:9" x14ac:dyDescent="0.3">
      <c r="A76" s="20" t="s">
        <v>6</v>
      </c>
      <c r="B76" s="20" t="s">
        <v>27</v>
      </c>
      <c r="C76" s="21">
        <v>5.85</v>
      </c>
      <c r="D76" s="21">
        <v>5.38</v>
      </c>
    </row>
    <row r="77" spans="1:9" x14ac:dyDescent="0.3">
      <c r="A77" s="20" t="s">
        <v>7</v>
      </c>
      <c r="B77" s="20" t="s">
        <v>27</v>
      </c>
      <c r="C77" s="21">
        <v>1.9</v>
      </c>
      <c r="D77" s="21">
        <v>1.67</v>
      </c>
    </row>
    <row r="78" spans="1:9" x14ac:dyDescent="0.3">
      <c r="A78" s="20" t="s">
        <v>8</v>
      </c>
      <c r="B78" s="20" t="s">
        <v>27</v>
      </c>
      <c r="C78" s="21">
        <v>1.73</v>
      </c>
      <c r="D78" s="21">
        <v>1.77</v>
      </c>
    </row>
    <row r="79" spans="1:9" x14ac:dyDescent="0.3">
      <c r="A79" s="20" t="s">
        <v>9</v>
      </c>
      <c r="B79" s="20" t="s">
        <v>27</v>
      </c>
      <c r="C79" s="21">
        <v>1.88</v>
      </c>
      <c r="D79" s="21">
        <v>1.78</v>
      </c>
    </row>
    <row r="80" spans="1:9" x14ac:dyDescent="0.3">
      <c r="A80" s="20" t="s">
        <v>10</v>
      </c>
      <c r="B80" s="20" t="s">
        <v>27</v>
      </c>
      <c r="C80" s="21">
        <v>3.98</v>
      </c>
      <c r="D80" s="21">
        <v>5.37</v>
      </c>
    </row>
    <row r="81" spans="1:9" x14ac:dyDescent="0.3">
      <c r="A81" s="20" t="s">
        <v>11</v>
      </c>
      <c r="B81" s="20" t="s">
        <v>27</v>
      </c>
      <c r="C81" s="21">
        <v>9.75</v>
      </c>
      <c r="D81" s="21">
        <v>11.34</v>
      </c>
    </row>
    <row r="82" spans="1:9" x14ac:dyDescent="0.3">
      <c r="A82" s="20" t="s">
        <v>12</v>
      </c>
      <c r="B82" s="20" t="s">
        <v>27</v>
      </c>
      <c r="C82" s="21">
        <v>10.67</v>
      </c>
      <c r="D82" s="21">
        <v>15.14</v>
      </c>
    </row>
    <row r="83" spans="1:9" x14ac:dyDescent="0.3">
      <c r="A83" s="20" t="s">
        <v>13</v>
      </c>
      <c r="B83" s="20" t="s">
        <v>27</v>
      </c>
      <c r="C83" s="21">
        <v>13.36</v>
      </c>
      <c r="D83" s="21">
        <v>16.59</v>
      </c>
    </row>
    <row r="84" spans="1:9" x14ac:dyDescent="0.3">
      <c r="A84" s="20" t="s">
        <v>14</v>
      </c>
      <c r="B84" s="20" t="s">
        <v>27</v>
      </c>
      <c r="C84" s="21">
        <v>15.18</v>
      </c>
      <c r="D84" s="21">
        <v>19.02</v>
      </c>
    </row>
    <row r="85" spans="1:9" x14ac:dyDescent="0.3">
      <c r="A85" s="20" t="s">
        <v>15</v>
      </c>
      <c r="B85" s="20" t="s">
        <v>27</v>
      </c>
      <c r="C85" s="21">
        <v>17.010000000000002</v>
      </c>
      <c r="D85" s="21">
        <v>21.85</v>
      </c>
    </row>
    <row r="86" spans="1:9" x14ac:dyDescent="0.3">
      <c r="A86" s="20" t="s">
        <v>16</v>
      </c>
      <c r="B86" s="20" t="s">
        <v>27</v>
      </c>
      <c r="C86" s="21">
        <v>17.88</v>
      </c>
      <c r="D86" s="21">
        <v>23.6</v>
      </c>
    </row>
    <row r="87" spans="1:9" x14ac:dyDescent="0.3">
      <c r="A87" s="20" t="s">
        <v>17</v>
      </c>
      <c r="B87" s="20" t="s">
        <v>27</v>
      </c>
      <c r="C87" s="21">
        <v>20.52</v>
      </c>
      <c r="D87" s="21">
        <v>22.72</v>
      </c>
    </row>
    <row r="88" spans="1:9" x14ac:dyDescent="0.3">
      <c r="A88" s="20" t="s">
        <v>18</v>
      </c>
      <c r="B88" s="20" t="s">
        <v>27</v>
      </c>
      <c r="C88" s="21">
        <v>22.03</v>
      </c>
      <c r="D88" s="21">
        <v>22.7</v>
      </c>
    </row>
    <row r="89" spans="1:9" x14ac:dyDescent="0.3">
      <c r="A89" s="20" t="s">
        <v>19</v>
      </c>
      <c r="B89" s="20" t="s">
        <v>27</v>
      </c>
      <c r="C89" s="21">
        <v>21.93</v>
      </c>
      <c r="D89" s="21">
        <v>21.91</v>
      </c>
    </row>
    <row r="90" spans="1:9" x14ac:dyDescent="0.3">
      <c r="A90" s="20" t="s">
        <v>39</v>
      </c>
      <c r="B90" s="20" t="s">
        <v>27</v>
      </c>
      <c r="C90" s="21">
        <v>21.42</v>
      </c>
      <c r="D90" s="21">
        <v>21.28</v>
      </c>
      <c r="F90" s="20" t="s">
        <v>35</v>
      </c>
      <c r="G90" s="22">
        <f>AVERAGE(C91:C105)</f>
        <v>12.325333333333333</v>
      </c>
      <c r="H90" s="22">
        <f>AVERAGE(D91:D105)</f>
        <v>14.168000000000001</v>
      </c>
      <c r="I90" s="25">
        <f>COUNT(D91:D105)</f>
        <v>15</v>
      </c>
    </row>
    <row r="91" spans="1:9" x14ac:dyDescent="0.3">
      <c r="A91" s="20" t="s">
        <v>6</v>
      </c>
      <c r="B91" s="20" t="s">
        <v>35</v>
      </c>
      <c r="C91" s="21">
        <v>5.92</v>
      </c>
      <c r="D91" s="21">
        <v>5.19</v>
      </c>
    </row>
    <row r="92" spans="1:9" x14ac:dyDescent="0.3">
      <c r="A92" s="20" t="s">
        <v>7</v>
      </c>
      <c r="B92" s="20" t="s">
        <v>35</v>
      </c>
      <c r="C92" s="21">
        <v>1.94</v>
      </c>
      <c r="D92" s="21">
        <v>1.98</v>
      </c>
    </row>
    <row r="93" spans="1:9" x14ac:dyDescent="0.3">
      <c r="A93" s="20" t="s">
        <v>8</v>
      </c>
      <c r="B93" s="20" t="s">
        <v>35</v>
      </c>
      <c r="C93" s="21">
        <v>1.82</v>
      </c>
      <c r="D93" s="21">
        <v>1.93</v>
      </c>
    </row>
    <row r="94" spans="1:9" x14ac:dyDescent="0.3">
      <c r="A94" s="20" t="s">
        <v>9</v>
      </c>
      <c r="B94" s="20" t="s">
        <v>35</v>
      </c>
      <c r="C94" s="21">
        <v>1.99</v>
      </c>
      <c r="D94" s="21">
        <v>1.99</v>
      </c>
    </row>
    <row r="95" spans="1:9" x14ac:dyDescent="0.3">
      <c r="A95" s="20" t="s">
        <v>10</v>
      </c>
      <c r="B95" s="20" t="s">
        <v>35</v>
      </c>
      <c r="C95" s="21">
        <v>3.76</v>
      </c>
      <c r="D95" s="21">
        <v>4.8600000000000003</v>
      </c>
    </row>
    <row r="96" spans="1:9" x14ac:dyDescent="0.3">
      <c r="A96" s="20" t="s">
        <v>11</v>
      </c>
      <c r="B96" s="20" t="s">
        <v>35</v>
      </c>
      <c r="C96" s="21">
        <v>8.84</v>
      </c>
      <c r="D96" s="21">
        <v>11</v>
      </c>
    </row>
    <row r="97" spans="1:9" x14ac:dyDescent="0.3">
      <c r="A97" s="20" t="s">
        <v>12</v>
      </c>
      <c r="B97" s="20" t="s">
        <v>35</v>
      </c>
      <c r="C97" s="21">
        <v>10.95</v>
      </c>
      <c r="D97" s="21">
        <v>14.12</v>
      </c>
    </row>
    <row r="98" spans="1:9" x14ac:dyDescent="0.3">
      <c r="A98" s="20" t="s">
        <v>13</v>
      </c>
      <c r="B98" s="20" t="s">
        <v>35</v>
      </c>
      <c r="C98" s="21">
        <v>13.05</v>
      </c>
      <c r="D98" s="21">
        <v>16.36</v>
      </c>
    </row>
    <row r="99" spans="1:9" x14ac:dyDescent="0.3">
      <c r="A99" s="20" t="s">
        <v>14</v>
      </c>
      <c r="B99" s="20" t="s">
        <v>35</v>
      </c>
      <c r="C99" s="21">
        <v>15.6</v>
      </c>
      <c r="D99" s="21">
        <v>20.27</v>
      </c>
    </row>
    <row r="100" spans="1:9" x14ac:dyDescent="0.3">
      <c r="A100" s="20" t="s">
        <v>15</v>
      </c>
      <c r="B100" s="20" t="s">
        <v>35</v>
      </c>
      <c r="C100" s="21">
        <v>16.97</v>
      </c>
      <c r="D100" s="21">
        <v>21.54</v>
      </c>
    </row>
    <row r="101" spans="1:9" x14ac:dyDescent="0.3">
      <c r="A101" s="20" t="s">
        <v>16</v>
      </c>
      <c r="B101" s="20" t="s">
        <v>35</v>
      </c>
      <c r="C101" s="21">
        <v>18.41</v>
      </c>
      <c r="D101" s="21">
        <v>24.13</v>
      </c>
    </row>
    <row r="102" spans="1:9" x14ac:dyDescent="0.3">
      <c r="A102" s="20" t="s">
        <v>17</v>
      </c>
      <c r="B102" s="20" t="s">
        <v>35</v>
      </c>
      <c r="C102" s="21">
        <v>20.75</v>
      </c>
      <c r="D102" s="21">
        <v>23.41</v>
      </c>
    </row>
    <row r="103" spans="1:9" x14ac:dyDescent="0.3">
      <c r="A103" s="20" t="s">
        <v>18</v>
      </c>
      <c r="B103" s="20" t="s">
        <v>35</v>
      </c>
      <c r="C103" s="21">
        <v>21.69</v>
      </c>
      <c r="D103" s="21">
        <v>22.2</v>
      </c>
    </row>
    <row r="104" spans="1:9" x14ac:dyDescent="0.3">
      <c r="A104" s="20" t="s">
        <v>19</v>
      </c>
      <c r="B104" s="20" t="s">
        <v>35</v>
      </c>
      <c r="C104" s="21">
        <v>21.95</v>
      </c>
      <c r="D104" s="21">
        <v>22.08</v>
      </c>
    </row>
    <row r="105" spans="1:9" x14ac:dyDescent="0.3">
      <c r="A105" s="20" t="s">
        <v>39</v>
      </c>
      <c r="B105" s="20" t="s">
        <v>35</v>
      </c>
      <c r="C105" s="21">
        <v>21.24</v>
      </c>
      <c r="D105" s="21">
        <v>21.46</v>
      </c>
      <c r="F105" s="20" t="s">
        <v>31</v>
      </c>
      <c r="G105" s="22">
        <f>AVERAGE(C106:C119)</f>
        <v>12.940714285714284</v>
      </c>
      <c r="H105" s="22">
        <f>AVERAGE(D106:D119)</f>
        <v>15.074285714285711</v>
      </c>
      <c r="I105" s="25">
        <f>COUNT(D106:D119)</f>
        <v>14</v>
      </c>
    </row>
    <row r="106" spans="1:9" x14ac:dyDescent="0.3">
      <c r="A106" s="20" t="s">
        <v>6</v>
      </c>
      <c r="B106" s="20" t="s">
        <v>31</v>
      </c>
      <c r="C106" s="21">
        <v>6.01</v>
      </c>
      <c r="D106" s="21">
        <v>5.12</v>
      </c>
    </row>
    <row r="107" spans="1:9" x14ac:dyDescent="0.3">
      <c r="A107" s="20" t="s">
        <v>7</v>
      </c>
      <c r="B107" s="20" t="s">
        <v>31</v>
      </c>
      <c r="C107" s="21">
        <v>2.09</v>
      </c>
      <c r="D107" s="21">
        <v>1.8</v>
      </c>
    </row>
    <row r="108" spans="1:9" x14ac:dyDescent="0.3">
      <c r="A108" s="20" t="s">
        <v>9</v>
      </c>
      <c r="B108" s="20" t="s">
        <v>31</v>
      </c>
      <c r="C108" s="21">
        <v>1.86</v>
      </c>
      <c r="D108" s="21">
        <v>1.59</v>
      </c>
    </row>
    <row r="109" spans="1:9" x14ac:dyDescent="0.3">
      <c r="A109" s="20" t="s">
        <v>10</v>
      </c>
      <c r="B109" s="20" t="s">
        <v>31</v>
      </c>
      <c r="C109" s="21">
        <v>3.63</v>
      </c>
      <c r="D109" s="21">
        <v>4.62</v>
      </c>
    </row>
    <row r="110" spans="1:9" x14ac:dyDescent="0.3">
      <c r="A110" s="20" t="s">
        <v>11</v>
      </c>
      <c r="B110" s="20" t="s">
        <v>31</v>
      </c>
      <c r="C110" s="21">
        <v>8.52</v>
      </c>
      <c r="D110" s="21">
        <v>11.64</v>
      </c>
    </row>
    <row r="111" spans="1:9" x14ac:dyDescent="0.3">
      <c r="A111" s="20" t="s">
        <v>12</v>
      </c>
      <c r="B111" s="20" t="s">
        <v>31</v>
      </c>
      <c r="C111" s="21">
        <v>10.44</v>
      </c>
      <c r="D111" s="21">
        <v>15.28</v>
      </c>
    </row>
    <row r="112" spans="1:9" x14ac:dyDescent="0.3">
      <c r="A112" s="20" t="s">
        <v>13</v>
      </c>
      <c r="B112" s="20" t="s">
        <v>31</v>
      </c>
      <c r="C112" s="21">
        <v>12.27</v>
      </c>
      <c r="D112" s="21">
        <v>16.63</v>
      </c>
    </row>
    <row r="113" spans="1:9" x14ac:dyDescent="0.3">
      <c r="A113" s="20" t="s">
        <v>14</v>
      </c>
      <c r="B113" s="20" t="s">
        <v>31</v>
      </c>
      <c r="C113" s="21">
        <v>15.75</v>
      </c>
      <c r="D113" s="21">
        <v>20.52</v>
      </c>
    </row>
    <row r="114" spans="1:9" x14ac:dyDescent="0.3">
      <c r="A114" s="20" t="s">
        <v>15</v>
      </c>
      <c r="B114" s="20" t="s">
        <v>31</v>
      </c>
      <c r="C114" s="21">
        <v>16.63</v>
      </c>
      <c r="D114" s="21">
        <v>21.79</v>
      </c>
    </row>
    <row r="115" spans="1:9" x14ac:dyDescent="0.3">
      <c r="A115" s="20" t="s">
        <v>16</v>
      </c>
      <c r="B115" s="20" t="s">
        <v>31</v>
      </c>
      <c r="C115" s="21">
        <v>19.05</v>
      </c>
      <c r="D115" s="21">
        <v>23.62</v>
      </c>
    </row>
    <row r="116" spans="1:9" x14ac:dyDescent="0.3">
      <c r="A116" s="20" t="s">
        <v>17</v>
      </c>
      <c r="B116" s="20" t="s">
        <v>31</v>
      </c>
      <c r="C116" s="21">
        <v>20.53</v>
      </c>
      <c r="D116" s="21">
        <v>22.59</v>
      </c>
    </row>
    <row r="117" spans="1:9" x14ac:dyDescent="0.3">
      <c r="A117" s="20" t="s">
        <v>18</v>
      </c>
      <c r="B117" s="20" t="s">
        <v>31</v>
      </c>
      <c r="C117" s="21">
        <v>21.41</v>
      </c>
      <c r="D117" s="21">
        <v>22.48</v>
      </c>
    </row>
    <row r="118" spans="1:9" x14ac:dyDescent="0.3">
      <c r="A118" s="20" t="s">
        <v>19</v>
      </c>
      <c r="B118" s="20" t="s">
        <v>31</v>
      </c>
      <c r="C118" s="21">
        <v>21.89</v>
      </c>
      <c r="D118" s="21">
        <v>22.01</v>
      </c>
    </row>
    <row r="119" spans="1:9" x14ac:dyDescent="0.3">
      <c r="A119" s="20" t="s">
        <v>39</v>
      </c>
      <c r="B119" s="20" t="s">
        <v>31</v>
      </c>
      <c r="C119" s="21">
        <v>21.09</v>
      </c>
      <c r="D119" s="21">
        <v>21.35</v>
      </c>
      <c r="F119" s="20" t="s">
        <v>32</v>
      </c>
      <c r="G119" s="22">
        <f>AVERAGE(C120:C133)</f>
        <v>13.302142857142858</v>
      </c>
      <c r="H119" s="22">
        <f>AVERAGE(D120:D133)</f>
        <v>14.797142857142855</v>
      </c>
      <c r="I119" s="25">
        <f>COUNT(D120:D133)</f>
        <v>14</v>
      </c>
    </row>
    <row r="120" spans="1:9" x14ac:dyDescent="0.3">
      <c r="A120" s="20" t="s">
        <v>6</v>
      </c>
      <c r="B120" s="20" t="s">
        <v>32</v>
      </c>
      <c r="C120" s="21">
        <v>5.78</v>
      </c>
      <c r="D120" s="21">
        <v>5.21</v>
      </c>
    </row>
    <row r="121" spans="1:9" x14ac:dyDescent="0.3">
      <c r="A121" s="20" t="s">
        <v>7</v>
      </c>
      <c r="B121" s="20" t="s">
        <v>32</v>
      </c>
      <c r="C121" s="21">
        <v>2.0699999999999998</v>
      </c>
      <c r="D121" s="21">
        <v>1.83</v>
      </c>
    </row>
    <row r="122" spans="1:9" x14ac:dyDescent="0.3">
      <c r="A122" s="20" t="s">
        <v>9</v>
      </c>
      <c r="B122" s="20" t="s">
        <v>32</v>
      </c>
      <c r="C122" s="21">
        <v>1.72</v>
      </c>
      <c r="D122" s="21">
        <v>1.53</v>
      </c>
    </row>
    <row r="123" spans="1:9" x14ac:dyDescent="0.3">
      <c r="A123" s="20" t="s">
        <v>10</v>
      </c>
      <c r="B123" s="20" t="s">
        <v>32</v>
      </c>
      <c r="C123" s="21">
        <v>3.9</v>
      </c>
      <c r="D123" s="21">
        <v>4.5199999999999996</v>
      </c>
    </row>
    <row r="124" spans="1:9" x14ac:dyDescent="0.3">
      <c r="A124" s="20" t="s">
        <v>11</v>
      </c>
      <c r="B124" s="20" t="s">
        <v>32</v>
      </c>
      <c r="C124" s="21">
        <v>9.31</v>
      </c>
      <c r="D124" s="21">
        <v>11.03</v>
      </c>
    </row>
    <row r="125" spans="1:9" x14ac:dyDescent="0.3">
      <c r="A125" s="20" t="s">
        <v>12</v>
      </c>
      <c r="B125" s="20" t="s">
        <v>32</v>
      </c>
      <c r="C125" s="21">
        <v>11</v>
      </c>
      <c r="D125" s="21">
        <v>14.28</v>
      </c>
    </row>
    <row r="126" spans="1:9" x14ac:dyDescent="0.3">
      <c r="A126" s="20" t="s">
        <v>13</v>
      </c>
      <c r="B126" s="20" t="s">
        <v>32</v>
      </c>
      <c r="C126" s="21">
        <v>14.4</v>
      </c>
      <c r="D126" s="21">
        <v>17.2</v>
      </c>
    </row>
    <row r="127" spans="1:9" x14ac:dyDescent="0.3">
      <c r="A127" s="20" t="s">
        <v>14</v>
      </c>
      <c r="B127" s="20" t="s">
        <v>32</v>
      </c>
      <c r="C127" s="21">
        <v>15.43</v>
      </c>
      <c r="D127" s="21">
        <v>19.66</v>
      </c>
    </row>
    <row r="128" spans="1:9" x14ac:dyDescent="0.3">
      <c r="A128" s="20" t="s">
        <v>15</v>
      </c>
      <c r="B128" s="20" t="s">
        <v>32</v>
      </c>
      <c r="C128" s="21">
        <v>17.62</v>
      </c>
      <c r="D128" s="21">
        <v>21.16</v>
      </c>
    </row>
    <row r="129" spans="1:9" x14ac:dyDescent="0.3">
      <c r="A129" s="20" t="s">
        <v>16</v>
      </c>
      <c r="B129" s="20" t="s">
        <v>32</v>
      </c>
      <c r="C129" s="21">
        <v>18.98</v>
      </c>
      <c r="D129" s="21">
        <v>23.7</v>
      </c>
    </row>
    <row r="130" spans="1:9" x14ac:dyDescent="0.3">
      <c r="A130" s="20" t="s">
        <v>17</v>
      </c>
      <c r="B130" s="20" t="s">
        <v>32</v>
      </c>
      <c r="C130" s="21">
        <v>20.95</v>
      </c>
      <c r="D130" s="21">
        <v>21.71</v>
      </c>
    </row>
    <row r="131" spans="1:9" x14ac:dyDescent="0.3">
      <c r="A131" s="20" t="s">
        <v>18</v>
      </c>
      <c r="B131" s="20" t="s">
        <v>32</v>
      </c>
      <c r="C131" s="21">
        <v>22.16</v>
      </c>
      <c r="D131" s="21">
        <v>22.26</v>
      </c>
    </row>
    <row r="132" spans="1:9" x14ac:dyDescent="0.3">
      <c r="A132" s="20" t="s">
        <v>19</v>
      </c>
      <c r="B132" s="20" t="s">
        <v>32</v>
      </c>
      <c r="C132" s="21">
        <v>21.73</v>
      </c>
      <c r="D132" s="21">
        <v>21.83</v>
      </c>
    </row>
    <row r="133" spans="1:9" x14ac:dyDescent="0.3">
      <c r="A133" s="20" t="s">
        <v>39</v>
      </c>
      <c r="B133" s="20" t="s">
        <v>32</v>
      </c>
      <c r="C133" s="21">
        <v>21.18</v>
      </c>
      <c r="D133" s="21">
        <v>21.24</v>
      </c>
      <c r="F133" s="20" t="s">
        <v>33</v>
      </c>
      <c r="G133" s="22">
        <f>AVERAGE(C134:C146)</f>
        <v>12.409999999999998</v>
      </c>
      <c r="H133" s="22">
        <f>AVERAGE(D134:D146)</f>
        <v>14.442307692307692</v>
      </c>
      <c r="I133" s="25">
        <f>COUNT(D134:D146)</f>
        <v>13</v>
      </c>
    </row>
    <row r="134" spans="1:9" x14ac:dyDescent="0.3">
      <c r="A134" s="20" t="s">
        <v>6</v>
      </c>
      <c r="B134" s="20" t="s">
        <v>33</v>
      </c>
      <c r="C134" s="21">
        <v>5.9</v>
      </c>
      <c r="D134" s="21">
        <v>5.46</v>
      </c>
    </row>
    <row r="135" spans="1:9" x14ac:dyDescent="0.3">
      <c r="A135" s="20" t="s">
        <v>7</v>
      </c>
      <c r="B135" s="20" t="s">
        <v>33</v>
      </c>
      <c r="C135" s="21">
        <v>2.04</v>
      </c>
      <c r="D135" s="21">
        <v>2.2000000000000002</v>
      </c>
    </row>
    <row r="136" spans="1:9" x14ac:dyDescent="0.3">
      <c r="A136" s="20" t="s">
        <v>9</v>
      </c>
      <c r="B136" s="20" t="s">
        <v>33</v>
      </c>
      <c r="C136" s="21">
        <v>1.83</v>
      </c>
      <c r="D136" s="21">
        <v>1.63</v>
      </c>
    </row>
    <row r="137" spans="1:9" x14ac:dyDescent="0.3">
      <c r="A137" s="20" t="s">
        <v>10</v>
      </c>
      <c r="B137" s="20" t="s">
        <v>33</v>
      </c>
      <c r="C137" s="21">
        <v>4.09</v>
      </c>
      <c r="D137" s="21">
        <v>4.8499999999999996</v>
      </c>
    </row>
    <row r="138" spans="1:9" x14ac:dyDescent="0.3">
      <c r="A138" s="20" t="s">
        <v>11</v>
      </c>
      <c r="B138" s="20" t="s">
        <v>33</v>
      </c>
      <c r="C138" s="21">
        <v>8.34</v>
      </c>
      <c r="D138" s="21">
        <v>11.36</v>
      </c>
    </row>
    <row r="139" spans="1:9" x14ac:dyDescent="0.3">
      <c r="A139" s="20" t="s">
        <v>12</v>
      </c>
      <c r="B139" s="20" t="s">
        <v>33</v>
      </c>
      <c r="C139" s="21">
        <v>11.32</v>
      </c>
      <c r="D139" s="21">
        <v>14.52</v>
      </c>
    </row>
    <row r="140" spans="1:9" x14ac:dyDescent="0.3">
      <c r="A140" s="20" t="s">
        <v>13</v>
      </c>
      <c r="B140" s="20" t="s">
        <v>33</v>
      </c>
      <c r="C140" s="21">
        <v>12.32</v>
      </c>
      <c r="D140" s="21">
        <v>16.43</v>
      </c>
    </row>
    <row r="141" spans="1:9" x14ac:dyDescent="0.3">
      <c r="A141" s="20" t="s">
        <v>14</v>
      </c>
      <c r="B141" s="20" t="s">
        <v>33</v>
      </c>
      <c r="C141" s="21">
        <v>16.100000000000001</v>
      </c>
      <c r="D141" s="21">
        <v>19</v>
      </c>
    </row>
    <row r="142" spans="1:9" x14ac:dyDescent="0.3">
      <c r="A142" s="20" t="s">
        <v>15</v>
      </c>
      <c r="B142" s="20" t="s">
        <v>33</v>
      </c>
      <c r="C142" s="21">
        <v>16.739999999999998</v>
      </c>
      <c r="D142" s="21">
        <v>22.81</v>
      </c>
    </row>
    <row r="143" spans="1:9" x14ac:dyDescent="0.3">
      <c r="A143" s="20" t="s">
        <v>16</v>
      </c>
      <c r="B143" s="20" t="s">
        <v>33</v>
      </c>
      <c r="C143" s="21">
        <v>19.649999999999999</v>
      </c>
      <c r="D143" s="21">
        <v>23.06</v>
      </c>
    </row>
    <row r="144" spans="1:9" x14ac:dyDescent="0.3">
      <c r="A144" s="20" t="s">
        <v>17</v>
      </c>
      <c r="B144" s="20" t="s">
        <v>33</v>
      </c>
      <c r="C144" s="21">
        <v>20.329999999999998</v>
      </c>
      <c r="D144" s="21">
        <v>22.09</v>
      </c>
    </row>
    <row r="145" spans="1:9" x14ac:dyDescent="0.3">
      <c r="A145" s="20" t="s">
        <v>18</v>
      </c>
      <c r="B145" s="20" t="s">
        <v>33</v>
      </c>
      <c r="C145" s="21">
        <v>21.78</v>
      </c>
      <c r="D145" s="21">
        <v>22.79</v>
      </c>
    </row>
    <row r="146" spans="1:9" x14ac:dyDescent="0.3">
      <c r="A146" s="20" t="s">
        <v>39</v>
      </c>
      <c r="B146" s="20" t="s">
        <v>33</v>
      </c>
      <c r="C146" s="21">
        <v>20.89</v>
      </c>
      <c r="D146" s="21">
        <v>21.55</v>
      </c>
      <c r="F146" s="20" t="s">
        <v>25</v>
      </c>
      <c r="G146" s="22">
        <f>AVERAGE(C147:C158)</f>
        <v>12.909999999999998</v>
      </c>
      <c r="H146" s="22">
        <f>AVERAGE(D147:D158)</f>
        <v>14.370833333333335</v>
      </c>
      <c r="I146" s="25">
        <f>COUNT(D147:D158)</f>
        <v>12</v>
      </c>
    </row>
    <row r="147" spans="1:9" x14ac:dyDescent="0.3">
      <c r="A147" s="20" t="s">
        <v>6</v>
      </c>
      <c r="B147" s="20" t="s">
        <v>25</v>
      </c>
      <c r="C147" s="21">
        <v>6.1</v>
      </c>
      <c r="D147" s="21">
        <v>5.71</v>
      </c>
    </row>
    <row r="148" spans="1:9" x14ac:dyDescent="0.3">
      <c r="A148" s="20" t="s">
        <v>7</v>
      </c>
      <c r="B148" s="20" t="s">
        <v>25</v>
      </c>
      <c r="C148" s="21">
        <v>2.04</v>
      </c>
      <c r="D148" s="21">
        <v>2.48</v>
      </c>
    </row>
    <row r="149" spans="1:9" x14ac:dyDescent="0.3">
      <c r="A149" s="20" t="s">
        <v>9</v>
      </c>
      <c r="B149" s="20" t="s">
        <v>25</v>
      </c>
      <c r="C149" s="21">
        <v>1.87</v>
      </c>
      <c r="D149" s="21">
        <v>1.82</v>
      </c>
    </row>
    <row r="150" spans="1:9" x14ac:dyDescent="0.3">
      <c r="A150" s="20" t="s">
        <v>10</v>
      </c>
      <c r="B150" s="20" t="s">
        <v>25</v>
      </c>
      <c r="C150" s="21">
        <v>4.08</v>
      </c>
      <c r="D150" s="21">
        <v>4.76</v>
      </c>
    </row>
    <row r="151" spans="1:9" x14ac:dyDescent="0.3">
      <c r="A151" s="20" t="s">
        <v>11</v>
      </c>
      <c r="B151" s="20" t="s">
        <v>25</v>
      </c>
      <c r="C151" s="21">
        <v>10.11</v>
      </c>
      <c r="D151" s="21">
        <v>10.44</v>
      </c>
    </row>
    <row r="152" spans="1:9" x14ac:dyDescent="0.3">
      <c r="A152" s="20" t="s">
        <v>12</v>
      </c>
      <c r="B152" s="20" t="s">
        <v>25</v>
      </c>
      <c r="C152" s="21">
        <v>12.91</v>
      </c>
      <c r="D152" s="21">
        <v>14.14</v>
      </c>
    </row>
    <row r="153" spans="1:9" x14ac:dyDescent="0.3">
      <c r="A153" s="20" t="s">
        <v>14</v>
      </c>
      <c r="B153" s="20" t="s">
        <v>25</v>
      </c>
      <c r="C153" s="21">
        <v>15.06</v>
      </c>
      <c r="D153" s="21">
        <v>19.2</v>
      </c>
    </row>
    <row r="154" spans="1:9" x14ac:dyDescent="0.3">
      <c r="A154" s="20" t="s">
        <v>15</v>
      </c>
      <c r="B154" s="20" t="s">
        <v>25</v>
      </c>
      <c r="C154" s="21">
        <v>18.88</v>
      </c>
      <c r="D154" s="21">
        <v>22.66</v>
      </c>
    </row>
    <row r="155" spans="1:9" x14ac:dyDescent="0.3">
      <c r="A155" s="20" t="s">
        <v>16</v>
      </c>
      <c r="B155" s="20" t="s">
        <v>25</v>
      </c>
      <c r="C155" s="21">
        <v>19.16</v>
      </c>
      <c r="D155" s="21">
        <v>24.35</v>
      </c>
    </row>
    <row r="156" spans="1:9" x14ac:dyDescent="0.3">
      <c r="A156" s="20" t="s">
        <v>17</v>
      </c>
      <c r="B156" s="20" t="s">
        <v>25</v>
      </c>
      <c r="C156" s="21">
        <v>21.21</v>
      </c>
      <c r="D156" s="21">
        <v>22.52</v>
      </c>
    </row>
    <row r="157" spans="1:9" x14ac:dyDescent="0.3">
      <c r="A157" s="20" t="s">
        <v>18</v>
      </c>
      <c r="B157" s="20" t="s">
        <v>25</v>
      </c>
      <c r="C157" s="21">
        <v>22.51</v>
      </c>
      <c r="D157" s="21">
        <v>23.34</v>
      </c>
    </row>
    <row r="158" spans="1:9" x14ac:dyDescent="0.3">
      <c r="A158" s="20" t="s">
        <v>39</v>
      </c>
      <c r="B158" s="20" t="s">
        <v>25</v>
      </c>
      <c r="C158" s="21">
        <v>20.99</v>
      </c>
      <c r="D158" s="21">
        <v>21.03</v>
      </c>
      <c r="F158" s="20" t="s">
        <v>36</v>
      </c>
      <c r="G158" s="22">
        <f>AVERAGE(C159:C170)</f>
        <v>12.748333333333333</v>
      </c>
      <c r="H158" s="22">
        <f>AVERAGE(D159:D170)</f>
        <v>14.611666666666666</v>
      </c>
      <c r="I158" s="25">
        <f>COUNT(D159:D170)</f>
        <v>12</v>
      </c>
    </row>
    <row r="159" spans="1:9" x14ac:dyDescent="0.3">
      <c r="A159" s="20" t="s">
        <v>6</v>
      </c>
      <c r="B159" s="20" t="s">
        <v>36</v>
      </c>
      <c r="C159" s="21">
        <v>6.04</v>
      </c>
      <c r="D159" s="21">
        <v>5.91</v>
      </c>
    </row>
    <row r="160" spans="1:9" x14ac:dyDescent="0.3">
      <c r="A160" s="20" t="s">
        <v>7</v>
      </c>
      <c r="B160" s="20" t="s">
        <v>36</v>
      </c>
      <c r="C160" s="21">
        <v>1.95</v>
      </c>
      <c r="D160" s="21">
        <v>2.12</v>
      </c>
    </row>
    <row r="161" spans="1:9" x14ac:dyDescent="0.3">
      <c r="A161" s="20" t="s">
        <v>9</v>
      </c>
      <c r="B161" s="20" t="s">
        <v>36</v>
      </c>
      <c r="C161" s="21">
        <v>1.74</v>
      </c>
      <c r="D161" s="21">
        <v>1.51</v>
      </c>
    </row>
    <row r="162" spans="1:9" x14ac:dyDescent="0.3">
      <c r="A162" s="20" t="s">
        <v>10</v>
      </c>
      <c r="B162" s="20" t="s">
        <v>36</v>
      </c>
      <c r="C162" s="21">
        <v>4.3899999999999997</v>
      </c>
      <c r="D162" s="21">
        <v>4.67</v>
      </c>
    </row>
    <row r="163" spans="1:9" x14ac:dyDescent="0.3">
      <c r="A163" s="20" t="s">
        <v>11</v>
      </c>
      <c r="B163" s="20" t="s">
        <v>36</v>
      </c>
      <c r="C163" s="21">
        <v>8.7899999999999991</v>
      </c>
      <c r="D163" s="21">
        <v>11.32</v>
      </c>
    </row>
    <row r="164" spans="1:9" x14ac:dyDescent="0.3">
      <c r="A164" s="20" t="s">
        <v>12</v>
      </c>
      <c r="B164" s="20" t="s">
        <v>36</v>
      </c>
      <c r="C164" s="21">
        <v>11.4</v>
      </c>
      <c r="D164" s="21">
        <v>14.9</v>
      </c>
    </row>
    <row r="165" spans="1:9" x14ac:dyDescent="0.3">
      <c r="A165" s="20" t="s">
        <v>14</v>
      </c>
      <c r="B165" s="20" t="s">
        <v>36</v>
      </c>
      <c r="C165" s="21">
        <v>15.73</v>
      </c>
      <c r="D165" s="21">
        <v>19.22</v>
      </c>
    </row>
    <row r="166" spans="1:9" x14ac:dyDescent="0.3">
      <c r="A166" s="20" t="s">
        <v>15</v>
      </c>
      <c r="B166" s="20" t="s">
        <v>36</v>
      </c>
      <c r="C166" s="21">
        <v>18.98</v>
      </c>
      <c r="D166" s="21">
        <v>24.15</v>
      </c>
    </row>
    <row r="167" spans="1:9" x14ac:dyDescent="0.3">
      <c r="A167" s="20" t="s">
        <v>16</v>
      </c>
      <c r="B167" s="20" t="s">
        <v>36</v>
      </c>
      <c r="C167" s="21">
        <v>19.61</v>
      </c>
      <c r="D167" s="21">
        <v>24.16</v>
      </c>
    </row>
    <row r="168" spans="1:9" x14ac:dyDescent="0.3">
      <c r="A168" s="20" t="s">
        <v>17</v>
      </c>
      <c r="B168" s="20" t="s">
        <v>36</v>
      </c>
      <c r="C168" s="21">
        <v>21.61</v>
      </c>
      <c r="D168" s="21">
        <v>23.14</v>
      </c>
    </row>
    <row r="169" spans="1:9" x14ac:dyDescent="0.3">
      <c r="A169" s="20" t="s">
        <v>18</v>
      </c>
      <c r="B169" s="20" t="s">
        <v>36</v>
      </c>
      <c r="C169" s="21">
        <v>21.89</v>
      </c>
      <c r="D169" s="21">
        <v>23.08</v>
      </c>
    </row>
    <row r="170" spans="1:9" x14ac:dyDescent="0.3">
      <c r="A170" s="20" t="s">
        <v>39</v>
      </c>
      <c r="B170" s="20" t="s">
        <v>36</v>
      </c>
      <c r="C170" s="21">
        <v>20.85</v>
      </c>
      <c r="D170" s="21">
        <v>21.16</v>
      </c>
      <c r="F170" s="20" t="s">
        <v>24</v>
      </c>
      <c r="G170" s="22">
        <f>AVERAGE(C171:C182)</f>
        <v>12.43</v>
      </c>
      <c r="H170" s="22">
        <f>AVERAGE(D171:D182)</f>
        <v>14.726666666666667</v>
      </c>
      <c r="I170" s="25">
        <f>COUNT(D171:D182)</f>
        <v>12</v>
      </c>
    </row>
    <row r="171" spans="1:9" x14ac:dyDescent="0.3">
      <c r="A171" s="20" t="s">
        <v>6</v>
      </c>
      <c r="B171" s="20" t="s">
        <v>24</v>
      </c>
      <c r="C171" s="21">
        <v>6.16</v>
      </c>
      <c r="D171" s="21">
        <v>5.98</v>
      </c>
    </row>
    <row r="172" spans="1:9" x14ac:dyDescent="0.3">
      <c r="A172" s="20" t="s">
        <v>7</v>
      </c>
      <c r="B172" s="20" t="s">
        <v>24</v>
      </c>
      <c r="C172" s="21">
        <v>2.1800000000000002</v>
      </c>
      <c r="D172" s="21">
        <v>2.38</v>
      </c>
    </row>
    <row r="173" spans="1:9" x14ac:dyDescent="0.3">
      <c r="A173" s="20" t="s">
        <v>9</v>
      </c>
      <c r="B173" s="20" t="s">
        <v>24</v>
      </c>
      <c r="C173" s="21">
        <v>1.82</v>
      </c>
      <c r="D173" s="21">
        <v>1.76</v>
      </c>
    </row>
    <row r="174" spans="1:9" x14ac:dyDescent="0.3">
      <c r="A174" s="20" t="s">
        <v>10</v>
      </c>
      <c r="B174" s="20" t="s">
        <v>24</v>
      </c>
      <c r="C174" s="21">
        <v>4.72</v>
      </c>
      <c r="D174" s="21">
        <v>4.83</v>
      </c>
    </row>
    <row r="175" spans="1:9" x14ac:dyDescent="0.3">
      <c r="A175" s="20" t="s">
        <v>11</v>
      </c>
      <c r="B175" s="20" t="s">
        <v>24</v>
      </c>
      <c r="C175" s="21">
        <v>8.0299999999999994</v>
      </c>
      <c r="D175" s="21">
        <v>11.74</v>
      </c>
    </row>
    <row r="176" spans="1:9" x14ac:dyDescent="0.3">
      <c r="A176" s="20" t="s">
        <v>12</v>
      </c>
      <c r="B176" s="20" t="s">
        <v>24</v>
      </c>
      <c r="C176" s="21">
        <v>11.52</v>
      </c>
      <c r="D176" s="21">
        <v>14.95</v>
      </c>
    </row>
    <row r="177" spans="1:9" x14ac:dyDescent="0.3">
      <c r="A177" s="20" t="s">
        <v>14</v>
      </c>
      <c r="B177" s="20" t="s">
        <v>24</v>
      </c>
      <c r="C177" s="21">
        <v>15.95</v>
      </c>
      <c r="D177" s="21">
        <v>20.46</v>
      </c>
    </row>
    <row r="178" spans="1:9" x14ac:dyDescent="0.3">
      <c r="A178" s="20" t="s">
        <v>15</v>
      </c>
      <c r="B178" s="20" t="s">
        <v>24</v>
      </c>
      <c r="C178" s="21">
        <v>15.86</v>
      </c>
      <c r="D178" s="21">
        <v>23.11</v>
      </c>
    </row>
    <row r="179" spans="1:9" x14ac:dyDescent="0.3">
      <c r="A179" s="20" t="s">
        <v>16</v>
      </c>
      <c r="B179" s="20" t="s">
        <v>24</v>
      </c>
      <c r="C179" s="21">
        <v>20.22</v>
      </c>
      <c r="D179" s="21">
        <v>23.72</v>
      </c>
    </row>
    <row r="180" spans="1:9" x14ac:dyDescent="0.3">
      <c r="A180" s="20" t="s">
        <v>17</v>
      </c>
      <c r="B180" s="20" t="s">
        <v>24</v>
      </c>
      <c r="C180" s="21">
        <v>20.22</v>
      </c>
      <c r="D180" s="21">
        <v>23.2</v>
      </c>
    </row>
    <row r="181" spans="1:9" x14ac:dyDescent="0.3">
      <c r="A181" s="20" t="s">
        <v>18</v>
      </c>
      <c r="B181" s="20" t="s">
        <v>24</v>
      </c>
      <c r="C181" s="21">
        <v>21.68</v>
      </c>
      <c r="D181" s="21">
        <v>23.15</v>
      </c>
    </row>
    <row r="182" spans="1:9" x14ac:dyDescent="0.3">
      <c r="A182" s="20" t="s">
        <v>39</v>
      </c>
      <c r="B182" s="20" t="s">
        <v>24</v>
      </c>
      <c r="C182" s="21">
        <v>20.8</v>
      </c>
      <c r="D182" s="21">
        <v>21.44</v>
      </c>
      <c r="F182" s="20" t="s">
        <v>23</v>
      </c>
      <c r="G182" s="22">
        <f>AVERAGE(C183:C194)</f>
        <v>13.165000000000001</v>
      </c>
      <c r="H182" s="22">
        <f>AVERAGE(D183:D194)</f>
        <v>14.446666666666667</v>
      </c>
      <c r="I182" s="25">
        <f>COUNT(D183:D194)</f>
        <v>12</v>
      </c>
    </row>
    <row r="183" spans="1:9" x14ac:dyDescent="0.3">
      <c r="A183" s="20" t="s">
        <v>6</v>
      </c>
      <c r="B183" s="20" t="s">
        <v>23</v>
      </c>
      <c r="C183" s="21">
        <v>6.05</v>
      </c>
      <c r="D183" s="21">
        <v>6.11</v>
      </c>
    </row>
    <row r="184" spans="1:9" x14ac:dyDescent="0.3">
      <c r="A184" s="20" t="s">
        <v>7</v>
      </c>
      <c r="B184" s="20" t="s">
        <v>23</v>
      </c>
      <c r="C184" s="21">
        <v>2.5</v>
      </c>
      <c r="D184" s="21">
        <v>2.1800000000000002</v>
      </c>
    </row>
    <row r="185" spans="1:9" x14ac:dyDescent="0.3">
      <c r="A185" s="20" t="s">
        <v>9</v>
      </c>
      <c r="B185" s="20" t="s">
        <v>23</v>
      </c>
      <c r="C185" s="21">
        <v>2.13</v>
      </c>
      <c r="D185" s="21">
        <v>1.74</v>
      </c>
    </row>
    <row r="186" spans="1:9" x14ac:dyDescent="0.3">
      <c r="A186" s="20" t="s">
        <v>10</v>
      </c>
      <c r="B186" s="20" t="s">
        <v>23</v>
      </c>
      <c r="C186" s="21">
        <v>4.9400000000000004</v>
      </c>
      <c r="D186" s="21">
        <v>5.4</v>
      </c>
    </row>
    <row r="187" spans="1:9" x14ac:dyDescent="0.3">
      <c r="A187" s="20" t="s">
        <v>11</v>
      </c>
      <c r="B187" s="20" t="s">
        <v>23</v>
      </c>
      <c r="C187" s="21">
        <v>8.82</v>
      </c>
      <c r="D187" s="21">
        <v>8.98</v>
      </c>
    </row>
    <row r="188" spans="1:9" x14ac:dyDescent="0.3">
      <c r="A188" s="20" t="s">
        <v>12</v>
      </c>
      <c r="B188" s="20" t="s">
        <v>23</v>
      </c>
      <c r="C188" s="21">
        <v>11.69</v>
      </c>
      <c r="D188" s="21">
        <v>14.94</v>
      </c>
    </row>
    <row r="189" spans="1:9" x14ac:dyDescent="0.3">
      <c r="A189" s="20" t="s">
        <v>14</v>
      </c>
      <c r="B189" s="20" t="s">
        <v>23</v>
      </c>
      <c r="C189" s="21">
        <v>16.72</v>
      </c>
      <c r="D189" s="21">
        <v>20.86</v>
      </c>
    </row>
    <row r="190" spans="1:9" x14ac:dyDescent="0.3">
      <c r="A190" s="20" t="s">
        <v>15</v>
      </c>
      <c r="B190" s="20" t="s">
        <v>23</v>
      </c>
      <c r="C190" s="21">
        <v>20.27</v>
      </c>
      <c r="D190" s="21">
        <v>22.13</v>
      </c>
    </row>
    <row r="191" spans="1:9" x14ac:dyDescent="0.3">
      <c r="A191" s="20" t="s">
        <v>16</v>
      </c>
      <c r="B191" s="20" t="s">
        <v>23</v>
      </c>
      <c r="C191" s="21">
        <v>20.51</v>
      </c>
      <c r="D191" s="21">
        <v>24.03</v>
      </c>
    </row>
    <row r="192" spans="1:9" x14ac:dyDescent="0.3">
      <c r="A192" s="20" t="s">
        <v>17</v>
      </c>
      <c r="B192" s="20" t="s">
        <v>23</v>
      </c>
      <c r="C192" s="21">
        <v>21.7</v>
      </c>
      <c r="D192" s="21">
        <v>22.85</v>
      </c>
    </row>
    <row r="193" spans="1:9" x14ac:dyDescent="0.3">
      <c r="A193" s="20" t="s">
        <v>18</v>
      </c>
      <c r="B193" s="20" t="s">
        <v>23</v>
      </c>
      <c r="C193" s="21">
        <v>21.74</v>
      </c>
      <c r="D193" s="21">
        <v>23.18</v>
      </c>
    </row>
    <row r="194" spans="1:9" x14ac:dyDescent="0.3">
      <c r="A194" s="20" t="s">
        <v>39</v>
      </c>
      <c r="B194" s="20" t="s">
        <v>23</v>
      </c>
      <c r="C194" s="21">
        <v>20.91</v>
      </c>
      <c r="D194" s="21">
        <v>20.96</v>
      </c>
      <c r="F194" s="20" t="s">
        <v>22</v>
      </c>
      <c r="G194" s="22">
        <f>AVERAGE(C195:C206)</f>
        <v>13.376666666666667</v>
      </c>
      <c r="H194" s="22">
        <f>AVERAGE(D195:D206)</f>
        <v>13.88</v>
      </c>
      <c r="I194" s="25">
        <f>COUNT(D195:D206)</f>
        <v>12</v>
      </c>
    </row>
    <row r="195" spans="1:9" x14ac:dyDescent="0.3">
      <c r="A195" s="20" t="s">
        <v>6</v>
      </c>
      <c r="B195" s="20" t="s">
        <v>22</v>
      </c>
      <c r="C195" s="21">
        <v>6.52</v>
      </c>
      <c r="D195" s="21">
        <v>6.15</v>
      </c>
    </row>
    <row r="196" spans="1:9" x14ac:dyDescent="0.3">
      <c r="A196" s="20" t="s">
        <v>7</v>
      </c>
      <c r="B196" s="20" t="s">
        <v>22</v>
      </c>
      <c r="C196" s="21">
        <v>3.48</v>
      </c>
      <c r="D196" s="21">
        <v>3.13</v>
      </c>
    </row>
    <row r="197" spans="1:9" x14ac:dyDescent="0.3">
      <c r="A197" s="20" t="s">
        <v>9</v>
      </c>
      <c r="B197" s="20" t="s">
        <v>22</v>
      </c>
      <c r="C197" s="21">
        <v>3.24</v>
      </c>
      <c r="D197" s="21">
        <v>3.14</v>
      </c>
    </row>
    <row r="198" spans="1:9" x14ac:dyDescent="0.3">
      <c r="A198" s="20" t="s">
        <v>10</v>
      </c>
      <c r="B198" s="20" t="s">
        <v>22</v>
      </c>
      <c r="C198" s="21">
        <v>5.32</v>
      </c>
      <c r="D198" s="21">
        <v>5.35</v>
      </c>
    </row>
    <row r="199" spans="1:9" x14ac:dyDescent="0.3">
      <c r="A199" s="20" t="s">
        <v>11</v>
      </c>
      <c r="B199" s="20" t="s">
        <v>22</v>
      </c>
      <c r="C199" s="21">
        <v>8.75</v>
      </c>
      <c r="D199" s="21">
        <v>9.1</v>
      </c>
    </row>
    <row r="200" spans="1:9" x14ac:dyDescent="0.3">
      <c r="A200" s="20" t="s">
        <v>12</v>
      </c>
      <c r="B200" s="20" t="s">
        <v>22</v>
      </c>
      <c r="C200" s="21">
        <v>13.78</v>
      </c>
      <c r="D200" s="21">
        <v>14.69</v>
      </c>
    </row>
    <row r="201" spans="1:9" x14ac:dyDescent="0.3">
      <c r="A201" s="20" t="s">
        <v>14</v>
      </c>
      <c r="B201" s="20" t="s">
        <v>22</v>
      </c>
      <c r="C201" s="21">
        <v>17.329999999999998</v>
      </c>
      <c r="D201" s="21">
        <v>18.12</v>
      </c>
    </row>
    <row r="202" spans="1:9" x14ac:dyDescent="0.3">
      <c r="A202" s="20" t="s">
        <v>15</v>
      </c>
      <c r="B202" s="20" t="s">
        <v>22</v>
      </c>
      <c r="C202" s="21">
        <v>19.25</v>
      </c>
      <c r="D202" s="21">
        <v>21</v>
      </c>
    </row>
    <row r="203" spans="1:9" x14ac:dyDescent="0.3">
      <c r="A203" s="20" t="s">
        <v>16</v>
      </c>
      <c r="B203" s="20" t="s">
        <v>22</v>
      </c>
      <c r="C203" s="21">
        <v>21.61</v>
      </c>
      <c r="D203" s="21">
        <v>23.09</v>
      </c>
    </row>
    <row r="204" spans="1:9" x14ac:dyDescent="0.3">
      <c r="A204" s="20" t="s">
        <v>17</v>
      </c>
      <c r="B204" s="20" t="s">
        <v>22</v>
      </c>
      <c r="C204" s="21">
        <v>20.25</v>
      </c>
      <c r="D204" s="21">
        <v>21.49</v>
      </c>
    </row>
    <row r="205" spans="1:9" x14ac:dyDescent="0.3">
      <c r="A205" s="20" t="s">
        <v>18</v>
      </c>
      <c r="B205" s="20" t="s">
        <v>22</v>
      </c>
      <c r="C205" s="21">
        <v>20.71</v>
      </c>
      <c r="D205" s="21">
        <v>21.02</v>
      </c>
    </row>
    <row r="206" spans="1:9" x14ac:dyDescent="0.3">
      <c r="A206" s="20" t="s">
        <v>39</v>
      </c>
      <c r="B206" s="20" t="s">
        <v>22</v>
      </c>
      <c r="C206" s="21">
        <v>20.28</v>
      </c>
      <c r="D206" s="21">
        <v>20.28</v>
      </c>
      <c r="F206" s="20" t="s">
        <v>21</v>
      </c>
      <c r="G206" s="22">
        <f>AVERAGE(C207:C217)</f>
        <v>12.12</v>
      </c>
      <c r="H206" s="22">
        <f>AVERAGE(D207:D217)</f>
        <v>12.845454545454546</v>
      </c>
      <c r="I206" s="25">
        <f>COUNT(D207:D217)</f>
        <v>11</v>
      </c>
    </row>
    <row r="207" spans="1:9" x14ac:dyDescent="0.3">
      <c r="A207" s="20" t="s">
        <v>6</v>
      </c>
      <c r="B207" s="20" t="s">
        <v>21</v>
      </c>
      <c r="C207" s="21">
        <v>7.15</v>
      </c>
      <c r="D207" s="21">
        <v>6.62</v>
      </c>
    </row>
    <row r="208" spans="1:9" x14ac:dyDescent="0.3">
      <c r="A208" s="20" t="s">
        <v>7</v>
      </c>
      <c r="B208" s="20" t="s">
        <v>21</v>
      </c>
      <c r="C208" s="21">
        <v>3.74</v>
      </c>
      <c r="D208" s="21">
        <v>3.38</v>
      </c>
    </row>
    <row r="209" spans="1:9" x14ac:dyDescent="0.3">
      <c r="A209" s="20" t="s">
        <v>9</v>
      </c>
      <c r="B209" s="20" t="s">
        <v>21</v>
      </c>
      <c r="C209" s="21">
        <v>3.3</v>
      </c>
      <c r="D209" s="21">
        <v>3.07</v>
      </c>
    </row>
    <row r="210" spans="1:9" x14ac:dyDescent="0.3">
      <c r="A210" s="20" t="s">
        <v>10</v>
      </c>
      <c r="B210" s="20" t="s">
        <v>21</v>
      </c>
      <c r="C210" s="21">
        <v>5.33</v>
      </c>
      <c r="D210" s="21">
        <v>5.18</v>
      </c>
    </row>
    <row r="211" spans="1:9" x14ac:dyDescent="0.3">
      <c r="A211" s="20" t="s">
        <v>11</v>
      </c>
      <c r="B211" s="20" t="s">
        <v>21</v>
      </c>
      <c r="C211" s="21">
        <v>8.61</v>
      </c>
      <c r="D211" s="21">
        <v>8.84</v>
      </c>
    </row>
    <row r="212" spans="1:9" x14ac:dyDescent="0.3">
      <c r="A212" s="20" t="s">
        <v>12</v>
      </c>
      <c r="B212" s="20" t="s">
        <v>21</v>
      </c>
      <c r="C212" s="21">
        <v>11.11</v>
      </c>
      <c r="D212" s="21">
        <v>13.51</v>
      </c>
    </row>
    <row r="213" spans="1:9" x14ac:dyDescent="0.3">
      <c r="A213" s="20" t="s">
        <v>14</v>
      </c>
      <c r="B213" s="20" t="s">
        <v>21</v>
      </c>
      <c r="C213" s="21">
        <v>16.16</v>
      </c>
      <c r="D213" s="21">
        <v>17.399999999999999</v>
      </c>
    </row>
    <row r="214" spans="1:9" x14ac:dyDescent="0.3">
      <c r="A214" s="20" t="s">
        <v>16</v>
      </c>
      <c r="B214" s="20" t="s">
        <v>21</v>
      </c>
      <c r="C214" s="21">
        <v>18.690000000000001</v>
      </c>
      <c r="D214" s="21">
        <v>21.12</v>
      </c>
    </row>
    <row r="215" spans="1:9" x14ac:dyDescent="0.3">
      <c r="A215" s="20" t="s">
        <v>17</v>
      </c>
      <c r="B215" s="20" t="s">
        <v>21</v>
      </c>
      <c r="C215" s="21">
        <v>19.46</v>
      </c>
      <c r="D215" s="21">
        <v>22.05</v>
      </c>
    </row>
    <row r="216" spans="1:9" x14ac:dyDescent="0.3">
      <c r="A216" s="20" t="s">
        <v>18</v>
      </c>
      <c r="B216" s="20" t="s">
        <v>21</v>
      </c>
      <c r="C216" s="21">
        <v>19.850000000000001</v>
      </c>
      <c r="D216" s="21">
        <v>20.29</v>
      </c>
    </row>
    <row r="217" spans="1:9" x14ac:dyDescent="0.3">
      <c r="A217" s="20" t="s">
        <v>39</v>
      </c>
      <c r="B217" s="20" t="s">
        <v>21</v>
      </c>
      <c r="C217" s="21">
        <v>19.920000000000002</v>
      </c>
      <c r="D217" s="21">
        <v>19.84</v>
      </c>
      <c r="F217" s="20" t="s">
        <v>20</v>
      </c>
      <c r="G217" s="22">
        <f>AVERAGE(C218:C227)</f>
        <v>10.989000000000001</v>
      </c>
      <c r="H217" s="22">
        <f>AVERAGE(D218:D227)</f>
        <v>11.564</v>
      </c>
      <c r="I217" s="25">
        <f>COUNT(D218:D227)</f>
        <v>10</v>
      </c>
    </row>
    <row r="218" spans="1:9" x14ac:dyDescent="0.3">
      <c r="A218" s="20" t="s">
        <v>6</v>
      </c>
      <c r="B218" s="20" t="s">
        <v>20</v>
      </c>
      <c r="C218" s="21">
        <v>7.5</v>
      </c>
      <c r="D218" s="21">
        <v>6.93</v>
      </c>
    </row>
    <row r="219" spans="1:9" x14ac:dyDescent="0.3">
      <c r="A219" s="20" t="s">
        <v>7</v>
      </c>
      <c r="B219" s="20" t="s">
        <v>20</v>
      </c>
      <c r="C219" s="21">
        <v>4.1399999999999997</v>
      </c>
      <c r="D219" s="21">
        <v>4.07</v>
      </c>
    </row>
    <row r="220" spans="1:9" x14ac:dyDescent="0.3">
      <c r="A220" s="20" t="s">
        <v>9</v>
      </c>
      <c r="B220" s="20" t="s">
        <v>20</v>
      </c>
      <c r="C220" s="21">
        <v>3.59</v>
      </c>
      <c r="D220" s="21">
        <v>3.34</v>
      </c>
    </row>
    <row r="221" spans="1:9" x14ac:dyDescent="0.3">
      <c r="A221" s="20" t="s">
        <v>10</v>
      </c>
      <c r="B221" s="20" t="s">
        <v>20</v>
      </c>
      <c r="C221" s="21">
        <v>5.43</v>
      </c>
      <c r="D221" s="21">
        <v>5.48</v>
      </c>
    </row>
    <row r="222" spans="1:9" x14ac:dyDescent="0.3">
      <c r="A222" s="20" t="s">
        <v>11</v>
      </c>
      <c r="B222" s="20" t="s">
        <v>20</v>
      </c>
      <c r="C222" s="21">
        <v>8.5</v>
      </c>
      <c r="D222" s="21">
        <v>8.7200000000000006</v>
      </c>
    </row>
    <row r="223" spans="1:9" x14ac:dyDescent="0.3">
      <c r="A223" s="20" t="s">
        <v>12</v>
      </c>
      <c r="B223" s="20" t="s">
        <v>20</v>
      </c>
      <c r="C223" s="21">
        <v>10.62</v>
      </c>
      <c r="D223" s="21">
        <v>11.93</v>
      </c>
    </row>
    <row r="224" spans="1:9" x14ac:dyDescent="0.3">
      <c r="A224" s="20" t="s">
        <v>14</v>
      </c>
      <c r="B224" s="20" t="s">
        <v>20</v>
      </c>
      <c r="C224" s="21">
        <v>14.99</v>
      </c>
      <c r="D224" s="21">
        <v>16.350000000000001</v>
      </c>
    </row>
    <row r="225" spans="1:4" x14ac:dyDescent="0.3">
      <c r="A225" s="20" t="s">
        <v>16</v>
      </c>
      <c r="B225" s="20" t="s">
        <v>20</v>
      </c>
      <c r="C225" s="21">
        <v>16.57</v>
      </c>
      <c r="D225" s="21">
        <v>19.93</v>
      </c>
    </row>
    <row r="226" spans="1:4" x14ac:dyDescent="0.3">
      <c r="A226" s="20" t="s">
        <v>18</v>
      </c>
      <c r="B226" s="20" t="s">
        <v>20</v>
      </c>
      <c r="C226" s="21">
        <v>19.38</v>
      </c>
      <c r="D226" s="21">
        <v>19.649999999999999</v>
      </c>
    </row>
    <row r="227" spans="1:4" x14ac:dyDescent="0.3">
      <c r="A227" s="20" t="s">
        <v>39</v>
      </c>
      <c r="B227" s="20" t="s">
        <v>20</v>
      </c>
      <c r="C227" s="21">
        <v>19.170000000000002</v>
      </c>
      <c r="D227" s="21">
        <v>19.239999999999998</v>
      </c>
    </row>
  </sheetData>
  <sortState xmlns:xlrd2="http://schemas.microsoft.com/office/spreadsheetml/2017/richdata2" ref="A2:D229">
    <sortCondition ref="B2:B229"/>
  </sortState>
  <pageMargins left="0.7" right="0.7" top="0.75" bottom="0.75" header="0.3" footer="0.3"/>
  <ignoredErrors>
    <ignoredError sqref="G2:G4 H2:H4 I2:I4" formulaRange="1"/>
    <ignoredError sqref="F2:F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4"/>
  <sheetViews>
    <sheetView workbookViewId="0">
      <selection activeCell="H23" sqref="H23"/>
    </sheetView>
  </sheetViews>
  <sheetFormatPr defaultRowHeight="14.4" x14ac:dyDescent="0.3"/>
  <cols>
    <col min="1" max="1" width="10.44140625" style="20" bestFit="1" customWidth="1"/>
    <col min="2" max="2" width="13.109375" style="20" bestFit="1" customWidth="1"/>
    <col min="3" max="4" width="13.109375" style="21" bestFit="1" customWidth="1"/>
    <col min="6" max="6" width="14.109375" style="20" bestFit="1" customWidth="1"/>
    <col min="7" max="8" width="13.109375" bestFit="1" customWidth="1"/>
    <col min="9" max="9" width="30.6640625" style="32" bestFit="1" customWidth="1"/>
    <col min="10" max="10" width="19.33203125" bestFit="1" customWidth="1"/>
  </cols>
  <sheetData>
    <row r="1" spans="1:10" x14ac:dyDescent="0.3">
      <c r="A1" s="27" t="s">
        <v>1</v>
      </c>
      <c r="B1" s="27" t="s">
        <v>2</v>
      </c>
      <c r="C1" s="29" t="s">
        <v>37</v>
      </c>
      <c r="D1" s="29" t="s">
        <v>38</v>
      </c>
      <c r="F1" s="20" t="s">
        <v>2</v>
      </c>
      <c r="G1" t="s">
        <v>37</v>
      </c>
      <c r="H1" t="s">
        <v>38</v>
      </c>
      <c r="I1" s="32" t="s">
        <v>489</v>
      </c>
      <c r="J1" t="s">
        <v>488</v>
      </c>
    </row>
    <row r="2" spans="1:10" x14ac:dyDescent="0.3">
      <c r="A2" s="28" t="s">
        <v>463</v>
      </c>
      <c r="B2" s="28" t="s">
        <v>28</v>
      </c>
      <c r="C2" s="26">
        <v>1.1299999999999999</v>
      </c>
      <c r="D2" s="26">
        <v>1.1299999999999999</v>
      </c>
      <c r="F2" s="20" t="s">
        <v>28</v>
      </c>
      <c r="G2" s="21">
        <f>AVERAGE(C2:C18)</f>
        <v>13.077647058823532</v>
      </c>
      <c r="H2" s="21">
        <f>AVERAGE(D2:D18)</f>
        <v>13.492352941176472</v>
      </c>
      <c r="I2" s="32">
        <f>COUNT(D2:D18)</f>
        <v>17</v>
      </c>
    </row>
    <row r="3" spans="1:10" x14ac:dyDescent="0.3">
      <c r="A3" s="28" t="s">
        <v>464</v>
      </c>
      <c r="B3" s="28" t="s">
        <v>28</v>
      </c>
      <c r="C3" s="26">
        <v>1.02</v>
      </c>
      <c r="D3" s="26">
        <v>0.85</v>
      </c>
      <c r="F3" s="20" t="s">
        <v>34</v>
      </c>
      <c r="G3" s="21">
        <f>AVERAGE(C19:C34)</f>
        <v>13.470625000000002</v>
      </c>
      <c r="H3" s="21">
        <f>AVERAGE(D19:D34)</f>
        <v>14.441249999999998</v>
      </c>
      <c r="I3" s="32">
        <f>COUNT(D19:D34)</f>
        <v>16</v>
      </c>
    </row>
    <row r="4" spans="1:10" x14ac:dyDescent="0.3">
      <c r="A4" s="28" t="s">
        <v>465</v>
      </c>
      <c r="B4" s="28" t="s">
        <v>28</v>
      </c>
      <c r="C4" s="26">
        <v>2.09</v>
      </c>
      <c r="D4" s="26">
        <v>2.2799999999999998</v>
      </c>
      <c r="F4" s="20" t="s">
        <v>30</v>
      </c>
      <c r="G4">
        <v>13.510624999999999</v>
      </c>
      <c r="H4">
        <v>14.644375000000002</v>
      </c>
      <c r="I4" s="32">
        <v>16</v>
      </c>
    </row>
    <row r="5" spans="1:10" x14ac:dyDescent="0.3">
      <c r="A5" s="28" t="s">
        <v>466</v>
      </c>
      <c r="B5" s="28" t="s">
        <v>28</v>
      </c>
      <c r="C5" s="26">
        <v>2.98</v>
      </c>
      <c r="D5" s="26">
        <v>2.96</v>
      </c>
      <c r="F5" s="20" t="s">
        <v>29</v>
      </c>
      <c r="G5">
        <v>12.560588235294118</v>
      </c>
      <c r="H5">
        <v>14.070588235294117</v>
      </c>
      <c r="I5" s="32">
        <v>17</v>
      </c>
    </row>
    <row r="6" spans="1:10" x14ac:dyDescent="0.3">
      <c r="A6" s="28" t="s">
        <v>467</v>
      </c>
      <c r="B6" s="28" t="s">
        <v>28</v>
      </c>
      <c r="C6" s="26">
        <v>4.3600000000000003</v>
      </c>
      <c r="D6" s="26">
        <v>4.38</v>
      </c>
      <c r="F6" s="20" t="s">
        <v>26</v>
      </c>
      <c r="G6">
        <v>13.05875</v>
      </c>
      <c r="H6">
        <v>14.979375000000001</v>
      </c>
      <c r="I6" s="32">
        <v>16</v>
      </c>
    </row>
    <row r="7" spans="1:10" x14ac:dyDescent="0.3">
      <c r="A7" s="28" t="s">
        <v>468</v>
      </c>
      <c r="B7" s="28" t="s">
        <v>28</v>
      </c>
      <c r="C7" s="26">
        <v>7.2</v>
      </c>
      <c r="D7" s="26">
        <v>8.1</v>
      </c>
      <c r="F7" s="20" t="s">
        <v>27</v>
      </c>
      <c r="G7">
        <v>12.155882352941175</v>
      </c>
      <c r="H7">
        <v>14.057647058823527</v>
      </c>
      <c r="I7" s="32">
        <v>17</v>
      </c>
    </row>
    <row r="8" spans="1:10" x14ac:dyDescent="0.3">
      <c r="A8" s="28" t="s">
        <v>469</v>
      </c>
      <c r="B8" s="28" t="s">
        <v>28</v>
      </c>
      <c r="C8" s="26">
        <v>15.67</v>
      </c>
      <c r="D8" s="26">
        <v>15.8</v>
      </c>
      <c r="F8" s="20" t="s">
        <v>35</v>
      </c>
      <c r="G8">
        <v>12.524374999999999</v>
      </c>
      <c r="H8">
        <v>14.790000000000003</v>
      </c>
      <c r="I8" s="32">
        <v>16</v>
      </c>
    </row>
    <row r="9" spans="1:10" x14ac:dyDescent="0.3">
      <c r="A9" s="28" t="s">
        <v>470</v>
      </c>
      <c r="B9" s="28" t="s">
        <v>28</v>
      </c>
      <c r="C9" s="26">
        <v>16.420000000000002</v>
      </c>
      <c r="D9" s="26">
        <v>17</v>
      </c>
      <c r="F9" s="20" t="s">
        <v>31</v>
      </c>
      <c r="G9">
        <v>11.73764705882353</v>
      </c>
      <c r="H9">
        <v>14.024117647058821</v>
      </c>
      <c r="I9" s="32">
        <v>17</v>
      </c>
    </row>
    <row r="10" spans="1:10" x14ac:dyDescent="0.3">
      <c r="A10" s="28" t="s">
        <v>471</v>
      </c>
      <c r="B10" s="28" t="s">
        <v>28</v>
      </c>
      <c r="C10" s="26">
        <v>17.77</v>
      </c>
      <c r="D10" s="26">
        <v>20.9</v>
      </c>
      <c r="F10" s="20" t="s">
        <v>32</v>
      </c>
      <c r="G10">
        <v>12.799375000000001</v>
      </c>
      <c r="H10">
        <v>14.498125</v>
      </c>
      <c r="I10" s="32">
        <v>16</v>
      </c>
    </row>
    <row r="11" spans="1:10" x14ac:dyDescent="0.3">
      <c r="A11" s="28" t="s">
        <v>472</v>
      </c>
      <c r="B11" s="28" t="s">
        <v>28</v>
      </c>
      <c r="C11" s="26">
        <v>19.059999999999999</v>
      </c>
      <c r="D11" s="26">
        <v>19.78</v>
      </c>
      <c r="F11" s="20" t="s">
        <v>33</v>
      </c>
      <c r="G11">
        <v>12.423750000000004</v>
      </c>
      <c r="H11">
        <v>14.698125000000001</v>
      </c>
      <c r="I11" s="32">
        <v>16</v>
      </c>
    </row>
    <row r="12" spans="1:10" x14ac:dyDescent="0.3">
      <c r="A12" s="28" t="s">
        <v>473</v>
      </c>
      <c r="B12" s="28" t="s">
        <v>28</v>
      </c>
      <c r="C12" s="26">
        <v>23.34</v>
      </c>
      <c r="D12" s="26">
        <v>24.1</v>
      </c>
      <c r="F12" s="20" t="s">
        <v>25</v>
      </c>
      <c r="G12">
        <v>13.55153846153846</v>
      </c>
      <c r="H12">
        <v>15.190769230769233</v>
      </c>
      <c r="I12" s="32">
        <v>13</v>
      </c>
    </row>
    <row r="13" spans="1:10" x14ac:dyDescent="0.3">
      <c r="A13" s="28" t="s">
        <v>474</v>
      </c>
      <c r="B13" s="28" t="s">
        <v>28</v>
      </c>
      <c r="C13" s="26">
        <v>22.82</v>
      </c>
      <c r="D13" s="26">
        <v>23.71</v>
      </c>
      <c r="F13" s="20" t="s">
        <v>36</v>
      </c>
      <c r="G13">
        <v>12.422857142857142</v>
      </c>
      <c r="H13">
        <v>14.330714285714285</v>
      </c>
      <c r="I13" s="32">
        <v>14</v>
      </c>
    </row>
    <row r="14" spans="1:10" x14ac:dyDescent="0.3">
      <c r="A14" s="28" t="s">
        <v>475</v>
      </c>
      <c r="B14" s="28" t="s">
        <v>28</v>
      </c>
      <c r="C14" s="26">
        <v>22.86</v>
      </c>
      <c r="D14" s="26">
        <v>23.31</v>
      </c>
      <c r="F14" s="20" t="s">
        <v>24</v>
      </c>
      <c r="G14">
        <v>12.025714285714285</v>
      </c>
      <c r="H14">
        <v>14.092142857142857</v>
      </c>
      <c r="I14" s="32">
        <v>15</v>
      </c>
    </row>
    <row r="15" spans="1:10" x14ac:dyDescent="0.3">
      <c r="A15" s="28" t="s">
        <v>476</v>
      </c>
      <c r="B15" s="28" t="s">
        <v>28</v>
      </c>
      <c r="C15" s="26">
        <v>21.73</v>
      </c>
      <c r="D15" s="26">
        <v>21.74</v>
      </c>
      <c r="F15" s="20" t="s">
        <v>23</v>
      </c>
      <c r="G15">
        <v>13.516923076923076</v>
      </c>
      <c r="H15">
        <v>14.940769230769233</v>
      </c>
      <c r="I15" s="32">
        <v>13</v>
      </c>
    </row>
    <row r="16" spans="1:10" x14ac:dyDescent="0.3">
      <c r="A16" s="28" t="s">
        <v>477</v>
      </c>
      <c r="B16" s="28" t="s">
        <v>28</v>
      </c>
      <c r="C16" s="26">
        <v>21.12</v>
      </c>
      <c r="D16" s="26">
        <v>20.96</v>
      </c>
      <c r="F16" s="20" t="s">
        <v>22</v>
      </c>
      <c r="G16">
        <v>13.618461538461538</v>
      </c>
      <c r="H16">
        <v>14.001538461538461</v>
      </c>
      <c r="I16" s="32">
        <v>13</v>
      </c>
    </row>
    <row r="17" spans="1:9" x14ac:dyDescent="0.3">
      <c r="A17" s="28" t="s">
        <v>478</v>
      </c>
      <c r="B17" s="28" t="s">
        <v>28</v>
      </c>
      <c r="C17" s="26">
        <v>14.14</v>
      </c>
      <c r="D17" s="26">
        <v>13.96</v>
      </c>
      <c r="F17" s="20" t="s">
        <v>21</v>
      </c>
      <c r="G17">
        <v>13.297692307692309</v>
      </c>
      <c r="H17">
        <v>13.713846153846154</v>
      </c>
      <c r="I17" s="32">
        <v>13</v>
      </c>
    </row>
    <row r="18" spans="1:9" x14ac:dyDescent="0.3">
      <c r="A18" s="28" t="s">
        <v>479</v>
      </c>
      <c r="B18" s="28" t="s">
        <v>28</v>
      </c>
      <c r="C18" s="26">
        <v>8.61</v>
      </c>
      <c r="D18" s="26">
        <v>8.41</v>
      </c>
      <c r="F18" s="20" t="s">
        <v>20</v>
      </c>
      <c r="G18">
        <v>11.813636363636363</v>
      </c>
      <c r="H18">
        <v>12.24818181818182</v>
      </c>
      <c r="I18" s="32">
        <v>11</v>
      </c>
    </row>
    <row r="19" spans="1:9" x14ac:dyDescent="0.3">
      <c r="A19" s="28" t="s">
        <v>463</v>
      </c>
      <c r="B19" s="28" t="s">
        <v>34</v>
      </c>
      <c r="C19" s="26">
        <v>1.27</v>
      </c>
      <c r="D19" s="26">
        <v>1.31</v>
      </c>
      <c r="F19" s="20" t="s">
        <v>484</v>
      </c>
      <c r="G19" s="21">
        <f>AVERAGE(G2:G18)</f>
        <v>12.798005169570912</v>
      </c>
      <c r="H19" s="21">
        <f>AVERAGE(H2:H18)</f>
        <v>14.247877524724412</v>
      </c>
      <c r="I19" s="32" t="s">
        <v>486</v>
      </c>
    </row>
    <row r="20" spans="1:9" x14ac:dyDescent="0.3">
      <c r="A20" s="28" t="s">
        <v>464</v>
      </c>
      <c r="B20" s="28" t="s">
        <v>34</v>
      </c>
      <c r="C20" s="26">
        <v>1.28</v>
      </c>
      <c r="D20" s="26">
        <v>1.2</v>
      </c>
      <c r="F20" s="23" t="s">
        <v>485</v>
      </c>
      <c r="G20">
        <f>SUMPRODUCT(G2:G18,I2:I18)/SUM(I2:I18)</f>
        <v>12.783967633928569</v>
      </c>
      <c r="H20">
        <f>SUMPRODUCT(H2:H18,I2:I18)/SUM(I2:I18)</f>
        <v>14.271609933035716</v>
      </c>
      <c r="I20" s="32" t="s">
        <v>486</v>
      </c>
    </row>
    <row r="21" spans="1:9" x14ac:dyDescent="0.3">
      <c r="A21" s="28" t="s">
        <v>466</v>
      </c>
      <c r="B21" s="28" t="s">
        <v>34</v>
      </c>
      <c r="C21" s="26">
        <v>2.71</v>
      </c>
      <c r="D21" s="26">
        <v>2.87</v>
      </c>
    </row>
    <row r="22" spans="1:9" x14ac:dyDescent="0.3">
      <c r="A22" s="28" t="s">
        <v>467</v>
      </c>
      <c r="B22" s="28" t="s">
        <v>34</v>
      </c>
      <c r="C22" s="26">
        <v>4.71</v>
      </c>
      <c r="D22" s="26">
        <v>4.83</v>
      </c>
    </row>
    <row r="23" spans="1:9" x14ac:dyDescent="0.3">
      <c r="A23" s="28" t="s">
        <v>468</v>
      </c>
      <c r="B23" s="28" t="s">
        <v>34</v>
      </c>
      <c r="C23" s="26">
        <v>9.11</v>
      </c>
      <c r="D23" s="26">
        <v>9.76</v>
      </c>
    </row>
    <row r="24" spans="1:9" x14ac:dyDescent="0.3">
      <c r="A24" s="28" t="s">
        <v>469</v>
      </c>
      <c r="B24" s="28" t="s">
        <v>34</v>
      </c>
      <c r="C24" s="26">
        <v>12.1</v>
      </c>
      <c r="D24" s="26">
        <v>14.63</v>
      </c>
    </row>
    <row r="25" spans="1:9" x14ac:dyDescent="0.3">
      <c r="A25" s="28" t="s">
        <v>470</v>
      </c>
      <c r="B25" s="28" t="s">
        <v>34</v>
      </c>
      <c r="C25" s="31">
        <v>13.76</v>
      </c>
      <c r="D25" s="31">
        <v>16.05</v>
      </c>
    </row>
    <row r="26" spans="1:9" x14ac:dyDescent="0.3">
      <c r="A26" s="28" t="s">
        <v>471</v>
      </c>
      <c r="B26" s="28" t="s">
        <v>34</v>
      </c>
      <c r="C26" s="26">
        <v>17.21</v>
      </c>
      <c r="D26" s="26">
        <v>21.57</v>
      </c>
    </row>
    <row r="27" spans="1:9" x14ac:dyDescent="0.3">
      <c r="A27" s="28" t="s">
        <v>472</v>
      </c>
      <c r="B27" s="28" t="s">
        <v>34</v>
      </c>
      <c r="C27" s="31">
        <v>19.68</v>
      </c>
      <c r="D27" s="31">
        <v>20.78</v>
      </c>
    </row>
    <row r="28" spans="1:9" x14ac:dyDescent="0.3">
      <c r="A28" s="28" t="s">
        <v>473</v>
      </c>
      <c r="B28" s="28" t="s">
        <v>34</v>
      </c>
      <c r="C28" s="26">
        <v>22.51</v>
      </c>
      <c r="D28" s="26">
        <v>23.33</v>
      </c>
    </row>
    <row r="29" spans="1:9" x14ac:dyDescent="0.3">
      <c r="A29" s="28" t="s">
        <v>474</v>
      </c>
      <c r="B29" s="28" t="s">
        <v>34</v>
      </c>
      <c r="C29" s="31">
        <v>21.64</v>
      </c>
      <c r="D29" s="31">
        <v>22.92</v>
      </c>
    </row>
    <row r="30" spans="1:9" x14ac:dyDescent="0.3">
      <c r="A30" s="28" t="s">
        <v>475</v>
      </c>
      <c r="B30" s="28" t="s">
        <v>34</v>
      </c>
      <c r="C30" s="26">
        <v>23.64</v>
      </c>
      <c r="D30" s="26">
        <v>25.04</v>
      </c>
    </row>
    <row r="31" spans="1:9" x14ac:dyDescent="0.3">
      <c r="A31" s="28" t="s">
        <v>476</v>
      </c>
      <c r="B31" s="28" t="s">
        <v>34</v>
      </c>
      <c r="C31" s="31">
        <v>22.42</v>
      </c>
      <c r="D31" s="31">
        <v>22.81</v>
      </c>
    </row>
    <row r="32" spans="1:9" x14ac:dyDescent="0.3">
      <c r="A32" s="28" t="s">
        <v>477</v>
      </c>
      <c r="B32" s="28" t="s">
        <v>34</v>
      </c>
      <c r="C32" s="31">
        <v>20.97</v>
      </c>
      <c r="D32" s="31">
        <v>21.44</v>
      </c>
    </row>
    <row r="33" spans="1:9" x14ac:dyDescent="0.3">
      <c r="A33" s="28" t="s">
        <v>478</v>
      </c>
      <c r="B33" s="28" t="s">
        <v>34</v>
      </c>
      <c r="C33" s="31">
        <v>14.43</v>
      </c>
      <c r="D33" s="31">
        <v>14.45</v>
      </c>
    </row>
    <row r="34" spans="1:9" x14ac:dyDescent="0.3">
      <c r="A34" s="28" t="s">
        <v>479</v>
      </c>
      <c r="B34" s="28" t="s">
        <v>34</v>
      </c>
      <c r="C34" s="31">
        <v>8.09</v>
      </c>
      <c r="D34" s="31">
        <v>8.07</v>
      </c>
    </row>
    <row r="35" spans="1:9" x14ac:dyDescent="0.3">
      <c r="A35" s="28" t="s">
        <v>463</v>
      </c>
      <c r="B35" s="28" t="s">
        <v>30</v>
      </c>
      <c r="C35" s="31">
        <v>0.72</v>
      </c>
      <c r="D35" s="31">
        <v>0.16</v>
      </c>
      <c r="F35" s="20" t="s">
        <v>30</v>
      </c>
      <c r="G35" s="21">
        <f>AVERAGE(C35:C51)</f>
        <v>13.510624999999999</v>
      </c>
      <c r="H35" s="21">
        <f>AVERAGE(D35:D51)</f>
        <v>14.644375000000002</v>
      </c>
      <c r="I35" s="32">
        <f>COUNT(D35:D51)</f>
        <v>16</v>
      </c>
    </row>
    <row r="36" spans="1:9" x14ac:dyDescent="0.3">
      <c r="A36" s="28" t="s">
        <v>464</v>
      </c>
      <c r="B36" s="28" t="s">
        <v>30</v>
      </c>
      <c r="C36" s="30" t="s">
        <v>42</v>
      </c>
      <c r="D36" s="30" t="s">
        <v>42</v>
      </c>
    </row>
    <row r="37" spans="1:9" x14ac:dyDescent="0.3">
      <c r="A37" s="28" t="s">
        <v>465</v>
      </c>
      <c r="B37" s="28" t="s">
        <v>30</v>
      </c>
      <c r="C37" s="26">
        <v>1.82</v>
      </c>
      <c r="D37" s="26">
        <v>2.4300000000000002</v>
      </c>
    </row>
    <row r="38" spans="1:9" x14ac:dyDescent="0.3">
      <c r="A38" s="28" t="s">
        <v>466</v>
      </c>
      <c r="B38" s="28" t="s">
        <v>30</v>
      </c>
      <c r="C38" s="26">
        <v>3.23</v>
      </c>
      <c r="D38" s="26">
        <v>3.46</v>
      </c>
    </row>
    <row r="39" spans="1:9" x14ac:dyDescent="0.3">
      <c r="A39" s="28" t="s">
        <v>467</v>
      </c>
      <c r="B39" s="28" t="s">
        <v>30</v>
      </c>
      <c r="C39" s="26">
        <v>4.72</v>
      </c>
      <c r="D39" s="26">
        <v>5.45</v>
      </c>
    </row>
    <row r="40" spans="1:9" x14ac:dyDescent="0.3">
      <c r="A40" s="28" t="s">
        <v>468</v>
      </c>
      <c r="B40" s="28" t="s">
        <v>30</v>
      </c>
      <c r="C40" s="26">
        <v>8.86</v>
      </c>
      <c r="D40" s="26">
        <v>9.7799999999999994</v>
      </c>
    </row>
    <row r="41" spans="1:9" x14ac:dyDescent="0.3">
      <c r="A41" s="28" t="s">
        <v>469</v>
      </c>
      <c r="B41" s="28" t="s">
        <v>30</v>
      </c>
      <c r="C41" s="26">
        <v>15.07</v>
      </c>
      <c r="D41" s="26">
        <v>17.07</v>
      </c>
    </row>
    <row r="42" spans="1:9" x14ac:dyDescent="0.3">
      <c r="A42" s="28" t="s">
        <v>470</v>
      </c>
      <c r="B42" s="28" t="s">
        <v>30</v>
      </c>
      <c r="C42" s="26">
        <v>15.03</v>
      </c>
      <c r="D42" s="26">
        <v>17.28</v>
      </c>
    </row>
    <row r="43" spans="1:9" x14ac:dyDescent="0.3">
      <c r="A43" s="28" t="s">
        <v>471</v>
      </c>
      <c r="B43" s="28" t="s">
        <v>30</v>
      </c>
      <c r="C43" s="26">
        <v>16.04</v>
      </c>
      <c r="D43" s="26">
        <v>21.68</v>
      </c>
    </row>
    <row r="44" spans="1:9" x14ac:dyDescent="0.3">
      <c r="A44" s="28" t="s">
        <v>472</v>
      </c>
      <c r="B44" s="28" t="s">
        <v>30</v>
      </c>
      <c r="C44" s="26">
        <v>17.91</v>
      </c>
      <c r="D44" s="26">
        <v>20.38</v>
      </c>
    </row>
    <row r="45" spans="1:9" x14ac:dyDescent="0.3">
      <c r="A45" s="28" t="s">
        <v>473</v>
      </c>
      <c r="B45" s="28" t="s">
        <v>30</v>
      </c>
      <c r="C45" s="26">
        <v>20.99</v>
      </c>
      <c r="D45" s="26">
        <v>23.42</v>
      </c>
    </row>
    <row r="46" spans="1:9" x14ac:dyDescent="0.3">
      <c r="A46" s="28" t="s">
        <v>474</v>
      </c>
      <c r="B46" s="28" t="s">
        <v>30</v>
      </c>
      <c r="C46" s="26">
        <v>23.24</v>
      </c>
      <c r="D46" s="26">
        <v>23.63</v>
      </c>
    </row>
    <row r="47" spans="1:9" x14ac:dyDescent="0.3">
      <c r="A47" s="28" t="s">
        <v>475</v>
      </c>
      <c r="B47" s="28" t="s">
        <v>30</v>
      </c>
      <c r="C47" s="26">
        <v>23.12</v>
      </c>
      <c r="D47" s="26">
        <v>24.11</v>
      </c>
    </row>
    <row r="48" spans="1:9" x14ac:dyDescent="0.3">
      <c r="A48" s="28" t="s">
        <v>476</v>
      </c>
      <c r="B48" s="28" t="s">
        <v>30</v>
      </c>
      <c r="C48" s="26">
        <v>22.59</v>
      </c>
      <c r="D48" s="26">
        <v>22.59</v>
      </c>
    </row>
    <row r="49" spans="1:9" x14ac:dyDescent="0.3">
      <c r="A49" s="28" t="s">
        <v>477</v>
      </c>
      <c r="B49" s="28" t="s">
        <v>30</v>
      </c>
      <c r="C49" s="26">
        <v>21.04</v>
      </c>
      <c r="D49" s="26">
        <v>21.4</v>
      </c>
    </row>
    <row r="50" spans="1:9" x14ac:dyDescent="0.3">
      <c r="A50" s="28" t="s">
        <v>478</v>
      </c>
      <c r="B50" s="28" t="s">
        <v>30</v>
      </c>
      <c r="C50" s="26">
        <v>14.07</v>
      </c>
      <c r="D50" s="26">
        <v>13.84</v>
      </c>
    </row>
    <row r="51" spans="1:9" x14ac:dyDescent="0.3">
      <c r="A51" s="28" t="s">
        <v>479</v>
      </c>
      <c r="B51" s="28" t="s">
        <v>30</v>
      </c>
      <c r="C51" s="26">
        <v>7.72</v>
      </c>
      <c r="D51" s="26">
        <v>7.63</v>
      </c>
    </row>
    <row r="52" spans="1:9" x14ac:dyDescent="0.3">
      <c r="A52" s="28" t="s">
        <v>463</v>
      </c>
      <c r="B52" s="28" t="s">
        <v>29</v>
      </c>
      <c r="C52" s="26">
        <v>1.4</v>
      </c>
      <c r="D52" s="26">
        <v>0.18</v>
      </c>
      <c r="F52" s="20" t="s">
        <v>29</v>
      </c>
      <c r="G52" s="21">
        <f>AVERAGE(C52:C68)</f>
        <v>12.560588235294118</v>
      </c>
      <c r="H52" s="21">
        <f>AVERAGE(D52:D68)</f>
        <v>14.070588235294117</v>
      </c>
      <c r="I52" s="32">
        <f>COUNT(D52:D68)</f>
        <v>17</v>
      </c>
    </row>
    <row r="53" spans="1:9" x14ac:dyDescent="0.3">
      <c r="A53" s="28" t="s">
        <v>464</v>
      </c>
      <c r="B53" s="28" t="s">
        <v>29</v>
      </c>
      <c r="C53" s="26">
        <v>1.1299999999999999</v>
      </c>
      <c r="D53" s="26">
        <v>1.01</v>
      </c>
    </row>
    <row r="54" spans="1:9" x14ac:dyDescent="0.3">
      <c r="A54" s="28" t="s">
        <v>465</v>
      </c>
      <c r="B54" s="28" t="s">
        <v>29</v>
      </c>
      <c r="C54" s="26">
        <v>1.6</v>
      </c>
      <c r="D54" s="26">
        <v>2.44</v>
      </c>
    </row>
    <row r="55" spans="1:9" x14ac:dyDescent="0.3">
      <c r="A55" s="28" t="s">
        <v>466</v>
      </c>
      <c r="B55" s="28" t="s">
        <v>29</v>
      </c>
      <c r="C55" s="26">
        <v>3.08</v>
      </c>
      <c r="D55" s="26">
        <v>3.34</v>
      </c>
    </row>
    <row r="56" spans="1:9" x14ac:dyDescent="0.3">
      <c r="A56" s="28" t="s">
        <v>467</v>
      </c>
      <c r="B56" s="28" t="s">
        <v>29</v>
      </c>
      <c r="C56" s="26">
        <v>4.99</v>
      </c>
      <c r="D56" s="26">
        <v>5.23</v>
      </c>
    </row>
    <row r="57" spans="1:9" x14ac:dyDescent="0.3">
      <c r="A57" s="28" t="s">
        <v>468</v>
      </c>
      <c r="B57" s="28" t="s">
        <v>29</v>
      </c>
      <c r="C57" s="26">
        <v>7.55</v>
      </c>
      <c r="D57" s="26">
        <v>9.9</v>
      </c>
    </row>
    <row r="58" spans="1:9" x14ac:dyDescent="0.3">
      <c r="A58" s="28" t="s">
        <v>469</v>
      </c>
      <c r="B58" s="28" t="s">
        <v>29</v>
      </c>
      <c r="C58" s="26">
        <v>15.04</v>
      </c>
      <c r="D58" s="26">
        <v>16.72</v>
      </c>
    </row>
    <row r="59" spans="1:9" x14ac:dyDescent="0.3">
      <c r="A59" s="28" t="s">
        <v>470</v>
      </c>
      <c r="B59" s="28" t="s">
        <v>29</v>
      </c>
      <c r="C59" s="26">
        <v>14.21</v>
      </c>
      <c r="D59" s="26">
        <v>18.14</v>
      </c>
    </row>
    <row r="60" spans="1:9" x14ac:dyDescent="0.3">
      <c r="A60" s="28" t="s">
        <v>471</v>
      </c>
      <c r="B60" s="28" t="s">
        <v>29</v>
      </c>
      <c r="C60" s="26">
        <v>15.63</v>
      </c>
      <c r="D60" s="26">
        <v>24.42</v>
      </c>
    </row>
    <row r="61" spans="1:9" x14ac:dyDescent="0.3">
      <c r="A61" s="28" t="s">
        <v>472</v>
      </c>
      <c r="B61" s="28" t="s">
        <v>29</v>
      </c>
      <c r="C61" s="26">
        <v>16.739999999999998</v>
      </c>
      <c r="D61" s="26">
        <v>20.09</v>
      </c>
    </row>
    <row r="62" spans="1:9" x14ac:dyDescent="0.3">
      <c r="A62" s="28" t="s">
        <v>473</v>
      </c>
      <c r="B62" s="28" t="s">
        <v>29</v>
      </c>
      <c r="C62" s="26">
        <v>20.48</v>
      </c>
      <c r="D62" s="26">
        <v>23.31</v>
      </c>
    </row>
    <row r="63" spans="1:9" x14ac:dyDescent="0.3">
      <c r="A63" s="28" t="s">
        <v>474</v>
      </c>
      <c r="B63" s="28" t="s">
        <v>29</v>
      </c>
      <c r="C63" s="26">
        <v>23.01</v>
      </c>
      <c r="D63" s="26">
        <v>24.26</v>
      </c>
    </row>
    <row r="64" spans="1:9" x14ac:dyDescent="0.3">
      <c r="A64" s="28" t="s">
        <v>475</v>
      </c>
      <c r="B64" s="28" t="s">
        <v>29</v>
      </c>
      <c r="C64" s="26">
        <v>22.81</v>
      </c>
      <c r="D64" s="26">
        <v>24.17</v>
      </c>
    </row>
    <row r="65" spans="1:9" x14ac:dyDescent="0.3">
      <c r="A65" s="28" t="s">
        <v>476</v>
      </c>
      <c r="B65" s="28" t="s">
        <v>29</v>
      </c>
      <c r="C65" s="26">
        <v>22.42</v>
      </c>
      <c r="D65" s="26">
        <v>22.64</v>
      </c>
    </row>
    <row r="66" spans="1:9" x14ac:dyDescent="0.3">
      <c r="A66" s="28" t="s">
        <v>477</v>
      </c>
      <c r="B66" s="28" t="s">
        <v>29</v>
      </c>
      <c r="C66" s="26">
        <v>21.09</v>
      </c>
      <c r="D66" s="26">
        <v>21.27</v>
      </c>
    </row>
    <row r="67" spans="1:9" x14ac:dyDescent="0.3">
      <c r="A67" s="28" t="s">
        <v>478</v>
      </c>
      <c r="B67" s="28" t="s">
        <v>29</v>
      </c>
      <c r="C67" s="26">
        <v>14.3</v>
      </c>
      <c r="D67" s="26">
        <v>14.21</v>
      </c>
    </row>
    <row r="68" spans="1:9" x14ac:dyDescent="0.3">
      <c r="A68" s="28" t="s">
        <v>479</v>
      </c>
      <c r="B68" s="28" t="s">
        <v>29</v>
      </c>
      <c r="C68" s="26">
        <v>8.0500000000000007</v>
      </c>
      <c r="D68" s="26">
        <v>7.87</v>
      </c>
    </row>
    <row r="69" spans="1:9" x14ac:dyDescent="0.3">
      <c r="A69" s="28" t="s">
        <v>463</v>
      </c>
      <c r="B69" s="28" t="s">
        <v>26</v>
      </c>
      <c r="C69" s="26">
        <v>1.87</v>
      </c>
      <c r="D69" s="26">
        <v>1.06</v>
      </c>
    </row>
    <row r="70" spans="1:9" x14ac:dyDescent="0.3">
      <c r="A70" s="28" t="s">
        <v>464</v>
      </c>
      <c r="B70" s="28" t="s">
        <v>26</v>
      </c>
      <c r="C70" s="30" t="s">
        <v>42</v>
      </c>
      <c r="D70" s="30" t="s">
        <v>42</v>
      </c>
      <c r="F70" s="20" t="s">
        <v>26</v>
      </c>
      <c r="G70" s="21">
        <f>AVERAGE(C69:C85)</f>
        <v>13.05875</v>
      </c>
      <c r="H70" s="21">
        <f>AVERAGE(D69:D85)</f>
        <v>14.979375000000001</v>
      </c>
      <c r="I70" s="32">
        <f>COUNT(D69:D85)</f>
        <v>16</v>
      </c>
    </row>
    <row r="71" spans="1:9" x14ac:dyDescent="0.3">
      <c r="A71" s="28" t="s">
        <v>465</v>
      </c>
      <c r="B71" s="28" t="s">
        <v>26</v>
      </c>
      <c r="C71" s="26">
        <v>1.56</v>
      </c>
      <c r="D71" s="26">
        <v>2.41</v>
      </c>
    </row>
    <row r="72" spans="1:9" x14ac:dyDescent="0.3">
      <c r="A72" s="28" t="s">
        <v>466</v>
      </c>
      <c r="B72" s="28" t="s">
        <v>26</v>
      </c>
      <c r="C72" s="26">
        <v>3.05</v>
      </c>
      <c r="D72" s="26">
        <v>3.53</v>
      </c>
    </row>
    <row r="73" spans="1:9" x14ac:dyDescent="0.3">
      <c r="A73" s="28" t="s">
        <v>467</v>
      </c>
      <c r="B73" s="28" t="s">
        <v>26</v>
      </c>
      <c r="C73" s="26">
        <v>4.5199999999999996</v>
      </c>
      <c r="D73" s="26">
        <v>4.54</v>
      </c>
    </row>
    <row r="74" spans="1:9" x14ac:dyDescent="0.3">
      <c r="A74" s="28" t="s">
        <v>468</v>
      </c>
      <c r="B74" s="28" t="s">
        <v>26</v>
      </c>
      <c r="C74" s="26">
        <v>6.98</v>
      </c>
      <c r="D74" s="26">
        <v>9.75</v>
      </c>
    </row>
    <row r="75" spans="1:9" x14ac:dyDescent="0.3">
      <c r="A75" s="28" t="s">
        <v>469</v>
      </c>
      <c r="B75" s="28" t="s">
        <v>26</v>
      </c>
      <c r="C75" s="26">
        <v>14.61</v>
      </c>
      <c r="D75" s="26">
        <v>16.48</v>
      </c>
    </row>
    <row r="76" spans="1:9" x14ac:dyDescent="0.3">
      <c r="A76" s="28" t="s">
        <v>470</v>
      </c>
      <c r="B76" s="28" t="s">
        <v>26</v>
      </c>
      <c r="C76" s="26">
        <v>12.83</v>
      </c>
      <c r="D76" s="26">
        <v>17.62</v>
      </c>
    </row>
    <row r="77" spans="1:9" x14ac:dyDescent="0.3">
      <c r="A77" s="28" t="s">
        <v>471</v>
      </c>
      <c r="B77" s="28" t="s">
        <v>26</v>
      </c>
      <c r="C77" s="26">
        <v>15.2</v>
      </c>
      <c r="D77" s="26">
        <v>24.6</v>
      </c>
    </row>
    <row r="78" spans="1:9" x14ac:dyDescent="0.3">
      <c r="A78" s="28" t="s">
        <v>472</v>
      </c>
      <c r="B78" s="28" t="s">
        <v>26</v>
      </c>
      <c r="C78" s="26">
        <v>16.82</v>
      </c>
      <c r="D78" s="26">
        <v>21.8</v>
      </c>
    </row>
    <row r="79" spans="1:9" x14ac:dyDescent="0.3">
      <c r="A79" s="28" t="s">
        <v>473</v>
      </c>
      <c r="B79" s="28" t="s">
        <v>26</v>
      </c>
      <c r="C79" s="26">
        <v>20.27</v>
      </c>
      <c r="D79" s="26">
        <v>23.86</v>
      </c>
    </row>
    <row r="80" spans="1:9" x14ac:dyDescent="0.3">
      <c r="A80" s="28" t="s">
        <v>474</v>
      </c>
      <c r="B80" s="28" t="s">
        <v>26</v>
      </c>
      <c r="C80" s="26">
        <v>22.21</v>
      </c>
      <c r="D80" s="26">
        <v>23.91</v>
      </c>
    </row>
    <row r="81" spans="1:9" x14ac:dyDescent="0.3">
      <c r="A81" s="28" t="s">
        <v>475</v>
      </c>
      <c r="B81" s="28" t="s">
        <v>26</v>
      </c>
      <c r="C81" s="26">
        <v>22.64</v>
      </c>
      <c r="D81" s="26">
        <v>23.88</v>
      </c>
    </row>
    <row r="82" spans="1:9" x14ac:dyDescent="0.3">
      <c r="A82" s="28" t="s">
        <v>476</v>
      </c>
      <c r="B82" s="28" t="s">
        <v>26</v>
      </c>
      <c r="C82" s="26">
        <v>22.51</v>
      </c>
      <c r="D82" s="26">
        <v>22.56</v>
      </c>
    </row>
    <row r="83" spans="1:9" x14ac:dyDescent="0.3">
      <c r="A83" s="28" t="s">
        <v>477</v>
      </c>
      <c r="B83" s="28" t="s">
        <v>26</v>
      </c>
      <c r="C83" s="26">
        <v>21.13</v>
      </c>
      <c r="D83" s="26">
        <v>21.27</v>
      </c>
    </row>
    <row r="84" spans="1:9" x14ac:dyDescent="0.3">
      <c r="A84" s="28" t="s">
        <v>478</v>
      </c>
      <c r="B84" s="28" t="s">
        <v>26</v>
      </c>
      <c r="C84" s="26">
        <v>14.36</v>
      </c>
      <c r="D84" s="26">
        <v>14.25</v>
      </c>
    </row>
    <row r="85" spans="1:9" x14ac:dyDescent="0.3">
      <c r="A85" s="28" t="s">
        <v>479</v>
      </c>
      <c r="B85" s="28" t="s">
        <v>26</v>
      </c>
      <c r="C85" s="26">
        <v>8.3800000000000008</v>
      </c>
      <c r="D85" s="26">
        <v>8.15</v>
      </c>
    </row>
    <row r="86" spans="1:9" x14ac:dyDescent="0.3">
      <c r="A86" s="28" t="s">
        <v>463</v>
      </c>
      <c r="B86" s="28" t="s">
        <v>27</v>
      </c>
      <c r="C86" s="26">
        <v>1.94</v>
      </c>
      <c r="D86" s="26">
        <v>1.95</v>
      </c>
      <c r="F86" s="20" t="s">
        <v>27</v>
      </c>
      <c r="G86" s="21">
        <f>AVERAGE(C86:C102)</f>
        <v>12.155882352941175</v>
      </c>
      <c r="H86" s="21">
        <f>AVERAGE(D86:D102)</f>
        <v>14.057647058823527</v>
      </c>
      <c r="I86" s="32">
        <f>COUNT(D86:D102)</f>
        <v>17</v>
      </c>
    </row>
    <row r="87" spans="1:9" x14ac:dyDescent="0.3">
      <c r="A87" s="28" t="s">
        <v>464</v>
      </c>
      <c r="B87" s="28" t="s">
        <v>27</v>
      </c>
      <c r="C87" s="26">
        <v>1.3</v>
      </c>
      <c r="D87" s="26">
        <v>1.23</v>
      </c>
    </row>
    <row r="88" spans="1:9" x14ac:dyDescent="0.3">
      <c r="A88" s="28" t="s">
        <v>465</v>
      </c>
      <c r="B88" s="28" t="s">
        <v>27</v>
      </c>
      <c r="C88" s="26">
        <v>1.63</v>
      </c>
      <c r="D88" s="26">
        <v>2.38</v>
      </c>
    </row>
    <row r="89" spans="1:9" x14ac:dyDescent="0.3">
      <c r="A89" s="28" t="s">
        <v>466</v>
      </c>
      <c r="B89" s="28" t="s">
        <v>27</v>
      </c>
      <c r="C89" s="26">
        <v>2.95</v>
      </c>
      <c r="D89" s="26">
        <v>3.14</v>
      </c>
    </row>
    <row r="90" spans="1:9" x14ac:dyDescent="0.3">
      <c r="A90" s="28" t="s">
        <v>467</v>
      </c>
      <c r="B90" s="28" t="s">
        <v>27</v>
      </c>
      <c r="C90" s="26">
        <v>4.0599999999999996</v>
      </c>
      <c r="D90" s="26">
        <v>4.5199999999999996</v>
      </c>
    </row>
    <row r="91" spans="1:9" x14ac:dyDescent="0.3">
      <c r="A91" s="28" t="s">
        <v>468</v>
      </c>
      <c r="B91" s="28" t="s">
        <v>27</v>
      </c>
      <c r="C91" s="26">
        <v>6.45</v>
      </c>
      <c r="D91" s="26">
        <v>9.34</v>
      </c>
    </row>
    <row r="92" spans="1:9" x14ac:dyDescent="0.3">
      <c r="A92" s="28" t="s">
        <v>469</v>
      </c>
      <c r="B92" s="28" t="s">
        <v>27</v>
      </c>
      <c r="C92" s="26">
        <v>12.93</v>
      </c>
      <c r="D92" s="26">
        <v>15.85</v>
      </c>
    </row>
    <row r="93" spans="1:9" x14ac:dyDescent="0.3">
      <c r="A93" s="28" t="s">
        <v>470</v>
      </c>
      <c r="B93" s="28" t="s">
        <v>27</v>
      </c>
      <c r="C93" s="26">
        <v>12.08</v>
      </c>
      <c r="D93" s="26">
        <v>17.38</v>
      </c>
    </row>
    <row r="94" spans="1:9" x14ac:dyDescent="0.3">
      <c r="A94" s="28" t="s">
        <v>471</v>
      </c>
      <c r="B94" s="28" t="s">
        <v>27</v>
      </c>
      <c r="C94" s="26">
        <v>15.14</v>
      </c>
      <c r="D94" s="26">
        <v>23.97</v>
      </c>
    </row>
    <row r="95" spans="1:9" x14ac:dyDescent="0.3">
      <c r="A95" s="28" t="s">
        <v>472</v>
      </c>
      <c r="B95" s="28" t="s">
        <v>27</v>
      </c>
      <c r="C95" s="26">
        <v>17.38</v>
      </c>
      <c r="D95" s="26">
        <v>21.07</v>
      </c>
    </row>
    <row r="96" spans="1:9" x14ac:dyDescent="0.3">
      <c r="A96" s="28" t="s">
        <v>473</v>
      </c>
      <c r="B96" s="28" t="s">
        <v>27</v>
      </c>
      <c r="C96" s="26">
        <v>19.96</v>
      </c>
      <c r="D96" s="26">
        <v>23.74</v>
      </c>
    </row>
    <row r="97" spans="1:9" x14ac:dyDescent="0.3">
      <c r="A97" s="28" t="s">
        <v>474</v>
      </c>
      <c r="B97" s="28" t="s">
        <v>27</v>
      </c>
      <c r="C97" s="26">
        <v>21.85</v>
      </c>
      <c r="D97" s="26">
        <v>23.55</v>
      </c>
    </row>
    <row r="98" spans="1:9" x14ac:dyDescent="0.3">
      <c r="A98" s="28" t="s">
        <v>475</v>
      </c>
      <c r="B98" s="28" t="s">
        <v>27</v>
      </c>
      <c r="C98" s="26">
        <v>22.1</v>
      </c>
      <c r="D98" s="26">
        <v>23.87</v>
      </c>
    </row>
    <row r="99" spans="1:9" x14ac:dyDescent="0.3">
      <c r="A99" s="28" t="s">
        <v>476</v>
      </c>
      <c r="B99" s="28" t="s">
        <v>27</v>
      </c>
      <c r="C99" s="26">
        <v>22.62</v>
      </c>
      <c r="D99" s="26">
        <v>22.71</v>
      </c>
    </row>
    <row r="100" spans="1:9" x14ac:dyDescent="0.3">
      <c r="A100" s="28" t="s">
        <v>477</v>
      </c>
      <c r="B100" s="28" t="s">
        <v>27</v>
      </c>
      <c r="C100" s="26">
        <v>21.25</v>
      </c>
      <c r="D100" s="26">
        <v>21.2</v>
      </c>
    </row>
    <row r="101" spans="1:9" x14ac:dyDescent="0.3">
      <c r="A101" s="28" t="s">
        <v>478</v>
      </c>
      <c r="B101" s="28" t="s">
        <v>27</v>
      </c>
      <c r="C101" s="26">
        <v>14.62</v>
      </c>
      <c r="D101" s="26">
        <v>14.69</v>
      </c>
    </row>
    <row r="102" spans="1:9" x14ac:dyDescent="0.3">
      <c r="A102" s="28" t="s">
        <v>479</v>
      </c>
      <c r="B102" s="28" t="s">
        <v>27</v>
      </c>
      <c r="C102" s="26">
        <v>8.39</v>
      </c>
      <c r="D102" s="26">
        <v>8.39</v>
      </c>
    </row>
    <row r="103" spans="1:9" x14ac:dyDescent="0.3">
      <c r="A103" s="28" t="s">
        <v>463</v>
      </c>
      <c r="B103" s="28" t="s">
        <v>35</v>
      </c>
      <c r="C103" s="26">
        <v>1.95</v>
      </c>
      <c r="D103" s="26">
        <v>1.6</v>
      </c>
      <c r="F103" s="20" t="s">
        <v>35</v>
      </c>
      <c r="G103" s="21">
        <f>AVERAGE(C103:C119)</f>
        <v>12.524374999999999</v>
      </c>
      <c r="H103" s="21">
        <f>AVERAGE(D103:D119)</f>
        <v>14.790000000000003</v>
      </c>
      <c r="I103" s="32">
        <f>COUNT(D103:D119)</f>
        <v>16</v>
      </c>
    </row>
    <row r="104" spans="1:9" x14ac:dyDescent="0.3">
      <c r="A104" s="28" t="s">
        <v>464</v>
      </c>
      <c r="B104" s="28" t="s">
        <v>35</v>
      </c>
      <c r="C104" s="30" t="s">
        <v>42</v>
      </c>
      <c r="D104" s="30" t="s">
        <v>42</v>
      </c>
    </row>
    <row r="105" spans="1:9" x14ac:dyDescent="0.3">
      <c r="A105" s="28" t="s">
        <v>465</v>
      </c>
      <c r="B105" s="28" t="s">
        <v>35</v>
      </c>
      <c r="C105" s="26">
        <v>1.52</v>
      </c>
      <c r="D105" s="26">
        <v>2.52</v>
      </c>
    </row>
    <row r="106" spans="1:9" x14ac:dyDescent="0.3">
      <c r="A106" s="28" t="s">
        <v>466</v>
      </c>
      <c r="B106" s="28" t="s">
        <v>35</v>
      </c>
      <c r="C106" s="26">
        <v>2.98</v>
      </c>
      <c r="D106" s="26">
        <v>3.32</v>
      </c>
    </row>
    <row r="107" spans="1:9" x14ac:dyDescent="0.3">
      <c r="A107" s="28" t="s">
        <v>467</v>
      </c>
      <c r="B107" s="28" t="s">
        <v>35</v>
      </c>
      <c r="C107" s="26">
        <v>3.93</v>
      </c>
      <c r="D107" s="26">
        <v>4.74</v>
      </c>
    </row>
    <row r="108" spans="1:9" x14ac:dyDescent="0.3">
      <c r="A108" s="28" t="s">
        <v>468</v>
      </c>
      <c r="B108" s="28" t="s">
        <v>35</v>
      </c>
      <c r="C108" s="26">
        <v>6.03</v>
      </c>
      <c r="D108" s="26">
        <v>9</v>
      </c>
    </row>
    <row r="109" spans="1:9" x14ac:dyDescent="0.3">
      <c r="A109" s="28" t="s">
        <v>469</v>
      </c>
      <c r="B109" s="28" t="s">
        <v>35</v>
      </c>
      <c r="C109" s="26">
        <v>10.88</v>
      </c>
      <c r="D109" s="26">
        <v>15.5</v>
      </c>
    </row>
    <row r="110" spans="1:9" x14ac:dyDescent="0.3">
      <c r="A110" s="28" t="s">
        <v>470</v>
      </c>
      <c r="B110" s="28" t="s">
        <v>35</v>
      </c>
      <c r="C110" s="26">
        <v>11.43</v>
      </c>
      <c r="D110" s="26">
        <v>15.54</v>
      </c>
    </row>
    <row r="111" spans="1:9" x14ac:dyDescent="0.3">
      <c r="A111" s="28" t="s">
        <v>471</v>
      </c>
      <c r="B111" s="28" t="s">
        <v>35</v>
      </c>
      <c r="C111" s="26">
        <v>14.72</v>
      </c>
      <c r="D111" s="26">
        <v>23.01</v>
      </c>
    </row>
    <row r="112" spans="1:9" x14ac:dyDescent="0.3">
      <c r="A112" s="28" t="s">
        <v>472</v>
      </c>
      <c r="B112" s="28" t="s">
        <v>35</v>
      </c>
      <c r="C112" s="26">
        <v>16.690000000000001</v>
      </c>
      <c r="D112" s="26">
        <v>21.33</v>
      </c>
    </row>
    <row r="113" spans="1:9" x14ac:dyDescent="0.3">
      <c r="A113" s="28" t="s">
        <v>473</v>
      </c>
      <c r="B113" s="28" t="s">
        <v>35</v>
      </c>
      <c r="C113" s="26">
        <v>19.38</v>
      </c>
      <c r="D113" s="26">
        <v>23.91</v>
      </c>
    </row>
    <row r="114" spans="1:9" x14ac:dyDescent="0.3">
      <c r="A114" s="28" t="s">
        <v>474</v>
      </c>
      <c r="B114" s="28" t="s">
        <v>35</v>
      </c>
      <c r="C114" s="26">
        <v>21.18</v>
      </c>
      <c r="D114" s="26">
        <v>24.39</v>
      </c>
    </row>
    <row r="115" spans="1:9" x14ac:dyDescent="0.3">
      <c r="A115" s="28" t="s">
        <v>475</v>
      </c>
      <c r="B115" s="28" t="s">
        <v>35</v>
      </c>
      <c r="C115" s="26">
        <v>22.04</v>
      </c>
      <c r="D115" s="26">
        <v>24.37</v>
      </c>
    </row>
    <row r="116" spans="1:9" x14ac:dyDescent="0.3">
      <c r="A116" s="28" t="s">
        <v>476</v>
      </c>
      <c r="B116" s="28" t="s">
        <v>35</v>
      </c>
      <c r="C116" s="26">
        <v>22.61</v>
      </c>
      <c r="D116" s="26">
        <v>22.67</v>
      </c>
    </row>
    <row r="117" spans="1:9" x14ac:dyDescent="0.3">
      <c r="A117" s="28" t="s">
        <v>477</v>
      </c>
      <c r="B117" s="28" t="s">
        <v>35</v>
      </c>
      <c r="C117" s="26">
        <v>21.55</v>
      </c>
      <c r="D117" s="26">
        <v>21.69</v>
      </c>
    </row>
    <row r="118" spans="1:9" x14ac:dyDescent="0.3">
      <c r="A118" s="28" t="s">
        <v>478</v>
      </c>
      <c r="B118" s="28" t="s">
        <v>35</v>
      </c>
      <c r="C118" s="26">
        <v>14.85</v>
      </c>
      <c r="D118" s="26">
        <v>14.55</v>
      </c>
    </row>
    <row r="119" spans="1:9" x14ac:dyDescent="0.3">
      <c r="A119" s="28" t="s">
        <v>479</v>
      </c>
      <c r="B119" s="28" t="s">
        <v>35</v>
      </c>
      <c r="C119" s="26">
        <v>8.65</v>
      </c>
      <c r="D119" s="26">
        <v>8.5</v>
      </c>
    </row>
    <row r="120" spans="1:9" x14ac:dyDescent="0.3">
      <c r="A120" s="28" t="s">
        <v>463</v>
      </c>
      <c r="B120" s="28" t="s">
        <v>31</v>
      </c>
      <c r="C120" s="26">
        <v>2.02</v>
      </c>
      <c r="D120" s="26">
        <v>2.11</v>
      </c>
      <c r="F120" s="20" t="s">
        <v>31</v>
      </c>
      <c r="G120" s="21">
        <f>AVERAGE(C120:C136)</f>
        <v>11.73764705882353</v>
      </c>
      <c r="H120" s="21">
        <f>AVERAGE(D120:D136)</f>
        <v>14.024117647058821</v>
      </c>
      <c r="I120" s="32">
        <f>COUNT(D120:D136)</f>
        <v>17</v>
      </c>
    </row>
    <row r="121" spans="1:9" x14ac:dyDescent="0.3">
      <c r="A121" s="28" t="s">
        <v>464</v>
      </c>
      <c r="B121" s="28" t="s">
        <v>31</v>
      </c>
      <c r="C121" s="26">
        <v>1.49</v>
      </c>
      <c r="D121" s="26">
        <v>1.29</v>
      </c>
    </row>
    <row r="122" spans="1:9" x14ac:dyDescent="0.3">
      <c r="A122" s="28" t="s">
        <v>465</v>
      </c>
      <c r="B122" s="28" t="s">
        <v>31</v>
      </c>
      <c r="C122" s="26">
        <v>1.46</v>
      </c>
      <c r="D122" s="26">
        <v>2.69</v>
      </c>
    </row>
    <row r="123" spans="1:9" x14ac:dyDescent="0.3">
      <c r="A123" s="28" t="s">
        <v>466</v>
      </c>
      <c r="B123" s="28" t="s">
        <v>31</v>
      </c>
      <c r="C123" s="26">
        <v>2.93</v>
      </c>
      <c r="D123" s="26">
        <v>3.22</v>
      </c>
    </row>
    <row r="124" spans="1:9" x14ac:dyDescent="0.3">
      <c r="A124" s="28" t="s">
        <v>467</v>
      </c>
      <c r="B124" s="28" t="s">
        <v>31</v>
      </c>
      <c r="C124" s="26">
        <v>3.95</v>
      </c>
      <c r="D124" s="26">
        <v>4.4000000000000004</v>
      </c>
    </row>
    <row r="125" spans="1:9" x14ac:dyDescent="0.3">
      <c r="A125" s="28" t="s">
        <v>468</v>
      </c>
      <c r="B125" s="28" t="s">
        <v>31</v>
      </c>
      <c r="C125" s="26">
        <v>6.04</v>
      </c>
      <c r="D125" s="26">
        <v>9.7799999999999994</v>
      </c>
    </row>
    <row r="126" spans="1:9" x14ac:dyDescent="0.3">
      <c r="A126" s="28" t="s">
        <v>469</v>
      </c>
      <c r="B126" s="28" t="s">
        <v>31</v>
      </c>
      <c r="C126" s="26">
        <v>9.57</v>
      </c>
      <c r="D126" s="26">
        <v>14.93</v>
      </c>
    </row>
    <row r="127" spans="1:9" x14ac:dyDescent="0.3">
      <c r="A127" s="28" t="s">
        <v>470</v>
      </c>
      <c r="B127" s="28" t="s">
        <v>31</v>
      </c>
      <c r="C127" s="26">
        <v>10.67</v>
      </c>
      <c r="D127" s="26">
        <v>17.170000000000002</v>
      </c>
    </row>
    <row r="128" spans="1:9" x14ac:dyDescent="0.3">
      <c r="A128" s="28" t="s">
        <v>471</v>
      </c>
      <c r="B128" s="28" t="s">
        <v>31</v>
      </c>
      <c r="C128" s="26">
        <v>14.55</v>
      </c>
      <c r="D128" s="26">
        <v>22.77</v>
      </c>
    </row>
    <row r="129" spans="1:9" x14ac:dyDescent="0.3">
      <c r="A129" s="28" t="s">
        <v>472</v>
      </c>
      <c r="B129" s="28" t="s">
        <v>31</v>
      </c>
      <c r="C129" s="26">
        <v>16.96</v>
      </c>
      <c r="D129" s="26">
        <v>21</v>
      </c>
    </row>
    <row r="130" spans="1:9" x14ac:dyDescent="0.3">
      <c r="A130" s="28" t="s">
        <v>473</v>
      </c>
      <c r="B130" s="28" t="s">
        <v>31</v>
      </c>
      <c r="C130" s="26">
        <v>18.73</v>
      </c>
      <c r="D130" s="26">
        <v>23.23</v>
      </c>
    </row>
    <row r="131" spans="1:9" x14ac:dyDescent="0.3">
      <c r="A131" s="28" t="s">
        <v>474</v>
      </c>
      <c r="B131" s="28" t="s">
        <v>31</v>
      </c>
      <c r="C131" s="26">
        <v>20.78</v>
      </c>
      <c r="D131" s="26">
        <v>23.7</v>
      </c>
    </row>
    <row r="132" spans="1:9" x14ac:dyDescent="0.3">
      <c r="A132" s="28" t="s">
        <v>475</v>
      </c>
      <c r="B132" s="28" t="s">
        <v>31</v>
      </c>
      <c r="C132" s="26">
        <v>22.08</v>
      </c>
      <c r="D132" s="26">
        <v>24.48</v>
      </c>
    </row>
    <row r="133" spans="1:9" x14ac:dyDescent="0.3">
      <c r="A133" s="28" t="s">
        <v>476</v>
      </c>
      <c r="B133" s="28" t="s">
        <v>31</v>
      </c>
      <c r="C133" s="26">
        <v>22.44</v>
      </c>
      <c r="D133" s="26">
        <v>23.01</v>
      </c>
    </row>
    <row r="134" spans="1:9" x14ac:dyDescent="0.3">
      <c r="A134" s="28" t="s">
        <v>477</v>
      </c>
      <c r="B134" s="28" t="s">
        <v>31</v>
      </c>
      <c r="C134" s="26">
        <v>21.77</v>
      </c>
      <c r="D134" s="26">
        <v>21.91</v>
      </c>
    </row>
    <row r="135" spans="1:9" x14ac:dyDescent="0.3">
      <c r="A135" s="28" t="s">
        <v>478</v>
      </c>
      <c r="B135" s="28" t="s">
        <v>31</v>
      </c>
      <c r="C135" s="26">
        <v>14.88</v>
      </c>
      <c r="D135" s="26">
        <v>14.16</v>
      </c>
    </row>
    <row r="136" spans="1:9" x14ac:dyDescent="0.3">
      <c r="A136" s="28" t="s">
        <v>479</v>
      </c>
      <c r="B136" s="28" t="s">
        <v>31</v>
      </c>
      <c r="C136" s="26">
        <v>9.2200000000000006</v>
      </c>
      <c r="D136" s="26">
        <v>8.56</v>
      </c>
    </row>
    <row r="137" spans="1:9" x14ac:dyDescent="0.3">
      <c r="A137" s="28" t="s">
        <v>463</v>
      </c>
      <c r="B137" s="28" t="s">
        <v>32</v>
      </c>
      <c r="C137" s="26">
        <v>1.97</v>
      </c>
      <c r="D137" s="26">
        <v>1.73</v>
      </c>
      <c r="F137" s="20" t="s">
        <v>32</v>
      </c>
      <c r="G137" s="21">
        <f>AVERAGE(C137:C152)</f>
        <v>12.799375000000001</v>
      </c>
      <c r="H137" s="21">
        <f>AVERAGE(D137:D152)</f>
        <v>14.498125</v>
      </c>
      <c r="I137" s="32">
        <f>COUNT(D137:D152)</f>
        <v>16</v>
      </c>
    </row>
    <row r="138" spans="1:9" x14ac:dyDescent="0.3">
      <c r="A138" s="28" t="s">
        <v>464</v>
      </c>
      <c r="B138" s="28" t="s">
        <v>32</v>
      </c>
      <c r="C138" s="26">
        <v>1.55</v>
      </c>
      <c r="D138" s="26">
        <v>1.25</v>
      </c>
    </row>
    <row r="139" spans="1:9" x14ac:dyDescent="0.3">
      <c r="A139" s="28" t="s">
        <v>466</v>
      </c>
      <c r="B139" s="28" t="s">
        <v>32</v>
      </c>
      <c r="C139" s="26">
        <v>2.72</v>
      </c>
      <c r="D139" s="26">
        <v>3.12</v>
      </c>
    </row>
    <row r="140" spans="1:9" x14ac:dyDescent="0.3">
      <c r="A140" s="28" t="s">
        <v>467</v>
      </c>
      <c r="B140" s="28" t="s">
        <v>32</v>
      </c>
      <c r="C140" s="26">
        <v>3.97</v>
      </c>
      <c r="D140" s="26">
        <v>4.4400000000000004</v>
      </c>
    </row>
    <row r="141" spans="1:9" x14ac:dyDescent="0.3">
      <c r="A141" s="28" t="s">
        <v>468</v>
      </c>
      <c r="B141" s="28" t="s">
        <v>32</v>
      </c>
      <c r="C141" s="26">
        <v>6.51</v>
      </c>
      <c r="D141" s="26">
        <v>8.76</v>
      </c>
    </row>
    <row r="142" spans="1:9" x14ac:dyDescent="0.3">
      <c r="A142" s="28" t="s">
        <v>469</v>
      </c>
      <c r="B142" s="28" t="s">
        <v>32</v>
      </c>
      <c r="C142" s="26">
        <v>10.49</v>
      </c>
      <c r="D142" s="26">
        <v>14.16</v>
      </c>
    </row>
    <row r="143" spans="1:9" x14ac:dyDescent="0.3">
      <c r="A143" s="28" t="s">
        <v>470</v>
      </c>
      <c r="B143" s="28" t="s">
        <v>32</v>
      </c>
      <c r="C143" s="26">
        <v>11.53</v>
      </c>
      <c r="D143" s="26">
        <v>17.37</v>
      </c>
    </row>
    <row r="144" spans="1:9" x14ac:dyDescent="0.3">
      <c r="A144" s="28" t="s">
        <v>471</v>
      </c>
      <c r="B144" s="28" t="s">
        <v>32</v>
      </c>
      <c r="C144" s="26">
        <v>14.6</v>
      </c>
      <c r="D144" s="26">
        <v>19.45</v>
      </c>
    </row>
    <row r="145" spans="1:9" x14ac:dyDescent="0.3">
      <c r="A145" s="28" t="s">
        <v>472</v>
      </c>
      <c r="B145" s="28" t="s">
        <v>32</v>
      </c>
      <c r="C145" s="26">
        <v>18.3</v>
      </c>
      <c r="D145" s="26">
        <v>22.42</v>
      </c>
    </row>
    <row r="146" spans="1:9" x14ac:dyDescent="0.3">
      <c r="A146" s="28" t="s">
        <v>473</v>
      </c>
      <c r="B146" s="28" t="s">
        <v>32</v>
      </c>
      <c r="C146" s="26">
        <v>19.29</v>
      </c>
      <c r="D146" s="26">
        <v>24.25</v>
      </c>
    </row>
    <row r="147" spans="1:9" x14ac:dyDescent="0.3">
      <c r="A147" s="28" t="s">
        <v>474</v>
      </c>
      <c r="B147" s="28" t="s">
        <v>32</v>
      </c>
      <c r="C147" s="26">
        <v>23.13</v>
      </c>
      <c r="D147" s="26">
        <v>23.35</v>
      </c>
    </row>
    <row r="148" spans="1:9" x14ac:dyDescent="0.3">
      <c r="A148" s="28" t="s">
        <v>475</v>
      </c>
      <c r="B148" s="28" t="s">
        <v>32</v>
      </c>
      <c r="C148" s="26">
        <v>22.53</v>
      </c>
      <c r="D148" s="26">
        <v>24.77</v>
      </c>
    </row>
    <row r="149" spans="1:9" x14ac:dyDescent="0.3">
      <c r="A149" s="28" t="s">
        <v>476</v>
      </c>
      <c r="B149" s="28" t="s">
        <v>32</v>
      </c>
      <c r="C149" s="26">
        <v>22.75</v>
      </c>
      <c r="D149" s="26">
        <v>22.76</v>
      </c>
    </row>
    <row r="150" spans="1:9" x14ac:dyDescent="0.3">
      <c r="A150" s="28" t="s">
        <v>477</v>
      </c>
      <c r="B150" s="28" t="s">
        <v>32</v>
      </c>
      <c r="C150" s="26">
        <v>21.52</v>
      </c>
      <c r="D150" s="26">
        <v>21.11</v>
      </c>
    </row>
    <row r="151" spans="1:9" x14ac:dyDescent="0.3">
      <c r="A151" s="28" t="s">
        <v>478</v>
      </c>
      <c r="B151" s="28" t="s">
        <v>32</v>
      </c>
      <c r="C151" s="26">
        <v>14.77</v>
      </c>
      <c r="D151" s="26">
        <v>14.28</v>
      </c>
    </row>
    <row r="152" spans="1:9" x14ac:dyDescent="0.3">
      <c r="A152" s="28" t="s">
        <v>479</v>
      </c>
      <c r="B152" s="28" t="s">
        <v>32</v>
      </c>
      <c r="C152" s="26">
        <v>9.16</v>
      </c>
      <c r="D152" s="26">
        <v>8.75</v>
      </c>
    </row>
    <row r="153" spans="1:9" x14ac:dyDescent="0.3">
      <c r="A153" s="28" t="s">
        <v>463</v>
      </c>
      <c r="B153" s="28" t="s">
        <v>33</v>
      </c>
      <c r="C153" s="26">
        <v>1.84</v>
      </c>
      <c r="D153" s="26">
        <v>1.89</v>
      </c>
      <c r="F153" s="20" t="s">
        <v>33</v>
      </c>
      <c r="G153" s="21">
        <f>AVERAGE(C153:C168)</f>
        <v>12.423750000000004</v>
      </c>
      <c r="H153" s="21">
        <f>AVERAGE(D153:D168)</f>
        <v>14.698125000000001</v>
      </c>
      <c r="I153" s="32">
        <f>COUNT(D153:D168)</f>
        <v>16</v>
      </c>
    </row>
    <row r="154" spans="1:9" x14ac:dyDescent="0.3">
      <c r="A154" s="28" t="s">
        <v>464</v>
      </c>
      <c r="B154" s="28" t="s">
        <v>33</v>
      </c>
      <c r="C154" s="26">
        <v>1.52</v>
      </c>
      <c r="D154" s="26">
        <v>1.19</v>
      </c>
    </row>
    <row r="155" spans="1:9" x14ac:dyDescent="0.3">
      <c r="A155" s="28" t="s">
        <v>466</v>
      </c>
      <c r="B155" s="28" t="s">
        <v>33</v>
      </c>
      <c r="C155" s="26">
        <v>2.74</v>
      </c>
      <c r="D155" s="26">
        <v>2.96</v>
      </c>
    </row>
    <row r="156" spans="1:9" x14ac:dyDescent="0.3">
      <c r="A156" s="28" t="s">
        <v>467</v>
      </c>
      <c r="B156" s="28" t="s">
        <v>33</v>
      </c>
      <c r="C156" s="26">
        <v>4.0999999999999996</v>
      </c>
      <c r="D156" s="26">
        <v>4.37</v>
      </c>
    </row>
    <row r="157" spans="1:9" x14ac:dyDescent="0.3">
      <c r="A157" s="28" t="s">
        <v>468</v>
      </c>
      <c r="B157" s="28" t="s">
        <v>33</v>
      </c>
      <c r="C157" s="26">
        <v>6.39</v>
      </c>
      <c r="D157" s="26">
        <v>8.9700000000000006</v>
      </c>
    </row>
    <row r="158" spans="1:9" x14ac:dyDescent="0.3">
      <c r="A158" s="28" t="s">
        <v>469</v>
      </c>
      <c r="B158" s="28" t="s">
        <v>33</v>
      </c>
      <c r="C158" s="26">
        <v>9.5</v>
      </c>
      <c r="D158" s="26">
        <v>14.99</v>
      </c>
    </row>
    <row r="159" spans="1:9" x14ac:dyDescent="0.3">
      <c r="A159" s="28" t="s">
        <v>470</v>
      </c>
      <c r="B159" s="28" t="s">
        <v>33</v>
      </c>
      <c r="C159" s="26">
        <v>10.82</v>
      </c>
      <c r="D159" s="26">
        <v>16.77</v>
      </c>
    </row>
    <row r="160" spans="1:9" x14ac:dyDescent="0.3">
      <c r="A160" s="28" t="s">
        <v>471</v>
      </c>
      <c r="B160" s="28" t="s">
        <v>33</v>
      </c>
      <c r="C160" s="26">
        <v>14.86</v>
      </c>
      <c r="D160" s="26">
        <v>21.18</v>
      </c>
    </row>
    <row r="161" spans="1:9" x14ac:dyDescent="0.3">
      <c r="A161" s="28" t="s">
        <v>472</v>
      </c>
      <c r="B161" s="28" t="s">
        <v>33</v>
      </c>
      <c r="C161" s="26">
        <v>17.12</v>
      </c>
      <c r="D161" s="26">
        <v>22.31</v>
      </c>
    </row>
    <row r="162" spans="1:9" x14ac:dyDescent="0.3">
      <c r="A162" s="28" t="s">
        <v>473</v>
      </c>
      <c r="B162" s="28" t="s">
        <v>33</v>
      </c>
      <c r="C162" s="26">
        <v>18.850000000000001</v>
      </c>
      <c r="D162" s="26">
        <v>24.1</v>
      </c>
    </row>
    <row r="163" spans="1:9" x14ac:dyDescent="0.3">
      <c r="A163" s="28" t="s">
        <v>474</v>
      </c>
      <c r="B163" s="28" t="s">
        <v>33</v>
      </c>
      <c r="C163" s="26">
        <v>20.65</v>
      </c>
      <c r="D163" s="26">
        <v>23.51</v>
      </c>
    </row>
    <row r="164" spans="1:9" x14ac:dyDescent="0.3">
      <c r="A164" s="28" t="s">
        <v>475</v>
      </c>
      <c r="B164" s="28" t="s">
        <v>33</v>
      </c>
      <c r="C164" s="26">
        <v>22.08</v>
      </c>
      <c r="D164" s="26">
        <v>24.74</v>
      </c>
    </row>
    <row r="165" spans="1:9" x14ac:dyDescent="0.3">
      <c r="A165" s="28" t="s">
        <v>476</v>
      </c>
      <c r="B165" s="28" t="s">
        <v>33</v>
      </c>
      <c r="C165" s="26">
        <v>22.62</v>
      </c>
      <c r="D165" s="26">
        <v>23.06</v>
      </c>
    </row>
    <row r="166" spans="1:9" x14ac:dyDescent="0.3">
      <c r="A166" s="28" t="s">
        <v>477</v>
      </c>
      <c r="B166" s="28" t="s">
        <v>33</v>
      </c>
      <c r="C166" s="26">
        <v>21.55</v>
      </c>
      <c r="D166" s="26">
        <v>21.39</v>
      </c>
    </row>
    <row r="167" spans="1:9" x14ac:dyDescent="0.3">
      <c r="A167" s="28" t="s">
        <v>478</v>
      </c>
      <c r="B167" s="28" t="s">
        <v>33</v>
      </c>
      <c r="C167" s="26">
        <v>14.93</v>
      </c>
      <c r="D167" s="26">
        <v>14.93</v>
      </c>
    </row>
    <row r="168" spans="1:9" x14ac:dyDescent="0.3">
      <c r="A168" s="28" t="s">
        <v>479</v>
      </c>
      <c r="B168" s="28" t="s">
        <v>33</v>
      </c>
      <c r="C168" s="26">
        <v>9.2100000000000009</v>
      </c>
      <c r="D168" s="26">
        <v>8.81</v>
      </c>
    </row>
    <row r="169" spans="1:9" x14ac:dyDescent="0.3">
      <c r="A169" s="28" t="s">
        <v>463</v>
      </c>
      <c r="B169" s="28" t="s">
        <v>25</v>
      </c>
      <c r="C169" s="26">
        <v>1.52</v>
      </c>
      <c r="D169" s="26">
        <v>1.34</v>
      </c>
      <c r="F169" s="20" t="s">
        <v>25</v>
      </c>
      <c r="G169" s="21">
        <f>AVERAGE(C169:C182)</f>
        <v>13.55153846153846</v>
      </c>
      <c r="H169" s="21">
        <f>AVERAGE(D169:D182)</f>
        <v>15.190769230769233</v>
      </c>
      <c r="I169" s="32">
        <f>COUNT(D169:D182)</f>
        <v>13</v>
      </c>
    </row>
    <row r="170" spans="1:9" x14ac:dyDescent="0.3">
      <c r="A170" s="28" t="s">
        <v>464</v>
      </c>
      <c r="B170" s="28" t="s">
        <v>25</v>
      </c>
      <c r="C170" s="30" t="s">
        <v>42</v>
      </c>
      <c r="D170" s="30" t="s">
        <v>42</v>
      </c>
    </row>
    <row r="171" spans="1:9" x14ac:dyDescent="0.3">
      <c r="A171" s="28" t="s">
        <v>466</v>
      </c>
      <c r="B171" s="28" t="s">
        <v>25</v>
      </c>
      <c r="C171" s="26">
        <v>3.47</v>
      </c>
      <c r="D171" s="26">
        <v>3.68</v>
      </c>
    </row>
    <row r="172" spans="1:9" x14ac:dyDescent="0.3">
      <c r="A172" s="28" t="s">
        <v>467</v>
      </c>
      <c r="B172" s="28" t="s">
        <v>25</v>
      </c>
      <c r="C172" s="26">
        <v>4.2</v>
      </c>
      <c r="D172" s="26">
        <v>4.38</v>
      </c>
    </row>
    <row r="173" spans="1:9" x14ac:dyDescent="0.3">
      <c r="A173" s="28" t="s">
        <v>468</v>
      </c>
      <c r="B173" s="28" t="s">
        <v>25</v>
      </c>
      <c r="C173" s="26">
        <v>7.51</v>
      </c>
      <c r="D173" s="26">
        <v>9.07</v>
      </c>
    </row>
    <row r="174" spans="1:9" x14ac:dyDescent="0.3">
      <c r="A174" s="28" t="s">
        <v>469</v>
      </c>
      <c r="B174" s="28" t="s">
        <v>25</v>
      </c>
      <c r="C174" s="26">
        <v>12.04</v>
      </c>
      <c r="D174" s="26">
        <v>15.71</v>
      </c>
    </row>
    <row r="175" spans="1:9" x14ac:dyDescent="0.3">
      <c r="A175" s="28" t="s">
        <v>471</v>
      </c>
      <c r="B175" s="28" t="s">
        <v>25</v>
      </c>
      <c r="C175" s="26">
        <v>15.61</v>
      </c>
      <c r="D175" s="26">
        <v>22.62</v>
      </c>
    </row>
    <row r="176" spans="1:9" x14ac:dyDescent="0.3">
      <c r="A176" s="28" t="s">
        <v>472</v>
      </c>
      <c r="B176" s="28" t="s">
        <v>25</v>
      </c>
      <c r="C176" s="26">
        <v>19.38</v>
      </c>
      <c r="D176" s="26">
        <v>22.75</v>
      </c>
    </row>
    <row r="177" spans="1:9" x14ac:dyDescent="0.3">
      <c r="A177" s="28" t="s">
        <v>473</v>
      </c>
      <c r="B177" s="28" t="s">
        <v>25</v>
      </c>
      <c r="C177" s="26">
        <v>20.75</v>
      </c>
      <c r="D177" s="26">
        <v>24.58</v>
      </c>
    </row>
    <row r="178" spans="1:9" x14ac:dyDescent="0.3">
      <c r="A178" s="28" t="s">
        <v>474</v>
      </c>
      <c r="B178" s="28" t="s">
        <v>25</v>
      </c>
      <c r="C178" s="26">
        <v>23.36</v>
      </c>
      <c r="D178" s="26">
        <v>24.9</v>
      </c>
    </row>
    <row r="179" spans="1:9" x14ac:dyDescent="0.3">
      <c r="A179" s="28" t="s">
        <v>475</v>
      </c>
      <c r="B179" s="28" t="s">
        <v>25</v>
      </c>
      <c r="C179" s="26">
        <v>23.01</v>
      </c>
      <c r="D179" s="26">
        <v>24.59</v>
      </c>
    </row>
    <row r="180" spans="1:9" x14ac:dyDescent="0.3">
      <c r="A180" s="28" t="s">
        <v>477</v>
      </c>
      <c r="B180" s="28" t="s">
        <v>25</v>
      </c>
      <c r="C180" s="26">
        <v>21.09</v>
      </c>
      <c r="D180" s="26">
        <v>21.59</v>
      </c>
    </row>
    <row r="181" spans="1:9" x14ac:dyDescent="0.3">
      <c r="A181" s="28" t="s">
        <v>478</v>
      </c>
      <c r="B181" s="28" t="s">
        <v>25</v>
      </c>
      <c r="C181" s="26">
        <v>14.69</v>
      </c>
      <c r="D181" s="26">
        <v>14.13</v>
      </c>
    </row>
    <row r="182" spans="1:9" x14ac:dyDescent="0.3">
      <c r="A182" s="28" t="s">
        <v>479</v>
      </c>
      <c r="B182" s="28" t="s">
        <v>25</v>
      </c>
      <c r="C182" s="26">
        <v>9.5399999999999991</v>
      </c>
      <c r="D182" s="26">
        <v>8.14</v>
      </c>
    </row>
    <row r="183" spans="1:9" x14ac:dyDescent="0.3">
      <c r="A183" s="28" t="s">
        <v>463</v>
      </c>
      <c r="B183" s="28" t="s">
        <v>36</v>
      </c>
      <c r="C183" s="26">
        <v>2.16</v>
      </c>
      <c r="D183" s="26">
        <v>2.06</v>
      </c>
      <c r="F183" s="20" t="s">
        <v>36</v>
      </c>
      <c r="G183" s="21">
        <f>AVERAGE(C183:C196)</f>
        <v>12.422857142857142</v>
      </c>
      <c r="H183" s="21">
        <f>AVERAGE(D183:D196)</f>
        <v>14.330714285714285</v>
      </c>
      <c r="I183" s="32">
        <f>COUNT(D183:D196)</f>
        <v>14</v>
      </c>
    </row>
    <row r="184" spans="1:9" x14ac:dyDescent="0.3">
      <c r="A184" s="28" t="s">
        <v>464</v>
      </c>
      <c r="B184" s="28" t="s">
        <v>36</v>
      </c>
      <c r="C184" s="26">
        <v>1.49</v>
      </c>
      <c r="D184" s="26">
        <v>1.44</v>
      </c>
    </row>
    <row r="185" spans="1:9" x14ac:dyDescent="0.3">
      <c r="A185" s="28" t="s">
        <v>466</v>
      </c>
      <c r="B185" s="28" t="s">
        <v>36</v>
      </c>
      <c r="C185" s="26">
        <v>2.87</v>
      </c>
      <c r="D185" s="26">
        <v>3.24</v>
      </c>
    </row>
    <row r="186" spans="1:9" x14ac:dyDescent="0.3">
      <c r="A186" s="28" t="s">
        <v>467</v>
      </c>
      <c r="B186" s="28" t="s">
        <v>36</v>
      </c>
      <c r="C186" s="26">
        <v>4.03</v>
      </c>
      <c r="D186" s="26">
        <v>4.3099999999999996</v>
      </c>
    </row>
    <row r="187" spans="1:9" x14ac:dyDescent="0.3">
      <c r="A187" s="28" t="s">
        <v>468</v>
      </c>
      <c r="B187" s="28" t="s">
        <v>36</v>
      </c>
      <c r="C187" s="26">
        <v>6.81</v>
      </c>
      <c r="D187" s="26">
        <v>8.26</v>
      </c>
    </row>
    <row r="188" spans="1:9" x14ac:dyDescent="0.3">
      <c r="A188" s="28" t="s">
        <v>469</v>
      </c>
      <c r="B188" s="28" t="s">
        <v>36</v>
      </c>
      <c r="C188" s="26">
        <v>10.41</v>
      </c>
      <c r="D188" s="26">
        <v>15.23</v>
      </c>
    </row>
    <row r="189" spans="1:9" x14ac:dyDescent="0.3">
      <c r="A189" s="28" t="s">
        <v>471</v>
      </c>
      <c r="B189" s="28" t="s">
        <v>36</v>
      </c>
      <c r="C189" s="26">
        <v>15.65</v>
      </c>
      <c r="D189" s="26">
        <v>21.85</v>
      </c>
    </row>
    <row r="190" spans="1:9" x14ac:dyDescent="0.3">
      <c r="A190" s="28" t="s">
        <v>472</v>
      </c>
      <c r="B190" s="28" t="s">
        <v>36</v>
      </c>
      <c r="C190" s="26">
        <v>18.62</v>
      </c>
      <c r="D190" s="26">
        <v>22.48</v>
      </c>
    </row>
    <row r="191" spans="1:9" x14ac:dyDescent="0.3">
      <c r="A191" s="28" t="s">
        <v>473</v>
      </c>
      <c r="B191" s="28" t="s">
        <v>36</v>
      </c>
      <c r="C191" s="26">
        <v>21.16</v>
      </c>
      <c r="D191" s="26">
        <v>26.18</v>
      </c>
    </row>
    <row r="192" spans="1:9" x14ac:dyDescent="0.3">
      <c r="A192" s="28" t="s">
        <v>474</v>
      </c>
      <c r="B192" s="28" t="s">
        <v>36</v>
      </c>
      <c r="C192" s="26">
        <v>22.55</v>
      </c>
      <c r="D192" s="26">
        <v>24.7</v>
      </c>
    </row>
    <row r="193" spans="1:9" x14ac:dyDescent="0.3">
      <c r="A193" s="28" t="s">
        <v>475</v>
      </c>
      <c r="B193" s="28" t="s">
        <v>36</v>
      </c>
      <c r="C193" s="26">
        <v>22.64</v>
      </c>
      <c r="D193" s="26">
        <v>26.01</v>
      </c>
    </row>
    <row r="194" spans="1:9" x14ac:dyDescent="0.3">
      <c r="A194" s="28" t="s">
        <v>477</v>
      </c>
      <c r="B194" s="28" t="s">
        <v>36</v>
      </c>
      <c r="C194" s="26">
        <v>21.33</v>
      </c>
      <c r="D194" s="26">
        <v>21.4</v>
      </c>
    </row>
    <row r="195" spans="1:9" x14ac:dyDescent="0.3">
      <c r="A195" s="28" t="s">
        <v>478</v>
      </c>
      <c r="B195" s="28" t="s">
        <v>36</v>
      </c>
      <c r="C195" s="26">
        <v>14.68</v>
      </c>
      <c r="D195" s="26">
        <v>14.34</v>
      </c>
    </row>
    <row r="196" spans="1:9" x14ac:dyDescent="0.3">
      <c r="A196" s="28" t="s">
        <v>479</v>
      </c>
      <c r="B196" s="28" t="s">
        <v>36</v>
      </c>
      <c r="C196" s="26">
        <v>9.52</v>
      </c>
      <c r="D196" s="26">
        <v>9.1300000000000008</v>
      </c>
    </row>
    <row r="197" spans="1:9" x14ac:dyDescent="0.3">
      <c r="A197" s="28" t="s">
        <v>463</v>
      </c>
      <c r="B197" s="28" t="s">
        <v>24</v>
      </c>
      <c r="C197" s="26">
        <v>1.79</v>
      </c>
      <c r="D197" s="26">
        <v>1.91</v>
      </c>
      <c r="F197" s="20" t="s">
        <v>24</v>
      </c>
      <c r="G197" s="21">
        <f>AVERAGE(C197:C210)</f>
        <v>12.025714285714285</v>
      </c>
      <c r="H197" s="21">
        <f>AVERAGE(D197:D210)</f>
        <v>14.092142857142857</v>
      </c>
      <c r="I197" s="32">
        <f>COUNT(D197:D211)</f>
        <v>15</v>
      </c>
    </row>
    <row r="198" spans="1:9" x14ac:dyDescent="0.3">
      <c r="A198" s="28" t="s">
        <v>464</v>
      </c>
      <c r="B198" s="28" t="s">
        <v>24</v>
      </c>
      <c r="C198" s="26">
        <v>1.58</v>
      </c>
      <c r="D198" s="26">
        <v>1.41</v>
      </c>
    </row>
    <row r="199" spans="1:9" x14ac:dyDescent="0.3">
      <c r="A199" s="28" t="s">
        <v>466</v>
      </c>
      <c r="B199" s="28" t="s">
        <v>24</v>
      </c>
      <c r="C199" s="26">
        <v>2.6</v>
      </c>
      <c r="D199" s="26">
        <v>3</v>
      </c>
    </row>
    <row r="200" spans="1:9" x14ac:dyDescent="0.3">
      <c r="A200" s="28" t="s">
        <v>467</v>
      </c>
      <c r="B200" s="28" t="s">
        <v>24</v>
      </c>
      <c r="C200" s="26">
        <v>4.2300000000000004</v>
      </c>
      <c r="D200" s="26">
        <v>4.2699999999999996</v>
      </c>
    </row>
    <row r="201" spans="1:9" x14ac:dyDescent="0.3">
      <c r="A201" s="28" t="s">
        <v>468</v>
      </c>
      <c r="B201" s="28" t="s">
        <v>24</v>
      </c>
      <c r="C201" s="26">
        <v>6.23</v>
      </c>
      <c r="D201" s="26">
        <v>8.3699999999999992</v>
      </c>
    </row>
    <row r="202" spans="1:9" x14ac:dyDescent="0.3">
      <c r="A202" s="28" t="s">
        <v>469</v>
      </c>
      <c r="B202" s="28" t="s">
        <v>24</v>
      </c>
      <c r="C202" s="26">
        <v>9.6300000000000008</v>
      </c>
      <c r="D202" s="26">
        <v>15.02</v>
      </c>
    </row>
    <row r="203" spans="1:9" x14ac:dyDescent="0.3">
      <c r="A203" s="28" t="s">
        <v>471</v>
      </c>
      <c r="B203" s="28" t="s">
        <v>24</v>
      </c>
      <c r="C203" s="26">
        <v>16.850000000000001</v>
      </c>
      <c r="D203" s="26">
        <v>23.02</v>
      </c>
    </row>
    <row r="204" spans="1:9" x14ac:dyDescent="0.3">
      <c r="A204" s="28" t="s">
        <v>472</v>
      </c>
      <c r="B204" s="28" t="s">
        <v>24</v>
      </c>
      <c r="C204" s="26">
        <v>16.989999999999998</v>
      </c>
      <c r="D204" s="26">
        <v>21.09</v>
      </c>
    </row>
    <row r="205" spans="1:9" x14ac:dyDescent="0.3">
      <c r="A205" s="28" t="s">
        <v>473</v>
      </c>
      <c r="B205" s="28" t="s">
        <v>24</v>
      </c>
      <c r="C205" s="26">
        <v>18.100000000000001</v>
      </c>
      <c r="D205" s="26">
        <v>24.37</v>
      </c>
    </row>
    <row r="206" spans="1:9" x14ac:dyDescent="0.3">
      <c r="A206" s="28" t="s">
        <v>474</v>
      </c>
      <c r="B206" s="28" t="s">
        <v>24</v>
      </c>
      <c r="C206" s="26">
        <v>22.07</v>
      </c>
      <c r="D206" s="26">
        <v>23.41</v>
      </c>
    </row>
    <row r="207" spans="1:9" x14ac:dyDescent="0.3">
      <c r="A207" s="28" t="s">
        <v>475</v>
      </c>
      <c r="B207" s="28" t="s">
        <v>24</v>
      </c>
      <c r="C207" s="26">
        <v>22.13</v>
      </c>
      <c r="D207" s="26">
        <v>26.13</v>
      </c>
    </row>
    <row r="208" spans="1:9" x14ac:dyDescent="0.3">
      <c r="A208" s="28" t="s">
        <v>477</v>
      </c>
      <c r="B208" s="28" t="s">
        <v>24</v>
      </c>
      <c r="C208" s="26">
        <v>22.08</v>
      </c>
      <c r="D208" s="26">
        <v>21.66</v>
      </c>
    </row>
    <row r="209" spans="1:9" x14ac:dyDescent="0.3">
      <c r="A209" s="28" t="s">
        <v>478</v>
      </c>
      <c r="B209" s="28" t="s">
        <v>24</v>
      </c>
      <c r="C209" s="26">
        <v>14.75</v>
      </c>
      <c r="D209" s="26">
        <v>14.34</v>
      </c>
    </row>
    <row r="210" spans="1:9" x14ac:dyDescent="0.3">
      <c r="A210" s="28" t="s">
        <v>479</v>
      </c>
      <c r="B210" s="28" t="s">
        <v>24</v>
      </c>
      <c r="C210" s="26">
        <v>9.33</v>
      </c>
      <c r="D210" s="26">
        <v>9.2899999999999991</v>
      </c>
    </row>
    <row r="211" spans="1:9" x14ac:dyDescent="0.3">
      <c r="A211" s="28" t="s">
        <v>463</v>
      </c>
      <c r="B211" s="28" t="s">
        <v>23</v>
      </c>
      <c r="C211" s="26">
        <v>1.65</v>
      </c>
      <c r="D211" s="26">
        <v>1.28</v>
      </c>
      <c r="F211" s="20" t="s">
        <v>23</v>
      </c>
      <c r="G211" s="21">
        <f>AVERAGE(C211:C224)</f>
        <v>13.516923076923076</v>
      </c>
      <c r="H211" s="21">
        <f>AVERAGE(D211:D224)</f>
        <v>14.940769230769233</v>
      </c>
      <c r="I211" s="32">
        <f>COUNT(D211:D224)</f>
        <v>13</v>
      </c>
    </row>
    <row r="212" spans="1:9" x14ac:dyDescent="0.3">
      <c r="A212" s="28" t="s">
        <v>464</v>
      </c>
      <c r="B212" s="28" t="s">
        <v>23</v>
      </c>
      <c r="C212" s="30" t="s">
        <v>42</v>
      </c>
      <c r="D212" s="30" t="s">
        <v>42</v>
      </c>
    </row>
    <row r="213" spans="1:9" x14ac:dyDescent="0.3">
      <c r="A213" s="28" t="s">
        <v>466</v>
      </c>
      <c r="B213" s="28" t="s">
        <v>23</v>
      </c>
      <c r="C213" s="26">
        <v>2.94</v>
      </c>
      <c r="D213" s="26">
        <v>3.31</v>
      </c>
    </row>
    <row r="214" spans="1:9" x14ac:dyDescent="0.3">
      <c r="A214" s="28" t="s">
        <v>467</v>
      </c>
      <c r="B214" s="28" t="s">
        <v>23</v>
      </c>
      <c r="C214" s="26">
        <v>4.25</v>
      </c>
      <c r="D214" s="26">
        <v>4.32</v>
      </c>
    </row>
    <row r="215" spans="1:9" x14ac:dyDescent="0.3">
      <c r="A215" s="28" t="s">
        <v>468</v>
      </c>
      <c r="B215" s="28" t="s">
        <v>23</v>
      </c>
      <c r="C215" s="26">
        <v>7.15</v>
      </c>
      <c r="D215" s="26">
        <v>7.57</v>
      </c>
    </row>
    <row r="216" spans="1:9" x14ac:dyDescent="0.3">
      <c r="A216" s="28" t="s">
        <v>469</v>
      </c>
      <c r="B216" s="28" t="s">
        <v>23</v>
      </c>
      <c r="C216" s="26">
        <v>11.63</v>
      </c>
      <c r="D216" s="26">
        <v>14.98</v>
      </c>
    </row>
    <row r="217" spans="1:9" x14ac:dyDescent="0.3">
      <c r="A217" s="28" t="s">
        <v>471</v>
      </c>
      <c r="B217" s="28" t="s">
        <v>23</v>
      </c>
      <c r="C217" s="26">
        <v>16.82</v>
      </c>
      <c r="D217" s="26">
        <v>21.74</v>
      </c>
    </row>
    <row r="218" spans="1:9" x14ac:dyDescent="0.3">
      <c r="A218" s="28" t="s">
        <v>472</v>
      </c>
      <c r="B218" s="28" t="s">
        <v>23</v>
      </c>
      <c r="C218" s="26">
        <v>20.05</v>
      </c>
      <c r="D218" s="26">
        <v>23.28</v>
      </c>
    </row>
    <row r="219" spans="1:9" x14ac:dyDescent="0.3">
      <c r="A219" s="28" t="s">
        <v>473</v>
      </c>
      <c r="B219" s="28" t="s">
        <v>23</v>
      </c>
      <c r="C219" s="26">
        <v>20.95</v>
      </c>
      <c r="D219" s="26">
        <v>23.3</v>
      </c>
    </row>
    <row r="220" spans="1:9" x14ac:dyDescent="0.3">
      <c r="A220" s="28" t="s">
        <v>474</v>
      </c>
      <c r="B220" s="28" t="s">
        <v>23</v>
      </c>
      <c r="C220" s="26">
        <v>22.47</v>
      </c>
      <c r="D220" s="26">
        <v>24.74</v>
      </c>
    </row>
    <row r="221" spans="1:9" x14ac:dyDescent="0.3">
      <c r="A221" s="28" t="s">
        <v>475</v>
      </c>
      <c r="B221" s="28" t="s">
        <v>23</v>
      </c>
      <c r="C221" s="26">
        <v>22.98</v>
      </c>
      <c r="D221" s="26">
        <v>25.03</v>
      </c>
    </row>
    <row r="222" spans="1:9" x14ac:dyDescent="0.3">
      <c r="A222" s="28" t="s">
        <v>477</v>
      </c>
      <c r="B222" s="28" t="s">
        <v>23</v>
      </c>
      <c r="C222" s="26">
        <v>21.22</v>
      </c>
      <c r="D222" s="26">
        <v>21.43</v>
      </c>
    </row>
    <row r="223" spans="1:9" x14ac:dyDescent="0.3">
      <c r="A223" s="28" t="s">
        <v>478</v>
      </c>
      <c r="B223" s="28" t="s">
        <v>23</v>
      </c>
      <c r="C223" s="26">
        <v>14.53</v>
      </c>
      <c r="D223" s="26">
        <v>14.56</v>
      </c>
    </row>
    <row r="224" spans="1:9" x14ac:dyDescent="0.3">
      <c r="A224" s="28" t="s">
        <v>479</v>
      </c>
      <c r="B224" s="28" t="s">
        <v>23</v>
      </c>
      <c r="C224" s="26">
        <v>9.08</v>
      </c>
      <c r="D224" s="26">
        <v>8.69</v>
      </c>
    </row>
    <row r="225" spans="1:9" x14ac:dyDescent="0.3">
      <c r="A225" s="28" t="s">
        <v>463</v>
      </c>
      <c r="B225" s="28" t="s">
        <v>22</v>
      </c>
      <c r="C225" s="26">
        <v>2.31</v>
      </c>
      <c r="D225" s="26">
        <v>2.23</v>
      </c>
      <c r="F225" s="20" t="s">
        <v>22</v>
      </c>
      <c r="G225" s="21">
        <f>AVERAGE(C225:C238)</f>
        <v>13.618461538461538</v>
      </c>
      <c r="H225" s="21">
        <f>AVERAGE(D225:D238)</f>
        <v>14.001538461538461</v>
      </c>
      <c r="I225" s="32">
        <f>COUNT(D225:D238)</f>
        <v>13</v>
      </c>
    </row>
    <row r="226" spans="1:9" x14ac:dyDescent="0.3">
      <c r="A226" s="28" t="s">
        <v>464</v>
      </c>
      <c r="B226" s="28" t="s">
        <v>22</v>
      </c>
      <c r="C226" s="30" t="s">
        <v>42</v>
      </c>
      <c r="D226" s="30" t="s">
        <v>42</v>
      </c>
    </row>
    <row r="227" spans="1:9" x14ac:dyDescent="0.3">
      <c r="A227" s="28" t="s">
        <v>466</v>
      </c>
      <c r="B227" s="28" t="s">
        <v>22</v>
      </c>
      <c r="C227" s="26">
        <v>3.7</v>
      </c>
      <c r="D227" s="26">
        <v>3.91</v>
      </c>
    </row>
    <row r="228" spans="1:9" x14ac:dyDescent="0.3">
      <c r="A228" s="28" t="s">
        <v>467</v>
      </c>
      <c r="B228" s="28" t="s">
        <v>22</v>
      </c>
      <c r="C228" s="26">
        <v>4.5</v>
      </c>
      <c r="D228" s="26">
        <v>4.5</v>
      </c>
    </row>
    <row r="229" spans="1:9" x14ac:dyDescent="0.3">
      <c r="A229" s="28" t="s">
        <v>468</v>
      </c>
      <c r="B229" s="28" t="s">
        <v>22</v>
      </c>
      <c r="C229" s="26">
        <v>6.77</v>
      </c>
      <c r="D229" s="26">
        <v>7.57</v>
      </c>
    </row>
    <row r="230" spans="1:9" x14ac:dyDescent="0.3">
      <c r="A230" s="28" t="s">
        <v>469</v>
      </c>
      <c r="B230" s="28" t="s">
        <v>22</v>
      </c>
      <c r="C230" s="26">
        <v>11.54</v>
      </c>
      <c r="D230" s="26">
        <v>11.56</v>
      </c>
    </row>
    <row r="231" spans="1:9" x14ac:dyDescent="0.3">
      <c r="A231" s="28" t="s">
        <v>471</v>
      </c>
      <c r="B231" s="28" t="s">
        <v>22</v>
      </c>
      <c r="C231" s="26">
        <v>17.829999999999998</v>
      </c>
      <c r="D231" s="26">
        <v>20.74</v>
      </c>
    </row>
    <row r="232" spans="1:9" x14ac:dyDescent="0.3">
      <c r="A232" s="28" t="s">
        <v>472</v>
      </c>
      <c r="B232" s="28" t="s">
        <v>22</v>
      </c>
      <c r="C232" s="26">
        <v>20.52</v>
      </c>
      <c r="D232" s="26">
        <v>21.07</v>
      </c>
    </row>
    <row r="233" spans="1:9" x14ac:dyDescent="0.3">
      <c r="A233" s="28" t="s">
        <v>473</v>
      </c>
      <c r="B233" s="28" t="s">
        <v>22</v>
      </c>
      <c r="C233" s="26">
        <v>21.05</v>
      </c>
      <c r="D233" s="26">
        <v>21.12</v>
      </c>
    </row>
    <row r="234" spans="1:9" x14ac:dyDescent="0.3">
      <c r="A234" s="28" t="s">
        <v>474</v>
      </c>
      <c r="B234" s="28" t="s">
        <v>22</v>
      </c>
      <c r="C234" s="26">
        <v>22.91</v>
      </c>
      <c r="D234" s="26">
        <v>23.04</v>
      </c>
    </row>
    <row r="235" spans="1:9" x14ac:dyDescent="0.3">
      <c r="A235" s="28" t="s">
        <v>475</v>
      </c>
      <c r="B235" s="28" t="s">
        <v>22</v>
      </c>
      <c r="C235" s="26">
        <v>21.74</v>
      </c>
      <c r="D235" s="26">
        <v>21.95</v>
      </c>
    </row>
    <row r="236" spans="1:9" x14ac:dyDescent="0.3">
      <c r="A236" s="28" t="s">
        <v>477</v>
      </c>
      <c r="B236" s="28" t="s">
        <v>22</v>
      </c>
      <c r="C236" s="26">
        <v>20.72</v>
      </c>
      <c r="D236" s="26">
        <v>20.88</v>
      </c>
    </row>
    <row r="237" spans="1:9" x14ac:dyDescent="0.3">
      <c r="A237" s="28" t="s">
        <v>478</v>
      </c>
      <c r="B237" s="28" t="s">
        <v>22</v>
      </c>
      <c r="C237" s="26">
        <v>14.16</v>
      </c>
      <c r="D237" s="26">
        <v>14.16</v>
      </c>
    </row>
    <row r="238" spans="1:9" x14ac:dyDescent="0.3">
      <c r="A238" s="28" t="s">
        <v>479</v>
      </c>
      <c r="B238" s="28" t="s">
        <v>22</v>
      </c>
      <c r="C238" s="26">
        <v>9.2899999999999991</v>
      </c>
      <c r="D238" s="26">
        <v>9.2899999999999991</v>
      </c>
    </row>
    <row r="239" spans="1:9" x14ac:dyDescent="0.3">
      <c r="A239" s="28" t="s">
        <v>463</v>
      </c>
      <c r="B239" s="28" t="s">
        <v>21</v>
      </c>
      <c r="C239" s="26">
        <v>3.35</v>
      </c>
      <c r="D239" s="26">
        <v>2.67</v>
      </c>
      <c r="F239" s="20" t="s">
        <v>21</v>
      </c>
      <c r="G239" s="21">
        <f>AVERAGE(C239:C252)</f>
        <v>13.297692307692309</v>
      </c>
      <c r="H239" s="21">
        <f>AVERAGE(D239:D252)</f>
        <v>13.713846153846154</v>
      </c>
      <c r="I239" s="32">
        <f>COUNT(D239:D252)</f>
        <v>13</v>
      </c>
    </row>
    <row r="240" spans="1:9" x14ac:dyDescent="0.3">
      <c r="A240" s="28" t="s">
        <v>464</v>
      </c>
      <c r="B240" s="28" t="s">
        <v>21</v>
      </c>
      <c r="C240" s="30" t="s">
        <v>42</v>
      </c>
      <c r="D240" s="30" t="s">
        <v>42</v>
      </c>
    </row>
    <row r="241" spans="1:9" x14ac:dyDescent="0.3">
      <c r="A241" s="28" t="s">
        <v>466</v>
      </c>
      <c r="B241" s="28" t="s">
        <v>21</v>
      </c>
      <c r="C241" s="26">
        <v>3.99</v>
      </c>
      <c r="D241" s="26">
        <v>3.63</v>
      </c>
    </row>
    <row r="242" spans="1:9" x14ac:dyDescent="0.3">
      <c r="A242" s="28" t="s">
        <v>467</v>
      </c>
      <c r="B242" s="28" t="s">
        <v>21</v>
      </c>
      <c r="C242" s="26">
        <v>4.68</v>
      </c>
      <c r="D242" s="26">
        <v>4.41</v>
      </c>
    </row>
    <row r="243" spans="1:9" x14ac:dyDescent="0.3">
      <c r="A243" s="28" t="s">
        <v>468</v>
      </c>
      <c r="B243" s="28" t="s">
        <v>21</v>
      </c>
      <c r="C243" s="26">
        <v>6.74</v>
      </c>
      <c r="D243" s="26">
        <v>6.93</v>
      </c>
    </row>
    <row r="244" spans="1:9" x14ac:dyDescent="0.3">
      <c r="A244" s="28" t="s">
        <v>469</v>
      </c>
      <c r="B244" s="28" t="s">
        <v>21</v>
      </c>
      <c r="C244" s="26">
        <v>11.33</v>
      </c>
      <c r="D244" s="26">
        <v>11.99</v>
      </c>
    </row>
    <row r="245" spans="1:9" x14ac:dyDescent="0.3">
      <c r="A245" s="28" t="s">
        <v>471</v>
      </c>
      <c r="B245" s="28" t="s">
        <v>21</v>
      </c>
      <c r="C245" s="26">
        <v>16.73</v>
      </c>
      <c r="D245" s="26">
        <v>18.97</v>
      </c>
    </row>
    <row r="246" spans="1:9" x14ac:dyDescent="0.3">
      <c r="A246" s="28" t="s">
        <v>472</v>
      </c>
      <c r="B246" s="28" t="s">
        <v>21</v>
      </c>
      <c r="C246" s="26">
        <v>18.809999999999999</v>
      </c>
      <c r="D246" s="26">
        <v>20.260000000000002</v>
      </c>
    </row>
    <row r="247" spans="1:9" x14ac:dyDescent="0.3">
      <c r="A247" s="28" t="s">
        <v>473</v>
      </c>
      <c r="B247" s="28" t="s">
        <v>21</v>
      </c>
      <c r="C247" s="26">
        <v>20.38</v>
      </c>
      <c r="D247" s="26">
        <v>21.54</v>
      </c>
    </row>
    <row r="248" spans="1:9" x14ac:dyDescent="0.3">
      <c r="A248" s="28" t="s">
        <v>474</v>
      </c>
      <c r="B248" s="28" t="s">
        <v>21</v>
      </c>
      <c r="C248" s="26">
        <v>21.41</v>
      </c>
      <c r="D248" s="26">
        <v>21.72</v>
      </c>
    </row>
    <row r="249" spans="1:9" x14ac:dyDescent="0.3">
      <c r="A249" s="28" t="s">
        <v>475</v>
      </c>
      <c r="B249" s="28" t="s">
        <v>21</v>
      </c>
      <c r="C249" s="26">
        <v>21.37</v>
      </c>
      <c r="D249" s="26">
        <v>22.94</v>
      </c>
    </row>
    <row r="250" spans="1:9" x14ac:dyDescent="0.3">
      <c r="A250" s="28" t="s">
        <v>477</v>
      </c>
      <c r="B250" s="28" t="s">
        <v>21</v>
      </c>
      <c r="C250" s="26">
        <v>20.25</v>
      </c>
      <c r="D250" s="26">
        <v>20.34</v>
      </c>
    </row>
    <row r="251" spans="1:9" x14ac:dyDescent="0.3">
      <c r="A251" s="28" t="s">
        <v>478</v>
      </c>
      <c r="B251" s="28" t="s">
        <v>21</v>
      </c>
      <c r="C251" s="26">
        <v>14.19</v>
      </c>
      <c r="D251" s="26">
        <v>14.1</v>
      </c>
    </row>
    <row r="252" spans="1:9" x14ac:dyDescent="0.3">
      <c r="A252" s="28" t="s">
        <v>479</v>
      </c>
      <c r="B252" s="28" t="s">
        <v>21</v>
      </c>
      <c r="C252" s="26">
        <v>9.64</v>
      </c>
      <c r="D252" s="26">
        <v>8.7799999999999994</v>
      </c>
    </row>
    <row r="253" spans="1:9" x14ac:dyDescent="0.3">
      <c r="A253" s="28" t="s">
        <v>463</v>
      </c>
      <c r="B253" s="28" t="s">
        <v>20</v>
      </c>
      <c r="C253" s="26">
        <v>3.3</v>
      </c>
      <c r="D253" s="26">
        <v>3.15</v>
      </c>
      <c r="F253" s="20" t="s">
        <v>20</v>
      </c>
      <c r="G253" s="21">
        <f>AVERAGE(C253:C264)</f>
        <v>11.813636363636363</v>
      </c>
      <c r="H253" s="21">
        <f>AVERAGE(D253:D264)</f>
        <v>12.24818181818182</v>
      </c>
      <c r="I253" s="32">
        <f>COUNT(D253:D264)</f>
        <v>11</v>
      </c>
    </row>
    <row r="254" spans="1:9" x14ac:dyDescent="0.3">
      <c r="A254" s="28" t="s">
        <v>464</v>
      </c>
      <c r="B254" s="28" t="s">
        <v>20</v>
      </c>
      <c r="C254" s="30" t="s">
        <v>42</v>
      </c>
      <c r="D254" s="30" t="s">
        <v>42</v>
      </c>
    </row>
    <row r="255" spans="1:9" x14ac:dyDescent="0.3">
      <c r="A255" s="28" t="s">
        <v>466</v>
      </c>
      <c r="B255" s="28" t="s">
        <v>20</v>
      </c>
      <c r="C255" s="26">
        <v>4.07</v>
      </c>
      <c r="D255" s="26">
        <v>3.91</v>
      </c>
    </row>
    <row r="256" spans="1:9" x14ac:dyDescent="0.3">
      <c r="A256" s="28" t="s">
        <v>467</v>
      </c>
      <c r="B256" s="28" t="s">
        <v>20</v>
      </c>
      <c r="C256" s="26">
        <v>4.76</v>
      </c>
      <c r="D256" s="26">
        <v>4.57</v>
      </c>
    </row>
    <row r="257" spans="1:4" x14ac:dyDescent="0.3">
      <c r="A257" s="28" t="s">
        <v>468</v>
      </c>
      <c r="B257" s="28" t="s">
        <v>20</v>
      </c>
      <c r="C257" s="26">
        <v>6.78</v>
      </c>
      <c r="D257" s="26">
        <v>6.99</v>
      </c>
    </row>
    <row r="258" spans="1:4" x14ac:dyDescent="0.3">
      <c r="A258" s="28" t="s">
        <v>469</v>
      </c>
      <c r="B258" s="28" t="s">
        <v>20</v>
      </c>
      <c r="C258" s="26">
        <v>11.43</v>
      </c>
      <c r="D258" s="26">
        <v>11.57</v>
      </c>
    </row>
    <row r="259" spans="1:4" x14ac:dyDescent="0.3">
      <c r="A259" s="28" t="s">
        <v>471</v>
      </c>
      <c r="B259" s="28" t="s">
        <v>20</v>
      </c>
      <c r="C259" s="26">
        <v>16.760000000000002</v>
      </c>
      <c r="D259" s="26">
        <v>18.13</v>
      </c>
    </row>
    <row r="260" spans="1:4" x14ac:dyDescent="0.3">
      <c r="A260" s="28" t="s">
        <v>473</v>
      </c>
      <c r="B260" s="28" t="s">
        <v>20</v>
      </c>
      <c r="C260" s="26">
        <v>19.96</v>
      </c>
      <c r="D260" s="26">
        <v>20.91</v>
      </c>
    </row>
    <row r="261" spans="1:4" x14ac:dyDescent="0.3">
      <c r="A261" s="28" t="s">
        <v>475</v>
      </c>
      <c r="B261" s="28" t="s">
        <v>20</v>
      </c>
      <c r="C261" s="26">
        <v>19.559999999999999</v>
      </c>
      <c r="D261" s="26">
        <v>22.05</v>
      </c>
    </row>
    <row r="262" spans="1:4" x14ac:dyDescent="0.3">
      <c r="A262" s="28" t="s">
        <v>477</v>
      </c>
      <c r="B262" s="28" t="s">
        <v>20</v>
      </c>
      <c r="C262" s="26">
        <v>20.02</v>
      </c>
      <c r="D262" s="26">
        <v>20.149999999999999</v>
      </c>
    </row>
    <row r="263" spans="1:4" x14ac:dyDescent="0.3">
      <c r="A263" s="28" t="s">
        <v>478</v>
      </c>
      <c r="B263" s="28" t="s">
        <v>20</v>
      </c>
      <c r="C263" s="26">
        <v>13.78</v>
      </c>
      <c r="D263" s="26">
        <v>13.95</v>
      </c>
    </row>
    <row r="264" spans="1:4" x14ac:dyDescent="0.3">
      <c r="A264" s="28" t="s">
        <v>479</v>
      </c>
      <c r="B264" s="28" t="s">
        <v>20</v>
      </c>
      <c r="C264" s="26">
        <v>9.5299999999999994</v>
      </c>
      <c r="D264" s="26">
        <v>9.35</v>
      </c>
    </row>
  </sheetData>
  <sortState xmlns:xlrd2="http://schemas.microsoft.com/office/spreadsheetml/2017/richdata2" ref="A2:D264">
    <sortCondition ref="B2:B2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2643-3A0A-4048-AD65-4B8504B052D9}">
  <dimension ref="A1:L38"/>
  <sheetViews>
    <sheetView tabSelected="1" topLeftCell="H1" workbookViewId="0">
      <pane ySplit="1" topLeftCell="A2" activePane="bottomLeft" state="frozen"/>
      <selection pane="bottomLeft" activeCell="R6" sqref="R6"/>
    </sheetView>
  </sheetViews>
  <sheetFormatPr defaultRowHeight="14.4" x14ac:dyDescent="0.3"/>
  <cols>
    <col min="1" max="1" width="9.6640625" style="198" bestFit="1" customWidth="1"/>
    <col min="2" max="2" width="13.33203125" style="6" bestFit="1" customWidth="1"/>
    <col min="3" max="3" width="13.109375" style="6" bestFit="1" customWidth="1"/>
    <col min="4" max="4" width="13.109375" style="1" customWidth="1"/>
  </cols>
  <sheetData>
    <row r="1" spans="1:5" ht="25.5" customHeight="1" x14ac:dyDescent="0.3">
      <c r="A1" s="198" t="s">
        <v>0</v>
      </c>
      <c r="B1" s="6" t="s">
        <v>587</v>
      </c>
      <c r="C1" s="6" t="s">
        <v>588</v>
      </c>
    </row>
    <row r="2" spans="1:5" x14ac:dyDescent="0.3">
      <c r="A2" s="198">
        <v>1991</v>
      </c>
      <c r="B2" s="7">
        <v>14.551219642857145</v>
      </c>
      <c r="C2" s="6">
        <v>13.267019642857147</v>
      </c>
      <c r="E2" s="2"/>
    </row>
    <row r="3" spans="1:5" x14ac:dyDescent="0.3">
      <c r="A3" s="198">
        <v>1992</v>
      </c>
      <c r="B3" s="8">
        <v>12.207588059701498</v>
      </c>
      <c r="C3" s="6">
        <v>11.084627536231885</v>
      </c>
    </row>
    <row r="4" spans="1:5" x14ac:dyDescent="0.3">
      <c r="A4" s="198">
        <v>1993</v>
      </c>
      <c r="B4" s="8">
        <v>15.273027450980393</v>
      </c>
      <c r="C4" s="6">
        <v>11.258387500000001</v>
      </c>
    </row>
    <row r="5" spans="1:5" x14ac:dyDescent="0.3">
      <c r="A5" s="198">
        <v>1994</v>
      </c>
      <c r="B5" s="8">
        <v>18.482944557823128</v>
      </c>
      <c r="C5" s="6">
        <v>10.109010112359549</v>
      </c>
    </row>
    <row r="6" spans="1:5" x14ac:dyDescent="0.3">
      <c r="A6" s="198">
        <v>1995</v>
      </c>
      <c r="B6" s="8">
        <v>11.141750000000004</v>
      </c>
      <c r="C6" s="6">
        <v>12.347900425531918</v>
      </c>
    </row>
    <row r="7" spans="1:5" x14ac:dyDescent="0.3">
      <c r="A7" s="198">
        <v>1996</v>
      </c>
      <c r="B7" s="8">
        <v>16.653554193548384</v>
      </c>
      <c r="C7" s="6">
        <v>11.966351612903221</v>
      </c>
    </row>
    <row r="8" spans="1:5" x14ac:dyDescent="0.3">
      <c r="A8" s="198">
        <v>1997</v>
      </c>
      <c r="B8" s="8">
        <v>16.192166785714303</v>
      </c>
      <c r="C8" s="6">
        <v>12.117467142857132</v>
      </c>
    </row>
    <row r="9" spans="1:5" x14ac:dyDescent="0.3">
      <c r="A9" s="198">
        <v>1998</v>
      </c>
      <c r="B9" s="8">
        <v>17.803113086419746</v>
      </c>
      <c r="C9" s="6">
        <v>12.941916194331982</v>
      </c>
    </row>
    <row r="10" spans="1:5" x14ac:dyDescent="0.3">
      <c r="A10" s="198">
        <v>1999</v>
      </c>
      <c r="B10" s="8">
        <v>17.134333080808073</v>
      </c>
      <c r="C10" s="6">
        <v>12.311642187500002</v>
      </c>
    </row>
    <row r="11" spans="1:5" x14ac:dyDescent="0.3">
      <c r="A11" s="198">
        <v>2000</v>
      </c>
      <c r="B11" s="8">
        <v>16.633897169811313</v>
      </c>
      <c r="C11" s="6">
        <v>12.032005490196077</v>
      </c>
    </row>
    <row r="12" spans="1:5" x14ac:dyDescent="0.3">
      <c r="A12" s="198">
        <v>2001</v>
      </c>
      <c r="B12" s="8">
        <v>17.681043410852713</v>
      </c>
      <c r="C12" s="6">
        <v>12.926708870967744</v>
      </c>
    </row>
    <row r="13" spans="1:5" x14ac:dyDescent="0.3">
      <c r="A13" s="198">
        <v>2002</v>
      </c>
      <c r="B13" s="8">
        <v>14.909986131386866</v>
      </c>
      <c r="C13" s="6">
        <v>12.440276446280995</v>
      </c>
    </row>
    <row r="14" spans="1:5" x14ac:dyDescent="0.3">
      <c r="A14" s="198">
        <v>2003</v>
      </c>
      <c r="B14" s="8">
        <v>15.669723939393942</v>
      </c>
      <c r="C14" s="6">
        <v>11.341413122171941</v>
      </c>
    </row>
    <row r="15" spans="1:5" x14ac:dyDescent="0.3">
      <c r="A15" s="198">
        <v>2004</v>
      </c>
      <c r="B15" s="8">
        <v>17.035140955631395</v>
      </c>
      <c r="C15" s="6">
        <v>12.645331018518515</v>
      </c>
    </row>
    <row r="16" spans="1:5" x14ac:dyDescent="0.3">
      <c r="A16" s="198">
        <v>2005</v>
      </c>
      <c r="B16" s="8">
        <v>17.502046979865781</v>
      </c>
      <c r="C16" s="6">
        <v>12.443033596837953</v>
      </c>
    </row>
    <row r="17" spans="1:3" x14ac:dyDescent="0.3">
      <c r="A17" s="198">
        <v>2006</v>
      </c>
      <c r="B17" s="8">
        <v>18.666583448275865</v>
      </c>
      <c r="C17" s="6">
        <v>14.990842543859658</v>
      </c>
    </row>
    <row r="18" spans="1:3" x14ac:dyDescent="0.3">
      <c r="A18" s="198">
        <v>2007</v>
      </c>
      <c r="B18" s="8">
        <v>16.781344444444443</v>
      </c>
      <c r="C18" s="6">
        <v>12.764724031007752</v>
      </c>
    </row>
    <row r="19" spans="1:3" x14ac:dyDescent="0.3">
      <c r="A19" s="198">
        <v>2008</v>
      </c>
      <c r="B19" s="8">
        <v>16.463443296089384</v>
      </c>
      <c r="C19" s="6">
        <v>12.130273200000001</v>
      </c>
    </row>
    <row r="20" spans="1:3" x14ac:dyDescent="0.3">
      <c r="A20" s="198">
        <v>2009</v>
      </c>
      <c r="B20" s="8">
        <v>14.864309900990094</v>
      </c>
      <c r="C20" s="6">
        <v>11.574757199999999</v>
      </c>
    </row>
    <row r="21" spans="1:3" x14ac:dyDescent="0.3">
      <c r="A21" s="198">
        <v>2010</v>
      </c>
      <c r="B21" s="8">
        <v>16.380146263345218</v>
      </c>
      <c r="C21" s="6">
        <v>12.756010204081635</v>
      </c>
    </row>
    <row r="22" spans="1:3" x14ac:dyDescent="0.3">
      <c r="A22" s="198">
        <v>2011</v>
      </c>
      <c r="B22" s="8">
        <v>16.757059878419451</v>
      </c>
      <c r="C22" s="6">
        <v>11.92756696832579</v>
      </c>
    </row>
    <row r="23" spans="1:3" x14ac:dyDescent="0.3">
      <c r="A23" s="198">
        <v>2012</v>
      </c>
      <c r="B23" s="8">
        <v>17.683542821158689</v>
      </c>
      <c r="C23" s="6">
        <v>13.661042471042471</v>
      </c>
    </row>
    <row r="24" spans="1:3" x14ac:dyDescent="0.3">
      <c r="A24" s="198">
        <v>2013</v>
      </c>
      <c r="B24" s="8">
        <v>17.140527525252523</v>
      </c>
      <c r="C24" s="6">
        <v>12.939243461538458</v>
      </c>
    </row>
    <row r="25" spans="1:3" x14ac:dyDescent="0.3">
      <c r="A25" s="198">
        <v>2014</v>
      </c>
      <c r="B25" s="8">
        <v>16.304540920716121</v>
      </c>
      <c r="C25" s="6">
        <v>11.953458687258692</v>
      </c>
    </row>
    <row r="26" spans="1:3" x14ac:dyDescent="0.3">
      <c r="A26" s="198">
        <v>2015</v>
      </c>
      <c r="B26" s="8">
        <v>16.879134133333327</v>
      </c>
      <c r="C26" s="6">
        <v>12.659690234374999</v>
      </c>
    </row>
    <row r="27" spans="1:3" x14ac:dyDescent="0.3">
      <c r="A27" s="198">
        <v>2016</v>
      </c>
      <c r="B27" s="8">
        <v>17.274034540389984</v>
      </c>
      <c r="C27" s="6">
        <v>13.551704705882358</v>
      </c>
    </row>
    <row r="28" spans="1:3" x14ac:dyDescent="0.3">
      <c r="A28" s="198">
        <v>2017</v>
      </c>
      <c r="B28" s="8">
        <v>18.29688942307693</v>
      </c>
      <c r="C28" s="6">
        <v>14.089071808510633</v>
      </c>
    </row>
    <row r="29" spans="1:3" x14ac:dyDescent="0.3">
      <c r="A29" s="198">
        <v>2018</v>
      </c>
      <c r="B29" s="8">
        <v>14.272313725490198</v>
      </c>
      <c r="C29" s="6">
        <v>12.7836328125</v>
      </c>
    </row>
    <row r="30" spans="1:3" x14ac:dyDescent="0.3">
      <c r="A30" s="198">
        <v>2019</v>
      </c>
      <c r="B30" s="6">
        <v>13.830384615384617</v>
      </c>
      <c r="C30" s="201">
        <v>12.593730769230801</v>
      </c>
    </row>
    <row r="31" spans="1:3" x14ac:dyDescent="0.3">
      <c r="A31" s="198">
        <v>2020</v>
      </c>
      <c r="B31" s="21">
        <v>16.89941520467837</v>
      </c>
      <c r="C31" s="21">
        <v>15.350872093023261</v>
      </c>
    </row>
    <row r="32" spans="1:3" x14ac:dyDescent="0.3">
      <c r="A32" s="198">
        <v>2021</v>
      </c>
      <c r="B32" s="21">
        <v>16.655342465753421</v>
      </c>
      <c r="C32" s="21">
        <v>15.067545454545453</v>
      </c>
    </row>
    <row r="33" spans="1:12" x14ac:dyDescent="0.3">
      <c r="A33" s="198">
        <v>2022</v>
      </c>
      <c r="B33" s="6">
        <v>14.861021276595743</v>
      </c>
      <c r="C33" s="6">
        <v>13.865529953917058</v>
      </c>
    </row>
    <row r="34" spans="1:12" ht="15" thickBot="1" x14ac:dyDescent="0.35">
      <c r="A34" s="198">
        <v>2023</v>
      </c>
      <c r="B34" s="202">
        <v>15.738356164383561</v>
      </c>
      <c r="C34" s="202">
        <v>14.32657534246575</v>
      </c>
    </row>
    <row r="35" spans="1:12" s="4" customFormat="1" x14ac:dyDescent="0.3">
      <c r="A35" s="199">
        <v>2024</v>
      </c>
      <c r="B35" s="156">
        <v>15.097523809523805</v>
      </c>
      <c r="C35" s="156">
        <v>13.372009569377994</v>
      </c>
      <c r="D35" s="155"/>
    </row>
    <row r="36" spans="1:12" s="4" customFormat="1" x14ac:dyDescent="0.3">
      <c r="A36" s="208">
        <v>2025</v>
      </c>
      <c r="B36" s="156">
        <v>14.68</v>
      </c>
      <c r="C36" s="156">
        <v>12.8</v>
      </c>
      <c r="D36" s="5"/>
      <c r="L36" s="4" t="s">
        <v>586</v>
      </c>
    </row>
    <row r="38" spans="1:12" x14ac:dyDescent="0.3">
      <c r="A38" s="200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87"/>
  <sheetViews>
    <sheetView workbookViewId="0">
      <pane ySplit="1" topLeftCell="A464" activePane="bottomLeft" state="frozen"/>
      <selection pane="bottomLeft" activeCell="B488" sqref="B488"/>
    </sheetView>
  </sheetViews>
  <sheetFormatPr defaultRowHeight="15" customHeight="1" x14ac:dyDescent="0.3"/>
  <cols>
    <col min="1" max="1" width="15.21875" customWidth="1"/>
    <col min="2" max="2" width="11.6640625" customWidth="1"/>
    <col min="3" max="3" width="13.33203125" customWidth="1"/>
    <col min="8" max="8" width="12.5546875" bestFit="1" customWidth="1"/>
    <col min="9" max="9" width="16.88671875" bestFit="1" customWidth="1"/>
    <col min="10" max="10" width="17" bestFit="1" customWidth="1"/>
  </cols>
  <sheetData>
    <row r="1" spans="1:16" ht="15" customHeight="1" x14ac:dyDescent="0.3">
      <c r="A1" s="159" t="s">
        <v>1</v>
      </c>
      <c r="B1" s="159" t="s">
        <v>2</v>
      </c>
      <c r="C1" s="159" t="s">
        <v>3</v>
      </c>
      <c r="D1" s="159" t="s">
        <v>591</v>
      </c>
      <c r="E1" s="159" t="s">
        <v>592</v>
      </c>
      <c r="F1" s="164" t="s">
        <v>480</v>
      </c>
      <c r="G1" s="164"/>
      <c r="H1" s="164"/>
      <c r="I1" s="164"/>
      <c r="J1" s="164"/>
      <c r="K1" s="164"/>
      <c r="L1" s="164"/>
      <c r="M1" s="164"/>
    </row>
    <row r="2" spans="1:16" ht="14.4" x14ac:dyDescent="0.3">
      <c r="A2" s="160" t="s">
        <v>89</v>
      </c>
      <c r="B2" s="160" t="s">
        <v>30</v>
      </c>
      <c r="C2" s="161">
        <v>34703</v>
      </c>
      <c r="D2" s="162">
        <v>4.45</v>
      </c>
      <c r="E2" s="162">
        <v>4.62</v>
      </c>
      <c r="F2" s="165">
        <v>1995</v>
      </c>
      <c r="G2" s="165"/>
      <c r="H2" s="47" t="s">
        <v>515</v>
      </c>
      <c r="I2" t="s">
        <v>519</v>
      </c>
      <c r="J2" t="s">
        <v>518</v>
      </c>
      <c r="K2" s="165"/>
      <c r="L2" s="165"/>
      <c r="M2" s="165"/>
      <c r="N2" t="s">
        <v>515</v>
      </c>
      <c r="O2" t="s">
        <v>482</v>
      </c>
      <c r="P2" t="s">
        <v>481</v>
      </c>
    </row>
    <row r="3" spans="1:16" ht="14.4" x14ac:dyDescent="0.3">
      <c r="A3" s="160" t="s">
        <v>90</v>
      </c>
      <c r="B3" s="160" t="s">
        <v>30</v>
      </c>
      <c r="C3" s="161">
        <v>34738</v>
      </c>
      <c r="D3" s="162">
        <v>0.68</v>
      </c>
      <c r="E3" s="162">
        <v>1.51</v>
      </c>
      <c r="F3" s="165">
        <v>1995</v>
      </c>
      <c r="G3" s="165"/>
      <c r="H3" s="9">
        <v>1995</v>
      </c>
      <c r="I3">
        <v>13.618585714285715</v>
      </c>
      <c r="J3">
        <v>12.614749999999999</v>
      </c>
      <c r="K3" s="165"/>
      <c r="L3" s="165"/>
      <c r="M3" s="165"/>
      <c r="N3">
        <v>1995</v>
      </c>
      <c r="O3">
        <v>13.618585714285715</v>
      </c>
      <c r="P3">
        <v>12.614749999999999</v>
      </c>
    </row>
    <row r="4" spans="1:16" ht="14.4" x14ac:dyDescent="0.3">
      <c r="A4" s="160" t="s">
        <v>91</v>
      </c>
      <c r="B4" s="160" t="s">
        <v>30</v>
      </c>
      <c r="C4" s="161">
        <v>34766</v>
      </c>
      <c r="D4" s="162">
        <v>3.29</v>
      </c>
      <c r="E4" s="162">
        <v>2.02</v>
      </c>
      <c r="F4" s="165">
        <v>1995</v>
      </c>
      <c r="G4" s="165"/>
      <c r="H4" s="9">
        <v>1996</v>
      </c>
      <c r="I4">
        <v>27.27785714285714</v>
      </c>
      <c r="J4">
        <v>13.422307692307694</v>
      </c>
      <c r="K4" s="165"/>
      <c r="L4" s="165"/>
      <c r="M4" s="165"/>
      <c r="N4">
        <v>1996</v>
      </c>
      <c r="O4">
        <v>27.27785714285714</v>
      </c>
      <c r="P4">
        <v>13.422307692307694</v>
      </c>
    </row>
    <row r="5" spans="1:16" ht="14.4" x14ac:dyDescent="0.3">
      <c r="A5" s="160" t="s">
        <v>92</v>
      </c>
      <c r="B5" s="160" t="s">
        <v>30</v>
      </c>
      <c r="C5" s="161">
        <v>34795</v>
      </c>
      <c r="D5" s="162">
        <v>5.55</v>
      </c>
      <c r="E5" s="162">
        <v>5.19</v>
      </c>
      <c r="F5" s="165">
        <v>1995</v>
      </c>
      <c r="G5" s="165"/>
      <c r="H5" s="9">
        <v>1997</v>
      </c>
      <c r="I5">
        <v>14.089285714285712</v>
      </c>
      <c r="J5">
        <v>12.591666666666667</v>
      </c>
      <c r="K5" s="165"/>
      <c r="L5" s="165"/>
      <c r="M5" s="165"/>
      <c r="N5">
        <v>1997</v>
      </c>
      <c r="O5">
        <v>14.089285714285712</v>
      </c>
      <c r="P5">
        <v>12.591666666666667</v>
      </c>
    </row>
    <row r="6" spans="1:16" ht="14.4" x14ac:dyDescent="0.3">
      <c r="A6" s="160" t="s">
        <v>93</v>
      </c>
      <c r="B6" s="160" t="s">
        <v>30</v>
      </c>
      <c r="C6" s="161">
        <v>34829</v>
      </c>
      <c r="D6" s="162">
        <v>11.690200000000001</v>
      </c>
      <c r="E6" s="162">
        <v>10.32</v>
      </c>
      <c r="F6" s="165">
        <v>1995</v>
      </c>
      <c r="G6" s="165"/>
      <c r="H6" s="9">
        <v>1998</v>
      </c>
      <c r="I6">
        <v>14.166111111111112</v>
      </c>
      <c r="J6">
        <v>13.139375000000001</v>
      </c>
      <c r="K6" s="165"/>
      <c r="L6" s="165"/>
      <c r="M6" s="165"/>
      <c r="N6">
        <v>1998</v>
      </c>
      <c r="O6">
        <v>14.166111111111112</v>
      </c>
      <c r="P6">
        <v>13.139375000000001</v>
      </c>
    </row>
    <row r="7" spans="1:16" ht="14.4" x14ac:dyDescent="0.3">
      <c r="A7" s="160" t="s">
        <v>94</v>
      </c>
      <c r="B7" s="160" t="s">
        <v>30</v>
      </c>
      <c r="C7" s="161">
        <v>34857</v>
      </c>
      <c r="D7" s="162">
        <v>15.2</v>
      </c>
      <c r="E7" s="162">
        <v>13.27</v>
      </c>
      <c r="F7" s="165">
        <v>1995</v>
      </c>
      <c r="G7" s="165"/>
      <c r="H7" s="9">
        <v>1999</v>
      </c>
      <c r="I7">
        <v>13.502005882352943</v>
      </c>
      <c r="J7">
        <v>12.22549411764706</v>
      </c>
      <c r="K7" s="165"/>
      <c r="L7" s="165"/>
      <c r="M7" s="165"/>
      <c r="N7">
        <v>1999</v>
      </c>
      <c r="O7">
        <v>13.502005882352943</v>
      </c>
      <c r="P7">
        <v>12.22549411764706</v>
      </c>
    </row>
    <row r="8" spans="1:16" ht="14.4" x14ac:dyDescent="0.3">
      <c r="A8" s="160" t="s">
        <v>96</v>
      </c>
      <c r="B8" s="160" t="s">
        <v>30</v>
      </c>
      <c r="C8" s="161">
        <v>34886</v>
      </c>
      <c r="D8" s="162">
        <v>20.73</v>
      </c>
      <c r="E8" s="162">
        <v>17.809999999999999</v>
      </c>
      <c r="F8" s="165">
        <v>1995</v>
      </c>
      <c r="G8" s="165"/>
      <c r="H8" s="9">
        <v>2000</v>
      </c>
      <c r="I8">
        <v>12.548823529411765</v>
      </c>
      <c r="J8">
        <v>11.601176470588236</v>
      </c>
      <c r="K8" s="165"/>
      <c r="L8" s="165"/>
      <c r="M8" s="165"/>
      <c r="N8">
        <v>2000</v>
      </c>
      <c r="O8">
        <v>12.548823529411765</v>
      </c>
      <c r="P8">
        <v>11.601176470588236</v>
      </c>
    </row>
    <row r="9" spans="1:16" ht="14.4" x14ac:dyDescent="0.3">
      <c r="A9" s="160" t="s">
        <v>97</v>
      </c>
      <c r="B9" s="160" t="s">
        <v>30</v>
      </c>
      <c r="C9" s="161">
        <v>34898</v>
      </c>
      <c r="D9" s="162">
        <v>21.35</v>
      </c>
      <c r="E9" s="162">
        <v>18.72</v>
      </c>
      <c r="F9" s="165">
        <v>1995</v>
      </c>
      <c r="G9" s="165"/>
      <c r="H9" s="9">
        <v>2001</v>
      </c>
      <c r="I9">
        <v>14.552</v>
      </c>
      <c r="J9">
        <v>12.867142857142857</v>
      </c>
      <c r="K9" s="165"/>
      <c r="L9" s="165"/>
      <c r="M9" s="165"/>
      <c r="N9">
        <v>2001</v>
      </c>
      <c r="O9">
        <v>14.552</v>
      </c>
      <c r="P9">
        <v>12.867142857142857</v>
      </c>
    </row>
    <row r="10" spans="1:16" ht="14.4" x14ac:dyDescent="0.3">
      <c r="A10" s="160" t="s">
        <v>98</v>
      </c>
      <c r="B10" s="160" t="s">
        <v>30</v>
      </c>
      <c r="C10" s="161">
        <v>34915</v>
      </c>
      <c r="D10" s="162">
        <v>22.5</v>
      </c>
      <c r="E10" s="162">
        <v>19.239999999999998</v>
      </c>
      <c r="F10" s="165">
        <v>1995</v>
      </c>
      <c r="G10" s="165"/>
      <c r="H10" s="9">
        <v>2002</v>
      </c>
      <c r="I10">
        <v>13.48764705882353</v>
      </c>
      <c r="J10">
        <v>12.420000000000002</v>
      </c>
      <c r="K10" s="165"/>
      <c r="L10" s="165"/>
      <c r="M10" s="165"/>
      <c r="N10">
        <v>2002</v>
      </c>
      <c r="O10">
        <v>13.48764705882353</v>
      </c>
      <c r="P10">
        <v>12.420000000000002</v>
      </c>
    </row>
    <row r="11" spans="1:16" ht="14.4" x14ac:dyDescent="0.3">
      <c r="A11" s="160" t="s">
        <v>99</v>
      </c>
      <c r="B11" s="160" t="s">
        <v>30</v>
      </c>
      <c r="C11" s="161">
        <v>34925</v>
      </c>
      <c r="D11" s="162">
        <v>23.39</v>
      </c>
      <c r="E11" s="162">
        <v>22.42</v>
      </c>
      <c r="F11" s="165">
        <v>1995</v>
      </c>
      <c r="G11" s="165"/>
      <c r="H11" s="9">
        <v>2003</v>
      </c>
      <c r="I11">
        <v>11.806428571428571</v>
      </c>
      <c r="J11">
        <v>11.128666666666668</v>
      </c>
      <c r="K11" s="165"/>
      <c r="L11" s="165"/>
      <c r="M11" s="165"/>
      <c r="N11">
        <v>2003</v>
      </c>
      <c r="O11">
        <v>11.806428571428571</v>
      </c>
      <c r="P11">
        <v>11.128666666666668</v>
      </c>
    </row>
    <row r="12" spans="1:16" ht="14.4" x14ac:dyDescent="0.3">
      <c r="A12" s="160" t="s">
        <v>100</v>
      </c>
      <c r="B12" s="160" t="s">
        <v>30</v>
      </c>
      <c r="C12" s="161">
        <v>34947</v>
      </c>
      <c r="D12" s="162">
        <v>23.71</v>
      </c>
      <c r="E12" s="162">
        <v>23.11</v>
      </c>
      <c r="F12" s="165">
        <v>1995</v>
      </c>
      <c r="G12" s="165"/>
      <c r="H12" s="9">
        <v>2004</v>
      </c>
      <c r="I12">
        <v>12.441333333333334</v>
      </c>
      <c r="J12">
        <v>11.327333333333335</v>
      </c>
      <c r="K12" s="165"/>
      <c r="L12" s="165"/>
      <c r="M12" s="165"/>
      <c r="N12">
        <v>2004</v>
      </c>
      <c r="O12">
        <v>12.441333333333334</v>
      </c>
      <c r="P12">
        <v>11.327333333333335</v>
      </c>
    </row>
    <row r="13" spans="1:16" ht="14.4" x14ac:dyDescent="0.3">
      <c r="A13" s="160" t="s">
        <v>101</v>
      </c>
      <c r="B13" s="160" t="s">
        <v>30</v>
      </c>
      <c r="C13" s="161">
        <v>34977</v>
      </c>
      <c r="D13" s="162">
        <v>19.78</v>
      </c>
      <c r="E13" s="162">
        <v>19.141400000000001</v>
      </c>
      <c r="F13" s="165">
        <v>1995</v>
      </c>
      <c r="G13" s="165"/>
      <c r="H13" s="9">
        <v>2005</v>
      </c>
      <c r="I13">
        <v>14.28375</v>
      </c>
      <c r="J13">
        <v>12.867999999999999</v>
      </c>
      <c r="K13" s="165"/>
      <c r="L13" s="165"/>
      <c r="M13" s="165"/>
      <c r="N13">
        <v>2005</v>
      </c>
      <c r="O13">
        <v>14.28375</v>
      </c>
      <c r="P13">
        <v>12.867999999999999</v>
      </c>
    </row>
    <row r="14" spans="1:16" ht="14.4" x14ac:dyDescent="0.3">
      <c r="A14" s="160" t="s">
        <v>102</v>
      </c>
      <c r="B14" s="160" t="s">
        <v>30</v>
      </c>
      <c r="C14" s="161">
        <v>35016</v>
      </c>
      <c r="D14" s="162">
        <v>11.33</v>
      </c>
      <c r="E14" s="162">
        <v>11.8851</v>
      </c>
      <c r="F14" s="165">
        <v>1995</v>
      </c>
      <c r="G14" s="165"/>
      <c r="H14" s="9">
        <v>2006</v>
      </c>
      <c r="I14">
        <v>15.97</v>
      </c>
      <c r="J14">
        <v>14.610000000000001</v>
      </c>
      <c r="K14" s="165"/>
      <c r="L14" s="165"/>
      <c r="M14" s="165"/>
      <c r="N14">
        <v>2006</v>
      </c>
      <c r="O14">
        <v>15.97</v>
      </c>
      <c r="P14">
        <v>14.610000000000001</v>
      </c>
    </row>
    <row r="15" spans="1:16" ht="14.4" x14ac:dyDescent="0.3">
      <c r="A15" s="160" t="s">
        <v>103</v>
      </c>
      <c r="B15" s="160" t="s">
        <v>30</v>
      </c>
      <c r="C15" s="161">
        <v>35040</v>
      </c>
      <c r="D15" s="162">
        <v>7.01</v>
      </c>
      <c r="E15" s="162">
        <v>7.35</v>
      </c>
      <c r="F15" s="165">
        <v>1995</v>
      </c>
      <c r="G15" s="165"/>
      <c r="H15" s="9">
        <v>2007</v>
      </c>
      <c r="I15">
        <v>13.284117647058824</v>
      </c>
      <c r="J15">
        <v>12.22</v>
      </c>
      <c r="K15" s="165"/>
      <c r="L15" s="165"/>
      <c r="M15" s="165"/>
      <c r="N15">
        <v>2007</v>
      </c>
      <c r="O15">
        <v>13.284117647058824</v>
      </c>
      <c r="P15">
        <v>12.22</v>
      </c>
    </row>
    <row r="16" spans="1:16" ht="14.4" x14ac:dyDescent="0.3">
      <c r="A16" s="160" t="s">
        <v>104</v>
      </c>
      <c r="B16" s="160" t="s">
        <v>30</v>
      </c>
      <c r="C16" s="161">
        <v>35103</v>
      </c>
      <c r="D16" s="162">
        <v>-0.51</v>
      </c>
      <c r="E16" s="162">
        <v>-0.36</v>
      </c>
      <c r="F16" s="165">
        <v>1996</v>
      </c>
      <c r="G16" s="165"/>
      <c r="H16" s="9">
        <v>2008</v>
      </c>
      <c r="I16">
        <v>13.108333333333333</v>
      </c>
      <c r="J16">
        <v>12.169444444444444</v>
      </c>
      <c r="K16" s="165"/>
      <c r="L16" s="165"/>
      <c r="M16" s="165"/>
      <c r="N16">
        <v>2008</v>
      </c>
      <c r="O16">
        <v>13.108333333333333</v>
      </c>
      <c r="P16">
        <v>12.169444444444444</v>
      </c>
    </row>
    <row r="17" spans="1:16" ht="14.4" x14ac:dyDescent="0.3">
      <c r="A17" s="160" t="s">
        <v>105</v>
      </c>
      <c r="B17" s="160" t="s">
        <v>30</v>
      </c>
      <c r="C17" s="161">
        <v>35129</v>
      </c>
      <c r="D17" s="162">
        <v>1.06</v>
      </c>
      <c r="E17" s="162">
        <v>0.67</v>
      </c>
      <c r="F17" s="165">
        <v>1996</v>
      </c>
      <c r="G17" s="165"/>
      <c r="H17" s="9">
        <v>2009</v>
      </c>
      <c r="I17">
        <v>12.204375000000001</v>
      </c>
      <c r="J17">
        <v>11.215624999999998</v>
      </c>
      <c r="K17" s="165"/>
      <c r="L17" s="165"/>
      <c r="M17" s="165"/>
      <c r="N17">
        <v>2009</v>
      </c>
      <c r="O17">
        <v>12.204375000000001</v>
      </c>
      <c r="P17">
        <v>11.215624999999998</v>
      </c>
    </row>
    <row r="18" spans="1:16" ht="14.4" x14ac:dyDescent="0.3">
      <c r="A18" s="160" t="s">
        <v>107</v>
      </c>
      <c r="B18" s="160" t="s">
        <v>30</v>
      </c>
      <c r="C18" s="161">
        <v>35199</v>
      </c>
      <c r="D18" s="162">
        <v>11.34</v>
      </c>
      <c r="E18" s="162">
        <v>10</v>
      </c>
      <c r="F18" s="165">
        <v>1996</v>
      </c>
      <c r="G18" s="165"/>
      <c r="H18" s="9">
        <v>2010</v>
      </c>
      <c r="I18">
        <v>13.521874999999998</v>
      </c>
      <c r="J18">
        <v>12.371874999999999</v>
      </c>
      <c r="K18" s="165"/>
      <c r="L18" s="165"/>
      <c r="M18" s="165"/>
      <c r="N18">
        <v>2010</v>
      </c>
      <c r="O18">
        <v>13.521874999999998</v>
      </c>
      <c r="P18">
        <v>12.371874999999999</v>
      </c>
    </row>
    <row r="19" spans="1:16" ht="14.4" x14ac:dyDescent="0.3">
      <c r="A19" s="160" t="s">
        <v>108</v>
      </c>
      <c r="B19" s="160" t="s">
        <v>30</v>
      </c>
      <c r="C19" s="161">
        <v>35220</v>
      </c>
      <c r="D19" s="162">
        <v>13.23</v>
      </c>
      <c r="E19" s="162">
        <v>12.47</v>
      </c>
      <c r="F19" s="165">
        <v>1996</v>
      </c>
      <c r="G19" s="165"/>
      <c r="H19" s="9">
        <v>2011</v>
      </c>
      <c r="I19">
        <v>12.623333333333331</v>
      </c>
      <c r="J19">
        <v>11.309333333333335</v>
      </c>
      <c r="K19" s="165"/>
      <c r="L19" s="165"/>
      <c r="M19" s="165"/>
      <c r="N19">
        <v>2011</v>
      </c>
      <c r="O19">
        <v>12.623333333333331</v>
      </c>
      <c r="P19">
        <v>11.309333333333335</v>
      </c>
    </row>
    <row r="20" spans="1:16" ht="14.4" x14ac:dyDescent="0.3">
      <c r="A20" s="160" t="s">
        <v>109</v>
      </c>
      <c r="B20" s="160" t="s">
        <v>30</v>
      </c>
      <c r="C20" s="161">
        <v>35242</v>
      </c>
      <c r="D20" s="162">
        <v>19.399999999999999</v>
      </c>
      <c r="E20" s="162">
        <v>15.94</v>
      </c>
      <c r="F20" s="165">
        <v>1996</v>
      </c>
      <c r="G20" s="165"/>
      <c r="H20" s="9">
        <v>2012</v>
      </c>
      <c r="I20">
        <v>14.449444444444444</v>
      </c>
      <c r="J20">
        <v>13.533333333333333</v>
      </c>
      <c r="K20" s="165"/>
      <c r="L20" s="165"/>
      <c r="M20" s="165"/>
      <c r="N20">
        <v>2012</v>
      </c>
      <c r="O20">
        <v>14.449444444444444</v>
      </c>
      <c r="P20">
        <v>13.533333333333333</v>
      </c>
    </row>
    <row r="21" spans="1:16" ht="14.4" x14ac:dyDescent="0.3">
      <c r="A21" s="160" t="s">
        <v>110</v>
      </c>
      <c r="B21" s="160" t="s">
        <v>30</v>
      </c>
      <c r="C21" s="161">
        <v>35254</v>
      </c>
      <c r="D21" s="162">
        <v>19.48</v>
      </c>
      <c r="E21" s="162">
        <v>15.86</v>
      </c>
      <c r="F21" s="165">
        <v>1996</v>
      </c>
      <c r="G21" s="165"/>
      <c r="H21" s="9">
        <v>2013</v>
      </c>
      <c r="I21">
        <v>13.94294117647059</v>
      </c>
      <c r="J21">
        <v>12.956470588235295</v>
      </c>
      <c r="K21" s="165"/>
      <c r="L21" s="165"/>
      <c r="M21" s="165"/>
      <c r="N21">
        <v>2013</v>
      </c>
      <c r="O21">
        <v>13.94294117647059</v>
      </c>
      <c r="P21">
        <v>12.956470588235295</v>
      </c>
    </row>
    <row r="22" spans="1:16" ht="14.4" x14ac:dyDescent="0.3">
      <c r="A22" s="160" t="s">
        <v>111</v>
      </c>
      <c r="B22" s="160" t="s">
        <v>30</v>
      </c>
      <c r="C22" s="161">
        <v>35270</v>
      </c>
      <c r="D22" s="162">
        <v>19.39</v>
      </c>
      <c r="E22" s="162">
        <v>17.420000000000002</v>
      </c>
      <c r="F22" s="165">
        <v>1996</v>
      </c>
      <c r="G22" s="165"/>
      <c r="H22" s="9">
        <v>2014</v>
      </c>
      <c r="I22">
        <v>13.054117647058822</v>
      </c>
      <c r="J22">
        <v>11.888823529411765</v>
      </c>
      <c r="K22" s="165"/>
      <c r="L22" s="165"/>
      <c r="M22" s="165"/>
      <c r="N22">
        <v>2014</v>
      </c>
      <c r="O22">
        <v>13.054117647058822</v>
      </c>
      <c r="P22">
        <v>11.888823529411765</v>
      </c>
    </row>
    <row r="23" spans="1:16" ht="14.4" x14ac:dyDescent="0.3">
      <c r="A23" s="160" t="s">
        <v>112</v>
      </c>
      <c r="B23" s="160" t="s">
        <v>30</v>
      </c>
      <c r="C23" s="161">
        <v>35284</v>
      </c>
      <c r="D23" s="162">
        <v>21.68</v>
      </c>
      <c r="E23" s="162">
        <v>20.53</v>
      </c>
      <c r="F23" s="165">
        <v>1996</v>
      </c>
      <c r="G23" s="165"/>
      <c r="H23" s="9">
        <v>2015</v>
      </c>
      <c r="I23">
        <v>12.875624999999999</v>
      </c>
      <c r="J23">
        <v>11.949375</v>
      </c>
      <c r="K23" s="165"/>
      <c r="L23" s="165"/>
      <c r="M23" s="165"/>
      <c r="N23">
        <v>2015</v>
      </c>
      <c r="O23">
        <v>12.875624999999999</v>
      </c>
      <c r="P23">
        <v>11.949375</v>
      </c>
    </row>
    <row r="24" spans="1:16" ht="14.4" x14ac:dyDescent="0.3">
      <c r="A24" s="160" t="s">
        <v>113</v>
      </c>
      <c r="B24" s="160" t="s">
        <v>30</v>
      </c>
      <c r="C24" s="161">
        <v>35298</v>
      </c>
      <c r="D24" s="162">
        <v>21.92</v>
      </c>
      <c r="E24" s="162">
        <v>20.350000000000001</v>
      </c>
      <c r="F24" s="165">
        <v>1996</v>
      </c>
      <c r="G24" s="165"/>
      <c r="H24" s="9">
        <v>2016</v>
      </c>
      <c r="I24">
        <v>14.348823529411765</v>
      </c>
      <c r="J24">
        <v>13.423333333333332</v>
      </c>
      <c r="K24" s="165"/>
      <c r="L24" s="165"/>
      <c r="M24" s="165"/>
      <c r="N24">
        <v>2016</v>
      </c>
      <c r="O24">
        <v>14.348823529411765</v>
      </c>
      <c r="P24">
        <v>13.423333333333332</v>
      </c>
    </row>
    <row r="25" spans="1:16" ht="14.4" x14ac:dyDescent="0.3">
      <c r="A25" s="160" t="s">
        <v>114</v>
      </c>
      <c r="B25" s="160" t="s">
        <v>30</v>
      </c>
      <c r="C25" s="161">
        <v>35313</v>
      </c>
      <c r="D25" s="162">
        <v>22.95</v>
      </c>
      <c r="E25" s="162">
        <v>21.82</v>
      </c>
      <c r="F25" s="165">
        <v>1996</v>
      </c>
      <c r="G25" s="165"/>
      <c r="H25" s="9">
        <v>2017</v>
      </c>
      <c r="I25">
        <v>13.807500000000003</v>
      </c>
      <c r="J25">
        <v>12.887499999999999</v>
      </c>
      <c r="K25" s="165"/>
      <c r="L25" s="165"/>
      <c r="M25" s="165"/>
      <c r="N25">
        <v>2017</v>
      </c>
      <c r="O25">
        <v>13.807500000000003</v>
      </c>
      <c r="P25">
        <v>12.887499999999999</v>
      </c>
    </row>
    <row r="26" spans="1:16" ht="14.4" x14ac:dyDescent="0.3">
      <c r="A26" s="160" t="s">
        <v>490</v>
      </c>
      <c r="B26" s="160" t="s">
        <v>30</v>
      </c>
      <c r="C26" s="161">
        <v>35328</v>
      </c>
      <c r="D26" s="162">
        <v>20.49</v>
      </c>
      <c r="E26" s="163"/>
      <c r="F26" s="163">
        <v>1996</v>
      </c>
      <c r="G26" s="163"/>
      <c r="H26" s="9">
        <v>2018</v>
      </c>
      <c r="I26">
        <v>14.644375000000002</v>
      </c>
      <c r="J26">
        <v>13.510624999999999</v>
      </c>
      <c r="K26" s="163"/>
      <c r="L26" s="163"/>
      <c r="M26" s="163"/>
      <c r="N26">
        <v>2018</v>
      </c>
      <c r="O26">
        <v>14.644375000000002</v>
      </c>
      <c r="P26">
        <v>13.510624999999999</v>
      </c>
    </row>
    <row r="27" spans="1:16" ht="14.4" x14ac:dyDescent="0.3">
      <c r="A27" s="160" t="s">
        <v>115</v>
      </c>
      <c r="B27" s="160" t="s">
        <v>30</v>
      </c>
      <c r="C27" s="161">
        <v>35345</v>
      </c>
      <c r="D27" s="162">
        <v>17.690000000000001</v>
      </c>
      <c r="E27" s="162">
        <v>17.84</v>
      </c>
      <c r="F27" s="165">
        <v>1996</v>
      </c>
      <c r="G27" s="165"/>
      <c r="H27" s="9">
        <v>2019</v>
      </c>
      <c r="I27">
        <v>13.592941176470587</v>
      </c>
      <c r="J27">
        <v>12.595294117647059</v>
      </c>
      <c r="K27" s="165"/>
      <c r="L27" s="165"/>
      <c r="M27" s="165"/>
      <c r="N27">
        <v>2019</v>
      </c>
      <c r="O27">
        <v>13.592941176470587</v>
      </c>
      <c r="P27">
        <v>12.595294117647059</v>
      </c>
    </row>
    <row r="28" spans="1:16" ht="14.4" x14ac:dyDescent="0.3">
      <c r="A28" s="160" t="s">
        <v>116</v>
      </c>
      <c r="B28" s="160" t="s">
        <v>30</v>
      </c>
      <c r="C28" s="161">
        <v>35375</v>
      </c>
      <c r="D28" s="162">
        <v>13.64</v>
      </c>
      <c r="E28" s="162">
        <v>13.68</v>
      </c>
      <c r="F28" s="165">
        <v>1996</v>
      </c>
      <c r="G28" s="165"/>
      <c r="H28" s="9">
        <v>2020</v>
      </c>
      <c r="I28">
        <v>17.481000000000002</v>
      </c>
      <c r="J28">
        <v>16.018000000000001</v>
      </c>
      <c r="K28" s="165"/>
      <c r="L28" s="165"/>
      <c r="M28" s="165"/>
      <c r="N28">
        <v>2020</v>
      </c>
      <c r="O28">
        <v>17.481000000000002</v>
      </c>
      <c r="P28">
        <v>16.018000000000001</v>
      </c>
    </row>
    <row r="29" spans="1:16" ht="14.4" x14ac:dyDescent="0.3">
      <c r="A29" s="160" t="s">
        <v>117</v>
      </c>
      <c r="B29" s="160" t="s">
        <v>30</v>
      </c>
      <c r="C29" s="161">
        <v>35403</v>
      </c>
      <c r="D29" s="162">
        <v>8.07</v>
      </c>
      <c r="E29" s="162">
        <v>8.27</v>
      </c>
      <c r="F29" s="165">
        <v>1996</v>
      </c>
      <c r="G29" s="165"/>
      <c r="H29" s="9">
        <v>2021</v>
      </c>
      <c r="I29">
        <v>17.229285714285716</v>
      </c>
      <c r="J29">
        <v>15.592142857142855</v>
      </c>
      <c r="K29" s="165"/>
      <c r="L29" s="165"/>
      <c r="M29" s="165"/>
      <c r="N29">
        <v>2021</v>
      </c>
      <c r="O29">
        <v>17.229285714285716</v>
      </c>
      <c r="P29">
        <v>15.592142857142855</v>
      </c>
    </row>
    <row r="30" spans="1:16" ht="14.4" x14ac:dyDescent="0.3">
      <c r="A30" s="160" t="s">
        <v>118</v>
      </c>
      <c r="B30" s="160" t="s">
        <v>30</v>
      </c>
      <c r="C30" s="161">
        <v>35464</v>
      </c>
      <c r="D30" s="162">
        <v>1.86</v>
      </c>
      <c r="E30" s="162">
        <v>1.58</v>
      </c>
      <c r="F30" s="165">
        <v>1997</v>
      </c>
      <c r="G30" s="165"/>
      <c r="H30" s="9">
        <v>2022</v>
      </c>
      <c r="I30">
        <v>14.491874999999999</v>
      </c>
      <c r="J30">
        <v>13.528125000000001</v>
      </c>
      <c r="K30" s="165"/>
      <c r="L30" s="165"/>
      <c r="M30" s="165"/>
      <c r="N30">
        <v>2022</v>
      </c>
      <c r="O30">
        <v>14.491874999999999</v>
      </c>
      <c r="P30">
        <v>13.528125000000001</v>
      </c>
    </row>
    <row r="31" spans="1:16" ht="14.4" x14ac:dyDescent="0.3">
      <c r="A31" s="160" t="s">
        <v>119</v>
      </c>
      <c r="B31" s="160" t="s">
        <v>30</v>
      </c>
      <c r="C31" s="161">
        <v>35492</v>
      </c>
      <c r="D31" s="162">
        <v>3.86</v>
      </c>
      <c r="E31" s="162">
        <v>3.06</v>
      </c>
      <c r="F31" s="165">
        <v>1997</v>
      </c>
      <c r="G31" s="165"/>
      <c r="H31" s="9">
        <v>2023</v>
      </c>
      <c r="I31">
        <v>16.096428571428572</v>
      </c>
      <c r="J31">
        <v>14.996428571428568</v>
      </c>
      <c r="K31" s="165"/>
      <c r="L31" s="165"/>
      <c r="M31" s="165"/>
      <c r="N31">
        <v>2023</v>
      </c>
      <c r="O31">
        <v>16.096428571428572</v>
      </c>
      <c r="P31">
        <v>14.996428571428568</v>
      </c>
    </row>
    <row r="32" spans="1:16" ht="14.4" x14ac:dyDescent="0.3">
      <c r="A32" s="160" t="s">
        <v>120</v>
      </c>
      <c r="B32" s="160" t="s">
        <v>30</v>
      </c>
      <c r="C32" s="161">
        <v>35523</v>
      </c>
      <c r="D32" s="162">
        <v>5.8</v>
      </c>
      <c r="E32" s="162">
        <v>5.32</v>
      </c>
      <c r="F32" s="165">
        <v>1997</v>
      </c>
      <c r="G32" s="165"/>
      <c r="H32" s="9">
        <v>2024</v>
      </c>
      <c r="I32">
        <v>14.164000000000003</v>
      </c>
      <c r="J32">
        <v>12.395999999999999</v>
      </c>
      <c r="K32" s="165"/>
      <c r="L32" s="165"/>
      <c r="M32" s="165"/>
      <c r="N32">
        <v>2024</v>
      </c>
      <c r="O32">
        <v>14.164000000000003</v>
      </c>
      <c r="P32">
        <v>12.395999999999999</v>
      </c>
    </row>
    <row r="33" spans="1:16" ht="14.4" x14ac:dyDescent="0.3">
      <c r="A33" s="160" t="s">
        <v>121</v>
      </c>
      <c r="B33" s="160" t="s">
        <v>30</v>
      </c>
      <c r="C33" s="161">
        <v>35558</v>
      </c>
      <c r="D33" s="162">
        <v>10.18</v>
      </c>
      <c r="E33" s="162">
        <v>9.8000000000000007</v>
      </c>
      <c r="F33" s="165">
        <v>1997</v>
      </c>
      <c r="G33" s="165"/>
      <c r="H33" s="9" t="s">
        <v>516</v>
      </c>
      <c r="K33" s="165"/>
      <c r="L33" s="165"/>
      <c r="M33" s="165"/>
      <c r="N33" t="s">
        <v>516</v>
      </c>
    </row>
    <row r="34" spans="1:16" ht="14.4" x14ac:dyDescent="0.3">
      <c r="A34" s="160" t="s">
        <v>122</v>
      </c>
      <c r="B34" s="160" t="s">
        <v>30</v>
      </c>
      <c r="C34" s="161">
        <v>35585</v>
      </c>
      <c r="D34" s="162">
        <v>14.28</v>
      </c>
      <c r="E34" s="162">
        <v>14.14</v>
      </c>
      <c r="F34" s="165">
        <v>1997</v>
      </c>
      <c r="G34" s="165"/>
      <c r="H34" s="9" t="s">
        <v>517</v>
      </c>
      <c r="I34">
        <v>14.293542398286913</v>
      </c>
      <c r="J34">
        <v>12.768917532467537</v>
      </c>
      <c r="K34" s="165"/>
      <c r="L34" s="165"/>
      <c r="M34" s="165"/>
      <c r="N34" t="s">
        <v>517</v>
      </c>
      <c r="O34">
        <v>14.293542398286913</v>
      </c>
      <c r="P34">
        <v>12.768917532467537</v>
      </c>
    </row>
    <row r="35" spans="1:16" ht="15" customHeight="1" x14ac:dyDescent="0.3">
      <c r="A35" s="160" t="s">
        <v>123</v>
      </c>
      <c r="B35" s="160" t="s">
        <v>30</v>
      </c>
      <c r="C35" s="161">
        <v>35608</v>
      </c>
      <c r="D35" s="162">
        <v>19.16</v>
      </c>
      <c r="E35" s="163"/>
      <c r="F35" s="163">
        <v>1997</v>
      </c>
      <c r="G35" s="163"/>
      <c r="H35" s="163"/>
      <c r="I35" s="163"/>
      <c r="J35" s="163"/>
      <c r="K35" s="163"/>
      <c r="L35" s="163"/>
      <c r="M35" s="163"/>
    </row>
    <row r="36" spans="1:16" ht="15" customHeight="1" x14ac:dyDescent="0.3">
      <c r="A36" s="160" t="s">
        <v>491</v>
      </c>
      <c r="B36" s="160" t="s">
        <v>30</v>
      </c>
      <c r="C36" s="161">
        <v>35620</v>
      </c>
      <c r="D36" s="162">
        <v>19.28</v>
      </c>
      <c r="E36" s="162">
        <v>15.99</v>
      </c>
      <c r="F36" s="165">
        <v>1997</v>
      </c>
      <c r="G36" s="165"/>
      <c r="H36" s="165"/>
      <c r="I36" s="165"/>
      <c r="J36" s="165"/>
      <c r="K36" s="165"/>
      <c r="L36" s="165"/>
      <c r="M36" s="165"/>
    </row>
    <row r="37" spans="1:16" ht="15" customHeight="1" x14ac:dyDescent="0.3">
      <c r="A37" s="160" t="s">
        <v>124</v>
      </c>
      <c r="B37" s="160" t="s">
        <v>30</v>
      </c>
      <c r="C37" s="161">
        <v>35633</v>
      </c>
      <c r="D37" s="162">
        <v>19.66</v>
      </c>
      <c r="E37" s="163"/>
      <c r="F37" s="163">
        <v>1997</v>
      </c>
      <c r="G37" s="163"/>
      <c r="H37" s="163"/>
      <c r="I37" s="163"/>
      <c r="J37" s="163"/>
      <c r="K37" s="163"/>
      <c r="L37" s="163"/>
      <c r="M37" s="163"/>
    </row>
    <row r="38" spans="1:16" ht="15" customHeight="1" x14ac:dyDescent="0.3">
      <c r="A38" s="160" t="s">
        <v>125</v>
      </c>
      <c r="B38" s="160" t="s">
        <v>30</v>
      </c>
      <c r="C38" s="161">
        <v>35647</v>
      </c>
      <c r="D38" s="162">
        <v>21.09</v>
      </c>
      <c r="E38" s="162">
        <v>19.07</v>
      </c>
      <c r="F38" s="165">
        <v>1997</v>
      </c>
      <c r="G38" s="165"/>
      <c r="H38" s="165"/>
      <c r="I38" s="165"/>
      <c r="J38" s="165"/>
      <c r="K38" s="165"/>
      <c r="L38" s="165"/>
      <c r="M38" s="165"/>
    </row>
    <row r="39" spans="1:16" ht="15" customHeight="1" x14ac:dyDescent="0.3">
      <c r="A39" s="160" t="s">
        <v>126</v>
      </c>
      <c r="B39" s="160" t="s">
        <v>30</v>
      </c>
      <c r="C39" s="161">
        <v>35662</v>
      </c>
      <c r="D39" s="162">
        <v>21.72</v>
      </c>
      <c r="E39" s="162">
        <v>21.49</v>
      </c>
      <c r="F39" s="165">
        <v>1997</v>
      </c>
      <c r="G39" s="165"/>
      <c r="H39" s="165"/>
      <c r="I39" s="165"/>
      <c r="J39" s="165"/>
      <c r="K39" s="165"/>
      <c r="L39" s="165"/>
      <c r="M39" s="165"/>
    </row>
    <row r="40" spans="1:16" ht="15" customHeight="1" x14ac:dyDescent="0.3">
      <c r="A40" s="160" t="s">
        <v>127</v>
      </c>
      <c r="B40" s="160" t="s">
        <v>30</v>
      </c>
      <c r="C40" s="161">
        <v>35677</v>
      </c>
      <c r="D40" s="162">
        <v>21.44</v>
      </c>
      <c r="E40" s="162">
        <v>21.35</v>
      </c>
      <c r="F40" s="165">
        <v>1997</v>
      </c>
      <c r="G40" s="165"/>
      <c r="H40" s="165"/>
      <c r="I40" s="165"/>
      <c r="J40" s="165"/>
      <c r="K40" s="165"/>
      <c r="L40" s="165"/>
      <c r="M40" s="165"/>
    </row>
    <row r="41" spans="1:16" ht="15" customHeight="1" x14ac:dyDescent="0.3">
      <c r="A41" s="160" t="s">
        <v>128</v>
      </c>
      <c r="B41" s="160" t="s">
        <v>30</v>
      </c>
      <c r="C41" s="161">
        <v>35711</v>
      </c>
      <c r="D41" s="162">
        <v>18.91</v>
      </c>
      <c r="E41" s="162">
        <v>18.71</v>
      </c>
      <c r="F41" s="165">
        <v>1997</v>
      </c>
      <c r="G41" s="165"/>
      <c r="H41" s="165"/>
      <c r="I41" s="165"/>
      <c r="J41" s="165"/>
      <c r="K41" s="165"/>
      <c r="L41" s="165"/>
      <c r="M41" s="165"/>
    </row>
    <row r="42" spans="1:16" ht="15" customHeight="1" x14ac:dyDescent="0.3">
      <c r="A42" s="160" t="s">
        <v>129</v>
      </c>
      <c r="B42" s="160" t="s">
        <v>30</v>
      </c>
      <c r="C42" s="161">
        <v>35737</v>
      </c>
      <c r="D42" s="162">
        <v>13.62</v>
      </c>
      <c r="E42" s="162">
        <v>13.67</v>
      </c>
      <c r="F42" s="165">
        <v>1997</v>
      </c>
      <c r="G42" s="165"/>
      <c r="H42" s="165"/>
      <c r="I42" s="165"/>
      <c r="J42" s="165"/>
      <c r="K42" s="165"/>
      <c r="L42" s="165"/>
      <c r="M42" s="165"/>
    </row>
    <row r="43" spans="1:16" ht="15" customHeight="1" x14ac:dyDescent="0.3">
      <c r="A43" s="160" t="s">
        <v>130</v>
      </c>
      <c r="B43" s="160" t="s">
        <v>30</v>
      </c>
      <c r="C43" s="161">
        <v>35772</v>
      </c>
      <c r="D43" s="162">
        <v>6.39</v>
      </c>
      <c r="E43" s="162">
        <v>6.92</v>
      </c>
      <c r="F43" s="165">
        <v>1997</v>
      </c>
      <c r="G43" s="165"/>
      <c r="H43" s="165"/>
      <c r="I43" s="165"/>
      <c r="J43" s="165"/>
      <c r="K43" s="165"/>
      <c r="L43" s="165"/>
      <c r="M43" s="165"/>
    </row>
    <row r="44" spans="1:16" ht="15" customHeight="1" x14ac:dyDescent="0.3">
      <c r="A44" s="160" t="s">
        <v>131</v>
      </c>
      <c r="B44" s="160" t="s">
        <v>30</v>
      </c>
      <c r="C44" s="161">
        <v>35809</v>
      </c>
      <c r="D44" s="162">
        <v>4.5599999999999996</v>
      </c>
      <c r="E44" s="162">
        <v>4.8600000000000003</v>
      </c>
      <c r="F44" s="165">
        <v>1998</v>
      </c>
      <c r="G44" s="165"/>
      <c r="H44" s="165"/>
      <c r="I44" s="165"/>
      <c r="J44" s="165"/>
      <c r="K44" s="165"/>
      <c r="L44" s="165"/>
      <c r="M44" s="165"/>
    </row>
    <row r="45" spans="1:16" ht="15" customHeight="1" x14ac:dyDescent="0.3">
      <c r="A45" s="160" t="s">
        <v>132</v>
      </c>
      <c r="B45" s="160" t="s">
        <v>30</v>
      </c>
      <c r="C45" s="161">
        <v>35828</v>
      </c>
      <c r="D45" s="162">
        <v>3.58</v>
      </c>
      <c r="E45" s="162">
        <v>3.37</v>
      </c>
      <c r="F45" s="165">
        <v>1998</v>
      </c>
      <c r="G45" s="165"/>
      <c r="H45" s="165"/>
      <c r="I45" s="165"/>
      <c r="J45" s="165"/>
      <c r="K45" s="165"/>
      <c r="L45" s="165"/>
      <c r="M45" s="165"/>
    </row>
    <row r="46" spans="1:16" ht="15" customHeight="1" x14ac:dyDescent="0.3">
      <c r="A46" s="160" t="s">
        <v>133</v>
      </c>
      <c r="B46" s="160" t="s">
        <v>30</v>
      </c>
      <c r="C46" s="161">
        <v>35845</v>
      </c>
      <c r="D46" s="162">
        <v>3.61</v>
      </c>
      <c r="E46" s="162">
        <v>3.28</v>
      </c>
      <c r="F46" s="165">
        <v>1998</v>
      </c>
      <c r="G46" s="165"/>
      <c r="H46" s="165"/>
      <c r="I46" s="165"/>
      <c r="J46" s="165"/>
      <c r="K46" s="165"/>
      <c r="L46" s="165"/>
      <c r="M46" s="165"/>
    </row>
    <row r="47" spans="1:16" ht="15" customHeight="1" x14ac:dyDescent="0.3">
      <c r="A47" s="160" t="s">
        <v>134</v>
      </c>
      <c r="B47" s="160" t="s">
        <v>30</v>
      </c>
      <c r="C47" s="161">
        <v>35858</v>
      </c>
      <c r="D47" s="162">
        <v>5.0599999999999996</v>
      </c>
      <c r="E47" s="162">
        <v>4.58</v>
      </c>
      <c r="F47" s="165">
        <v>1998</v>
      </c>
      <c r="G47" s="165"/>
      <c r="H47" s="165"/>
      <c r="I47" s="165"/>
      <c r="J47" s="165"/>
      <c r="K47" s="165"/>
      <c r="L47" s="165"/>
      <c r="M47" s="165"/>
    </row>
    <row r="48" spans="1:16" ht="15" customHeight="1" x14ac:dyDescent="0.3">
      <c r="A48" s="160" t="s">
        <v>135</v>
      </c>
      <c r="B48" s="160" t="s">
        <v>30</v>
      </c>
      <c r="C48" s="161">
        <v>35878</v>
      </c>
      <c r="D48" s="162">
        <v>4.38</v>
      </c>
      <c r="E48" s="163"/>
      <c r="F48" s="163">
        <v>1998</v>
      </c>
      <c r="G48" s="163"/>
      <c r="H48" s="163"/>
      <c r="I48" s="163"/>
      <c r="J48" s="163"/>
      <c r="K48" s="163"/>
      <c r="L48" s="163"/>
      <c r="M48" s="163"/>
    </row>
    <row r="49" spans="1:13" ht="15" customHeight="1" x14ac:dyDescent="0.3">
      <c r="A49" s="160" t="s">
        <v>136</v>
      </c>
      <c r="B49" s="160" t="s">
        <v>30</v>
      </c>
      <c r="C49" s="161">
        <v>35905</v>
      </c>
      <c r="D49" s="162">
        <v>9.89</v>
      </c>
      <c r="E49" s="162">
        <v>9.0399999999999991</v>
      </c>
      <c r="F49" s="165">
        <v>1998</v>
      </c>
      <c r="G49" s="165"/>
      <c r="H49" s="165"/>
      <c r="I49" s="165"/>
      <c r="J49" s="165"/>
      <c r="K49" s="165"/>
      <c r="L49" s="165"/>
      <c r="M49" s="165"/>
    </row>
    <row r="50" spans="1:13" ht="15" customHeight="1" x14ac:dyDescent="0.3">
      <c r="A50" s="160" t="s">
        <v>137</v>
      </c>
      <c r="B50" s="160" t="s">
        <v>30</v>
      </c>
      <c r="C50" s="161">
        <v>35928</v>
      </c>
      <c r="D50" s="162">
        <v>12.69</v>
      </c>
      <c r="E50" s="162">
        <v>12.34</v>
      </c>
      <c r="F50" s="165">
        <v>1998</v>
      </c>
      <c r="G50" s="165"/>
      <c r="H50" s="165"/>
      <c r="I50" s="165"/>
      <c r="J50" s="165"/>
      <c r="K50" s="165"/>
      <c r="L50" s="165"/>
      <c r="M50" s="165"/>
    </row>
    <row r="51" spans="1:13" ht="15" customHeight="1" x14ac:dyDescent="0.3">
      <c r="A51" s="160" t="s">
        <v>138</v>
      </c>
      <c r="B51" s="160" t="s">
        <v>30</v>
      </c>
      <c r="C51" s="161">
        <v>35948</v>
      </c>
      <c r="D51" s="162">
        <v>16.579999999999998</v>
      </c>
      <c r="E51" s="162">
        <v>13</v>
      </c>
      <c r="F51" s="165">
        <v>1998</v>
      </c>
      <c r="G51" s="165"/>
      <c r="H51" s="165"/>
      <c r="I51" s="165"/>
      <c r="J51" s="165"/>
      <c r="K51" s="165"/>
      <c r="L51" s="165"/>
      <c r="M51" s="165"/>
    </row>
    <row r="52" spans="1:13" ht="15" customHeight="1" x14ac:dyDescent="0.3">
      <c r="A52" s="160" t="s">
        <v>139</v>
      </c>
      <c r="B52" s="160" t="s">
        <v>30</v>
      </c>
      <c r="C52" s="161">
        <v>35971</v>
      </c>
      <c r="D52" s="162">
        <v>19.62</v>
      </c>
      <c r="E52" s="162">
        <v>16.52</v>
      </c>
      <c r="F52" s="165">
        <v>1998</v>
      </c>
      <c r="G52" s="165"/>
      <c r="H52" s="165"/>
      <c r="I52" s="165"/>
      <c r="J52" s="165"/>
      <c r="K52" s="165"/>
      <c r="L52" s="165"/>
      <c r="M52" s="165"/>
    </row>
    <row r="53" spans="1:13" ht="15" customHeight="1" x14ac:dyDescent="0.3">
      <c r="A53" s="160" t="s">
        <v>140</v>
      </c>
      <c r="B53" s="160" t="s">
        <v>30</v>
      </c>
      <c r="C53" s="161">
        <v>35984</v>
      </c>
      <c r="D53" s="162">
        <v>19.329999999999998</v>
      </c>
      <c r="E53" s="162">
        <v>17.03</v>
      </c>
      <c r="F53" s="165">
        <v>1998</v>
      </c>
      <c r="G53" s="165"/>
      <c r="H53" s="165"/>
      <c r="I53" s="165"/>
      <c r="J53" s="165"/>
      <c r="K53" s="165"/>
      <c r="L53" s="165"/>
      <c r="M53" s="165"/>
    </row>
    <row r="54" spans="1:13" ht="15" customHeight="1" x14ac:dyDescent="0.3">
      <c r="A54" s="160" t="s">
        <v>141</v>
      </c>
      <c r="B54" s="160" t="s">
        <v>30</v>
      </c>
      <c r="C54" s="161">
        <v>35998</v>
      </c>
      <c r="D54" s="162">
        <v>21.13</v>
      </c>
      <c r="E54" s="162">
        <v>19.45</v>
      </c>
      <c r="F54" s="165">
        <v>1998</v>
      </c>
      <c r="G54" s="165"/>
      <c r="H54" s="165"/>
      <c r="I54" s="165"/>
      <c r="J54" s="165"/>
      <c r="K54" s="165"/>
      <c r="L54" s="165"/>
      <c r="M54" s="165"/>
    </row>
    <row r="55" spans="1:13" ht="15" customHeight="1" x14ac:dyDescent="0.3">
      <c r="A55" s="160" t="s">
        <v>142</v>
      </c>
      <c r="B55" s="160" t="s">
        <v>30</v>
      </c>
      <c r="C55" s="161">
        <v>36010</v>
      </c>
      <c r="D55" s="162">
        <v>22.61</v>
      </c>
      <c r="E55" s="162">
        <v>19.75</v>
      </c>
      <c r="F55" s="165">
        <v>1998</v>
      </c>
      <c r="G55" s="165"/>
      <c r="H55" s="165"/>
      <c r="I55" s="165"/>
      <c r="J55" s="165"/>
      <c r="K55" s="165"/>
      <c r="L55" s="165"/>
      <c r="M55" s="165"/>
    </row>
    <row r="56" spans="1:13" ht="15" customHeight="1" x14ac:dyDescent="0.3">
      <c r="A56" s="160" t="s">
        <v>143</v>
      </c>
      <c r="B56" s="160" t="s">
        <v>30</v>
      </c>
      <c r="C56" s="161">
        <v>36024</v>
      </c>
      <c r="D56" s="162">
        <v>23.59</v>
      </c>
      <c r="E56" s="162">
        <v>21.74</v>
      </c>
      <c r="F56" s="165">
        <v>1998</v>
      </c>
      <c r="G56" s="165"/>
      <c r="H56" s="165"/>
      <c r="I56" s="165"/>
      <c r="J56" s="165"/>
      <c r="K56" s="165"/>
      <c r="L56" s="165"/>
      <c r="M56" s="165"/>
    </row>
    <row r="57" spans="1:13" ht="15" customHeight="1" x14ac:dyDescent="0.3">
      <c r="A57" s="160" t="s">
        <v>144</v>
      </c>
      <c r="B57" s="160" t="s">
        <v>30</v>
      </c>
      <c r="C57" s="161">
        <v>36040</v>
      </c>
      <c r="D57" s="162">
        <v>23.74</v>
      </c>
      <c r="E57" s="162">
        <v>22.58</v>
      </c>
      <c r="F57" s="165">
        <v>1998</v>
      </c>
      <c r="G57" s="165"/>
      <c r="H57" s="165"/>
      <c r="I57" s="165"/>
      <c r="J57" s="165"/>
      <c r="K57" s="165"/>
      <c r="L57" s="165"/>
      <c r="M57" s="165"/>
    </row>
    <row r="58" spans="1:13" ht="15" customHeight="1" x14ac:dyDescent="0.3">
      <c r="A58" s="160" t="s">
        <v>145</v>
      </c>
      <c r="B58" s="160" t="s">
        <v>30</v>
      </c>
      <c r="C58" s="161">
        <v>36054</v>
      </c>
      <c r="D58" s="162">
        <v>22.18</v>
      </c>
      <c r="E58" s="163"/>
      <c r="F58" s="163">
        <v>1998</v>
      </c>
      <c r="G58" s="163"/>
      <c r="H58" s="163"/>
      <c r="I58" s="163"/>
      <c r="J58" s="163"/>
      <c r="K58" s="163"/>
      <c r="L58" s="163"/>
      <c r="M58" s="163"/>
    </row>
    <row r="59" spans="1:13" ht="15" customHeight="1" x14ac:dyDescent="0.3">
      <c r="A59" s="160" t="s">
        <v>146</v>
      </c>
      <c r="B59" s="160" t="s">
        <v>30</v>
      </c>
      <c r="C59" s="161">
        <v>36074</v>
      </c>
      <c r="D59" s="162">
        <v>19.12</v>
      </c>
      <c r="E59" s="162">
        <v>19.09</v>
      </c>
      <c r="F59" s="165">
        <v>1998</v>
      </c>
      <c r="G59" s="165"/>
      <c r="H59" s="165"/>
      <c r="I59" s="165"/>
      <c r="J59" s="165"/>
      <c r="K59" s="165"/>
      <c r="L59" s="165"/>
      <c r="M59" s="165"/>
    </row>
    <row r="60" spans="1:13" ht="15" customHeight="1" x14ac:dyDescent="0.3">
      <c r="A60" s="160" t="s">
        <v>147</v>
      </c>
      <c r="B60" s="160" t="s">
        <v>30</v>
      </c>
      <c r="C60" s="161">
        <v>36104</v>
      </c>
      <c r="D60" s="162">
        <v>13.31</v>
      </c>
      <c r="E60" s="162">
        <v>13.51</v>
      </c>
      <c r="F60" s="165">
        <v>1998</v>
      </c>
      <c r="G60" s="165"/>
      <c r="H60" s="165"/>
      <c r="I60" s="165"/>
      <c r="J60" s="165"/>
      <c r="K60" s="165"/>
      <c r="L60" s="165"/>
      <c r="M60" s="165"/>
    </row>
    <row r="61" spans="1:13" ht="15" customHeight="1" x14ac:dyDescent="0.3">
      <c r="A61" s="160" t="s">
        <v>148</v>
      </c>
      <c r="B61" s="160" t="s">
        <v>30</v>
      </c>
      <c r="C61" s="161">
        <v>36131</v>
      </c>
      <c r="D61" s="162">
        <v>10.01</v>
      </c>
      <c r="E61" s="162">
        <v>10.09</v>
      </c>
      <c r="F61" s="165">
        <v>1998</v>
      </c>
      <c r="G61" s="165"/>
      <c r="H61" s="165"/>
      <c r="I61" s="165"/>
      <c r="J61" s="165"/>
      <c r="K61" s="165"/>
      <c r="L61" s="165"/>
      <c r="M61" s="165"/>
    </row>
    <row r="62" spans="1:13" ht="15" customHeight="1" x14ac:dyDescent="0.3">
      <c r="A62" s="160" t="s">
        <v>149</v>
      </c>
      <c r="B62" s="160" t="s">
        <v>30</v>
      </c>
      <c r="C62" s="161">
        <v>36171</v>
      </c>
      <c r="D62" s="162">
        <v>2.33</v>
      </c>
      <c r="E62" s="162">
        <v>2.7</v>
      </c>
      <c r="F62" s="165">
        <v>1999</v>
      </c>
      <c r="G62" s="165"/>
      <c r="H62" s="165"/>
      <c r="I62" s="165"/>
      <c r="J62" s="165"/>
      <c r="K62" s="165"/>
      <c r="L62" s="165"/>
      <c r="M62" s="165"/>
    </row>
    <row r="63" spans="1:13" ht="15" customHeight="1" x14ac:dyDescent="0.3">
      <c r="A63" s="160" t="s">
        <v>150</v>
      </c>
      <c r="B63" s="160" t="s">
        <v>30</v>
      </c>
      <c r="C63" s="161">
        <v>36195</v>
      </c>
      <c r="D63" s="162">
        <v>3.28</v>
      </c>
      <c r="E63" s="162">
        <v>2.86</v>
      </c>
      <c r="F63" s="165">
        <v>1999</v>
      </c>
      <c r="G63" s="165"/>
      <c r="H63" s="165"/>
      <c r="I63" s="165"/>
      <c r="J63" s="165"/>
      <c r="K63" s="165"/>
      <c r="L63" s="165"/>
      <c r="M63" s="165"/>
    </row>
    <row r="64" spans="1:13" ht="15" customHeight="1" x14ac:dyDescent="0.3">
      <c r="A64" s="160" t="s">
        <v>151</v>
      </c>
      <c r="B64" s="160" t="s">
        <v>30</v>
      </c>
      <c r="C64" s="161">
        <v>36207</v>
      </c>
      <c r="D64" s="162">
        <v>3.09</v>
      </c>
      <c r="E64" s="162">
        <v>3.1</v>
      </c>
      <c r="F64" s="165">
        <v>1999</v>
      </c>
      <c r="G64" s="165"/>
      <c r="H64" s="165"/>
      <c r="I64" s="165"/>
      <c r="J64" s="165"/>
      <c r="K64" s="165"/>
      <c r="L64" s="165"/>
      <c r="M64" s="165"/>
    </row>
    <row r="65" spans="1:13" ht="15" customHeight="1" x14ac:dyDescent="0.3">
      <c r="A65" s="160" t="s">
        <v>152</v>
      </c>
      <c r="B65" s="160" t="s">
        <v>30</v>
      </c>
      <c r="C65" s="161">
        <v>36228</v>
      </c>
      <c r="D65" s="162">
        <v>2.6341000000000001</v>
      </c>
      <c r="E65" s="162">
        <v>2.9533999999999998</v>
      </c>
      <c r="F65" s="165">
        <v>1999</v>
      </c>
      <c r="G65" s="165"/>
      <c r="H65" s="165"/>
      <c r="I65" s="165"/>
      <c r="J65" s="165"/>
      <c r="K65" s="165"/>
      <c r="L65" s="165"/>
      <c r="M65" s="165"/>
    </row>
    <row r="66" spans="1:13" ht="15" customHeight="1" x14ac:dyDescent="0.3">
      <c r="A66" s="160" t="s">
        <v>153</v>
      </c>
      <c r="B66" s="160" t="s">
        <v>30</v>
      </c>
      <c r="C66" s="161">
        <v>36244</v>
      </c>
      <c r="D66" s="162">
        <v>5.3</v>
      </c>
      <c r="E66" s="162">
        <v>3.93</v>
      </c>
      <c r="F66" s="165">
        <v>1999</v>
      </c>
      <c r="G66" s="165"/>
      <c r="H66" s="165"/>
      <c r="I66" s="165"/>
      <c r="J66" s="165"/>
      <c r="K66" s="165"/>
      <c r="L66" s="165"/>
      <c r="M66" s="165"/>
    </row>
    <row r="67" spans="1:13" ht="15" customHeight="1" x14ac:dyDescent="0.3">
      <c r="A67" s="160" t="s">
        <v>154</v>
      </c>
      <c r="B67" s="160" t="s">
        <v>30</v>
      </c>
      <c r="C67" s="161">
        <v>36257</v>
      </c>
      <c r="D67" s="162">
        <v>7.68</v>
      </c>
      <c r="E67" s="162">
        <v>6.04</v>
      </c>
      <c r="F67" s="165">
        <v>1999</v>
      </c>
      <c r="G67" s="165"/>
      <c r="H67" s="165"/>
      <c r="I67" s="165"/>
      <c r="J67" s="165"/>
      <c r="K67" s="165"/>
      <c r="L67" s="165"/>
      <c r="M67" s="165"/>
    </row>
    <row r="68" spans="1:13" ht="15" customHeight="1" x14ac:dyDescent="0.3">
      <c r="A68" s="160" t="s">
        <v>155</v>
      </c>
      <c r="B68" s="160" t="s">
        <v>30</v>
      </c>
      <c r="C68" s="161">
        <v>36286</v>
      </c>
      <c r="D68" s="162">
        <v>11.65</v>
      </c>
      <c r="E68" s="162">
        <v>10.83</v>
      </c>
      <c r="F68" s="165">
        <v>1999</v>
      </c>
      <c r="G68" s="165"/>
      <c r="H68" s="165"/>
      <c r="I68" s="165"/>
      <c r="J68" s="165"/>
      <c r="K68" s="165"/>
      <c r="L68" s="165"/>
      <c r="M68" s="165"/>
    </row>
    <row r="69" spans="1:13" ht="15" customHeight="1" x14ac:dyDescent="0.3">
      <c r="A69" s="160" t="s">
        <v>156</v>
      </c>
      <c r="B69" s="160" t="s">
        <v>30</v>
      </c>
      <c r="C69" s="161">
        <v>36312</v>
      </c>
      <c r="D69" s="162">
        <v>16.43</v>
      </c>
      <c r="E69" s="162">
        <v>12.25</v>
      </c>
      <c r="F69" s="165">
        <v>1999</v>
      </c>
      <c r="G69" s="165"/>
      <c r="H69" s="165"/>
      <c r="I69" s="165"/>
      <c r="J69" s="165"/>
      <c r="K69" s="165"/>
      <c r="L69" s="165"/>
      <c r="M69" s="165"/>
    </row>
    <row r="70" spans="1:13" ht="15" customHeight="1" x14ac:dyDescent="0.3">
      <c r="A70" s="160" t="s">
        <v>157</v>
      </c>
      <c r="B70" s="160" t="s">
        <v>30</v>
      </c>
      <c r="C70" s="161">
        <v>36335</v>
      </c>
      <c r="D70" s="162">
        <v>20.47</v>
      </c>
      <c r="E70" s="162">
        <v>17.68</v>
      </c>
      <c r="F70" s="165">
        <v>1999</v>
      </c>
      <c r="G70" s="165"/>
      <c r="H70" s="165"/>
      <c r="I70" s="165"/>
      <c r="J70" s="165"/>
      <c r="K70" s="165"/>
      <c r="L70" s="165"/>
      <c r="M70" s="165"/>
    </row>
    <row r="71" spans="1:13" ht="15" customHeight="1" x14ac:dyDescent="0.3">
      <c r="A71" s="160" t="s">
        <v>158</v>
      </c>
      <c r="B71" s="160" t="s">
        <v>30</v>
      </c>
      <c r="C71" s="161">
        <v>36348</v>
      </c>
      <c r="D71" s="162">
        <v>21.18</v>
      </c>
      <c r="E71" s="162">
        <v>16.649999999999999</v>
      </c>
      <c r="F71" s="165">
        <v>1999</v>
      </c>
      <c r="G71" s="165"/>
      <c r="H71" s="165"/>
      <c r="I71" s="165"/>
      <c r="J71" s="165"/>
      <c r="K71" s="165"/>
      <c r="L71" s="165"/>
      <c r="M71" s="165"/>
    </row>
    <row r="72" spans="1:13" ht="15" customHeight="1" x14ac:dyDescent="0.3">
      <c r="A72" s="160" t="s">
        <v>159</v>
      </c>
      <c r="B72" s="160" t="s">
        <v>30</v>
      </c>
      <c r="C72" s="161">
        <v>36362</v>
      </c>
      <c r="D72" s="162">
        <v>21.9</v>
      </c>
      <c r="E72" s="162">
        <v>19.29</v>
      </c>
      <c r="F72" s="165">
        <v>1999</v>
      </c>
      <c r="G72" s="165"/>
      <c r="H72" s="165"/>
      <c r="I72" s="165"/>
      <c r="J72" s="165"/>
      <c r="K72" s="165"/>
      <c r="L72" s="165"/>
      <c r="M72" s="165"/>
    </row>
    <row r="73" spans="1:13" ht="15" customHeight="1" x14ac:dyDescent="0.3">
      <c r="A73" s="160" t="s">
        <v>160</v>
      </c>
      <c r="B73" s="160" t="s">
        <v>30</v>
      </c>
      <c r="C73" s="161">
        <v>36376</v>
      </c>
      <c r="D73" s="162">
        <v>23.95</v>
      </c>
      <c r="E73" s="162">
        <v>21.09</v>
      </c>
      <c r="F73" s="165">
        <v>1999</v>
      </c>
      <c r="G73" s="165"/>
      <c r="H73" s="165"/>
      <c r="I73" s="165"/>
      <c r="J73" s="165"/>
      <c r="K73" s="165"/>
      <c r="L73" s="165"/>
      <c r="M73" s="165"/>
    </row>
    <row r="74" spans="1:13" ht="15" customHeight="1" x14ac:dyDescent="0.3">
      <c r="A74" s="160" t="s">
        <v>161</v>
      </c>
      <c r="B74" s="160" t="s">
        <v>30</v>
      </c>
      <c r="C74" s="161">
        <v>36390</v>
      </c>
      <c r="D74" s="162">
        <v>23.96</v>
      </c>
      <c r="E74" s="162">
        <v>22.04</v>
      </c>
      <c r="F74" s="165">
        <v>1999</v>
      </c>
      <c r="G74" s="165"/>
      <c r="H74" s="165"/>
      <c r="I74" s="165"/>
      <c r="J74" s="165"/>
      <c r="K74" s="165"/>
      <c r="L74" s="165"/>
      <c r="M74" s="165"/>
    </row>
    <row r="75" spans="1:13" ht="15" customHeight="1" x14ac:dyDescent="0.3">
      <c r="A75" s="160" t="s">
        <v>162</v>
      </c>
      <c r="B75" s="160" t="s">
        <v>30</v>
      </c>
      <c r="C75" s="161">
        <v>36404</v>
      </c>
      <c r="D75" s="162">
        <v>22.3</v>
      </c>
      <c r="E75" s="162">
        <v>22.21</v>
      </c>
      <c r="F75" s="165">
        <v>1999</v>
      </c>
      <c r="G75" s="165"/>
      <c r="H75" s="165"/>
      <c r="I75" s="165"/>
      <c r="J75" s="165"/>
      <c r="K75" s="165"/>
      <c r="L75" s="165"/>
      <c r="M75" s="165"/>
    </row>
    <row r="76" spans="1:13" ht="15" customHeight="1" x14ac:dyDescent="0.3">
      <c r="A76" s="160" t="s">
        <v>163</v>
      </c>
      <c r="B76" s="160" t="s">
        <v>30</v>
      </c>
      <c r="C76" s="161">
        <v>36431</v>
      </c>
      <c r="D76" s="162">
        <v>20.38</v>
      </c>
      <c r="E76" s="162">
        <v>20.41</v>
      </c>
      <c r="F76" s="165">
        <v>1999</v>
      </c>
      <c r="G76" s="165"/>
      <c r="H76" s="165"/>
      <c r="I76" s="165"/>
      <c r="J76" s="165"/>
      <c r="K76" s="165"/>
      <c r="L76" s="165"/>
      <c r="M76" s="165"/>
    </row>
    <row r="77" spans="1:13" ht="15" customHeight="1" x14ac:dyDescent="0.3">
      <c r="A77" s="160" t="s">
        <v>164</v>
      </c>
      <c r="B77" s="160" t="s">
        <v>30</v>
      </c>
      <c r="C77" s="161">
        <v>36469</v>
      </c>
      <c r="D77" s="162">
        <v>14.1</v>
      </c>
      <c r="E77" s="162">
        <v>14.47</v>
      </c>
      <c r="F77" s="165">
        <v>1999</v>
      </c>
      <c r="G77" s="165"/>
      <c r="H77" s="165"/>
      <c r="I77" s="165"/>
      <c r="J77" s="165"/>
      <c r="K77" s="165"/>
      <c r="L77" s="165"/>
      <c r="M77" s="165"/>
    </row>
    <row r="78" spans="1:13" ht="15" customHeight="1" x14ac:dyDescent="0.3">
      <c r="A78" s="160" t="s">
        <v>165</v>
      </c>
      <c r="B78" s="160" t="s">
        <v>30</v>
      </c>
      <c r="C78" s="161">
        <v>36503</v>
      </c>
      <c r="D78" s="162">
        <v>8.9</v>
      </c>
      <c r="E78" s="162">
        <v>9.33</v>
      </c>
      <c r="F78" s="165">
        <v>1999</v>
      </c>
      <c r="G78" s="165"/>
      <c r="H78" s="165"/>
      <c r="I78" s="165"/>
      <c r="J78" s="165"/>
      <c r="K78" s="165"/>
      <c r="L78" s="165"/>
      <c r="M78" s="165"/>
    </row>
    <row r="79" spans="1:13" ht="15" customHeight="1" x14ac:dyDescent="0.3">
      <c r="A79" s="160" t="s">
        <v>166</v>
      </c>
      <c r="B79" s="160" t="s">
        <v>30</v>
      </c>
      <c r="C79" s="161">
        <v>36531</v>
      </c>
      <c r="D79" s="162">
        <v>5.36</v>
      </c>
      <c r="E79" s="162">
        <v>5.34</v>
      </c>
      <c r="F79" s="165">
        <v>2000</v>
      </c>
      <c r="G79" s="165"/>
      <c r="H79" s="165"/>
      <c r="I79" s="165"/>
      <c r="J79" s="165"/>
      <c r="K79" s="165"/>
      <c r="L79" s="165"/>
      <c r="M79" s="165"/>
    </row>
    <row r="80" spans="1:13" ht="15" customHeight="1" x14ac:dyDescent="0.3">
      <c r="A80" s="160" t="s">
        <v>167</v>
      </c>
      <c r="B80" s="160" t="s">
        <v>30</v>
      </c>
      <c r="C80" s="161">
        <v>36563</v>
      </c>
      <c r="D80" s="162">
        <v>-0.02</v>
      </c>
      <c r="E80" s="162">
        <v>-0.06</v>
      </c>
      <c r="F80" s="165">
        <v>2000</v>
      </c>
      <c r="G80" s="165"/>
      <c r="H80" s="165"/>
      <c r="I80" s="165"/>
      <c r="J80" s="165"/>
      <c r="K80" s="165"/>
      <c r="L80" s="165"/>
      <c r="M80" s="165"/>
    </row>
    <row r="81" spans="1:13" ht="15" customHeight="1" x14ac:dyDescent="0.3">
      <c r="A81" s="160" t="s">
        <v>168</v>
      </c>
      <c r="B81" s="160" t="s">
        <v>30</v>
      </c>
      <c r="C81" s="161">
        <v>36572</v>
      </c>
      <c r="D81" s="162">
        <v>1.18</v>
      </c>
      <c r="E81" s="162">
        <v>1.01</v>
      </c>
      <c r="F81" s="165">
        <v>2000</v>
      </c>
      <c r="G81" s="165"/>
      <c r="H81" s="165"/>
      <c r="I81" s="165"/>
      <c r="J81" s="165"/>
      <c r="K81" s="165"/>
      <c r="L81" s="165"/>
      <c r="M81" s="165"/>
    </row>
    <row r="82" spans="1:13" ht="15" customHeight="1" x14ac:dyDescent="0.3">
      <c r="A82" s="160" t="s">
        <v>169</v>
      </c>
      <c r="B82" s="160" t="s">
        <v>30</v>
      </c>
      <c r="C82" s="161">
        <v>36591</v>
      </c>
      <c r="D82" s="162">
        <v>3.46</v>
      </c>
      <c r="E82" s="162">
        <v>2.98</v>
      </c>
      <c r="F82" s="165">
        <v>2000</v>
      </c>
      <c r="G82" s="165"/>
      <c r="H82" s="165"/>
      <c r="I82" s="165"/>
      <c r="J82" s="165"/>
      <c r="K82" s="165"/>
      <c r="L82" s="165"/>
      <c r="M82" s="165"/>
    </row>
    <row r="83" spans="1:13" ht="15" customHeight="1" x14ac:dyDescent="0.3">
      <c r="A83" s="160" t="s">
        <v>170</v>
      </c>
      <c r="B83" s="160" t="s">
        <v>30</v>
      </c>
      <c r="C83" s="161">
        <v>36600</v>
      </c>
      <c r="D83" s="162">
        <v>5.35</v>
      </c>
      <c r="E83" s="162">
        <v>4.26</v>
      </c>
      <c r="F83" s="165">
        <v>2000</v>
      </c>
      <c r="G83" s="165"/>
      <c r="H83" s="165"/>
      <c r="I83" s="165"/>
      <c r="J83" s="165"/>
      <c r="K83" s="165"/>
      <c r="L83" s="165"/>
      <c r="M83" s="165"/>
    </row>
    <row r="84" spans="1:13" ht="15" customHeight="1" x14ac:dyDescent="0.3">
      <c r="A84" s="160" t="s">
        <v>171</v>
      </c>
      <c r="B84" s="160" t="s">
        <v>30</v>
      </c>
      <c r="C84" s="161">
        <v>36626</v>
      </c>
      <c r="D84" s="162">
        <v>6.82</v>
      </c>
      <c r="E84" s="162">
        <v>6.55</v>
      </c>
      <c r="F84" s="165">
        <v>2000</v>
      </c>
      <c r="G84" s="165"/>
      <c r="H84" s="165"/>
      <c r="I84" s="165"/>
      <c r="J84" s="165"/>
      <c r="K84" s="165"/>
      <c r="L84" s="165"/>
      <c r="M84" s="165"/>
    </row>
    <row r="85" spans="1:13" ht="15" customHeight="1" x14ac:dyDescent="0.3">
      <c r="A85" s="160" t="s">
        <v>172</v>
      </c>
      <c r="B85" s="160" t="s">
        <v>30</v>
      </c>
      <c r="C85" s="161">
        <v>36649</v>
      </c>
      <c r="D85" s="162">
        <v>10.09</v>
      </c>
      <c r="E85" s="162">
        <v>9.11</v>
      </c>
      <c r="F85" s="165">
        <v>2000</v>
      </c>
      <c r="G85" s="165"/>
      <c r="H85" s="165"/>
      <c r="I85" s="165"/>
      <c r="J85" s="165"/>
      <c r="K85" s="165"/>
      <c r="L85" s="165"/>
      <c r="M85" s="165"/>
    </row>
    <row r="86" spans="1:13" ht="15" customHeight="1" x14ac:dyDescent="0.3">
      <c r="A86" s="160" t="s">
        <v>173</v>
      </c>
      <c r="B86" s="160" t="s">
        <v>30</v>
      </c>
      <c r="C86" s="161">
        <v>36682</v>
      </c>
      <c r="D86" s="162">
        <v>16.03</v>
      </c>
      <c r="E86" s="162">
        <v>14.64</v>
      </c>
      <c r="F86" s="165">
        <v>2000</v>
      </c>
      <c r="G86" s="165"/>
      <c r="H86" s="165"/>
      <c r="I86" s="165"/>
      <c r="J86" s="165"/>
      <c r="K86" s="165"/>
      <c r="L86" s="165"/>
      <c r="M86" s="165"/>
    </row>
    <row r="87" spans="1:13" ht="15" customHeight="1" x14ac:dyDescent="0.3">
      <c r="A87" s="160" t="s">
        <v>174</v>
      </c>
      <c r="B87" s="160" t="s">
        <v>30</v>
      </c>
      <c r="C87" s="161">
        <v>36703</v>
      </c>
      <c r="D87" s="162">
        <v>19.05</v>
      </c>
      <c r="E87" s="162">
        <v>15.1</v>
      </c>
      <c r="F87" s="165">
        <v>2000</v>
      </c>
      <c r="G87" s="165"/>
      <c r="H87" s="165"/>
      <c r="I87" s="165"/>
      <c r="J87" s="165"/>
      <c r="K87" s="165"/>
      <c r="L87" s="165"/>
      <c r="M87" s="165"/>
    </row>
    <row r="88" spans="1:13" ht="15" customHeight="1" x14ac:dyDescent="0.3">
      <c r="A88" s="160" t="s">
        <v>175</v>
      </c>
      <c r="B88" s="160" t="s">
        <v>30</v>
      </c>
      <c r="C88" s="161">
        <v>36717</v>
      </c>
      <c r="D88" s="162">
        <v>20.69</v>
      </c>
      <c r="E88" s="162">
        <v>16.89</v>
      </c>
      <c r="F88" s="165">
        <v>2000</v>
      </c>
      <c r="G88" s="165"/>
      <c r="H88" s="165"/>
      <c r="I88" s="165"/>
      <c r="J88" s="165"/>
      <c r="K88" s="165"/>
      <c r="L88" s="165"/>
      <c r="M88" s="165"/>
    </row>
    <row r="89" spans="1:13" ht="15" customHeight="1" x14ac:dyDescent="0.3">
      <c r="A89" s="160" t="s">
        <v>176</v>
      </c>
      <c r="B89" s="160" t="s">
        <v>30</v>
      </c>
      <c r="C89" s="161">
        <v>36726</v>
      </c>
      <c r="D89" s="162">
        <v>20.37</v>
      </c>
      <c r="E89" s="162">
        <v>18.260000000000002</v>
      </c>
      <c r="F89" s="165">
        <v>2000</v>
      </c>
      <c r="G89" s="165"/>
      <c r="H89" s="165"/>
      <c r="I89" s="165"/>
      <c r="J89" s="165"/>
      <c r="K89" s="165"/>
      <c r="L89" s="165"/>
      <c r="M89" s="165"/>
    </row>
    <row r="90" spans="1:13" ht="15" customHeight="1" x14ac:dyDescent="0.3">
      <c r="A90" s="160" t="s">
        <v>177</v>
      </c>
      <c r="B90" s="160" t="s">
        <v>30</v>
      </c>
      <c r="C90" s="161">
        <v>36745</v>
      </c>
      <c r="D90" s="162">
        <v>22.82</v>
      </c>
      <c r="E90" s="162">
        <v>20.6</v>
      </c>
      <c r="F90" s="165">
        <v>2000</v>
      </c>
      <c r="G90" s="165"/>
      <c r="H90" s="165"/>
      <c r="I90" s="165"/>
      <c r="J90" s="165"/>
      <c r="K90" s="165"/>
      <c r="L90" s="165"/>
      <c r="M90" s="165"/>
    </row>
    <row r="91" spans="1:13" ht="15" customHeight="1" x14ac:dyDescent="0.3">
      <c r="A91" s="160" t="s">
        <v>178</v>
      </c>
      <c r="B91" s="160" t="s">
        <v>30</v>
      </c>
      <c r="C91" s="161">
        <v>36754</v>
      </c>
      <c r="D91" s="162">
        <v>22.15</v>
      </c>
      <c r="E91" s="162">
        <v>21.45</v>
      </c>
      <c r="F91" s="165">
        <v>2000</v>
      </c>
      <c r="G91" s="165"/>
      <c r="H91" s="165"/>
      <c r="I91" s="165"/>
      <c r="J91" s="165"/>
      <c r="K91" s="165"/>
      <c r="L91" s="165"/>
      <c r="M91" s="165"/>
    </row>
    <row r="92" spans="1:13" ht="15" customHeight="1" x14ac:dyDescent="0.3">
      <c r="A92" s="160" t="s">
        <v>179</v>
      </c>
      <c r="B92" s="160" t="s">
        <v>30</v>
      </c>
      <c r="C92" s="161">
        <v>36769</v>
      </c>
      <c r="D92" s="162">
        <v>22.34</v>
      </c>
      <c r="E92" s="162">
        <v>22.04</v>
      </c>
      <c r="F92" s="165">
        <v>2000</v>
      </c>
      <c r="G92" s="165"/>
      <c r="H92" s="165"/>
      <c r="I92" s="165"/>
      <c r="J92" s="165"/>
      <c r="K92" s="165"/>
      <c r="L92" s="165"/>
      <c r="M92" s="165"/>
    </row>
    <row r="93" spans="1:13" ht="15" customHeight="1" x14ac:dyDescent="0.3">
      <c r="A93" s="160" t="s">
        <v>180</v>
      </c>
      <c r="B93" s="160" t="s">
        <v>30</v>
      </c>
      <c r="C93" s="161">
        <v>36802</v>
      </c>
      <c r="D93" s="162">
        <v>18.8</v>
      </c>
      <c r="E93" s="162">
        <v>18.87</v>
      </c>
      <c r="F93" s="165">
        <v>2000</v>
      </c>
      <c r="G93" s="165"/>
      <c r="H93" s="165"/>
      <c r="I93" s="165"/>
      <c r="J93" s="165"/>
      <c r="K93" s="165"/>
      <c r="L93" s="165"/>
      <c r="M93" s="165"/>
    </row>
    <row r="94" spans="1:13" ht="15" customHeight="1" x14ac:dyDescent="0.3">
      <c r="A94" s="160" t="s">
        <v>181</v>
      </c>
      <c r="B94" s="160" t="s">
        <v>30</v>
      </c>
      <c r="C94" s="161">
        <v>36839</v>
      </c>
      <c r="D94" s="162">
        <v>12.25</v>
      </c>
      <c r="E94" s="162">
        <v>12.69</v>
      </c>
      <c r="F94" s="165">
        <v>2000</v>
      </c>
      <c r="G94" s="165"/>
      <c r="H94" s="165"/>
      <c r="I94" s="165"/>
      <c r="J94" s="165"/>
      <c r="K94" s="165"/>
      <c r="L94" s="165"/>
      <c r="M94" s="165"/>
    </row>
    <row r="95" spans="1:13" ht="15" customHeight="1" x14ac:dyDescent="0.3">
      <c r="A95" s="160" t="s">
        <v>182</v>
      </c>
      <c r="B95" s="160" t="s">
        <v>30</v>
      </c>
      <c r="C95" s="161">
        <v>36864</v>
      </c>
      <c r="D95" s="162">
        <v>6.59</v>
      </c>
      <c r="E95" s="162">
        <v>7.49</v>
      </c>
      <c r="F95" s="165">
        <v>2000</v>
      </c>
      <c r="G95" s="165"/>
      <c r="H95" s="165"/>
      <c r="I95" s="165"/>
      <c r="J95" s="165"/>
      <c r="K95" s="165"/>
      <c r="L95" s="165"/>
      <c r="M95" s="165"/>
    </row>
    <row r="96" spans="1:13" ht="15" customHeight="1" x14ac:dyDescent="0.3">
      <c r="A96" s="160" t="s">
        <v>183</v>
      </c>
      <c r="B96" s="160" t="s">
        <v>30</v>
      </c>
      <c r="C96" s="161">
        <v>36908</v>
      </c>
      <c r="D96" s="162">
        <v>1.9</v>
      </c>
      <c r="E96" s="162">
        <v>1.81</v>
      </c>
      <c r="F96" s="165">
        <v>2001</v>
      </c>
      <c r="G96" s="165"/>
      <c r="H96" s="165"/>
      <c r="I96" s="165"/>
      <c r="J96" s="165"/>
      <c r="K96" s="165"/>
      <c r="L96" s="165"/>
      <c r="M96" s="165"/>
    </row>
    <row r="97" spans="1:13" ht="15" customHeight="1" x14ac:dyDescent="0.3">
      <c r="A97" s="160" t="s">
        <v>184</v>
      </c>
      <c r="B97" s="160" t="s">
        <v>30</v>
      </c>
      <c r="C97" s="161">
        <v>36929</v>
      </c>
      <c r="D97" s="162">
        <v>1.76</v>
      </c>
      <c r="E97" s="162">
        <v>1.66</v>
      </c>
      <c r="F97" s="165">
        <v>2001</v>
      </c>
      <c r="G97" s="165"/>
      <c r="H97" s="165"/>
      <c r="I97" s="165"/>
      <c r="J97" s="165"/>
      <c r="K97" s="165"/>
      <c r="L97" s="165"/>
      <c r="M97" s="165"/>
    </row>
    <row r="98" spans="1:13" ht="15" customHeight="1" x14ac:dyDescent="0.3">
      <c r="A98" s="160" t="s">
        <v>185</v>
      </c>
      <c r="B98" s="160" t="s">
        <v>30</v>
      </c>
      <c r="C98" s="161">
        <v>36942</v>
      </c>
      <c r="D98" s="163"/>
      <c r="E98" s="163"/>
      <c r="F98" s="163">
        <v>2001</v>
      </c>
      <c r="G98" s="163"/>
      <c r="H98" s="163"/>
      <c r="I98" s="163"/>
      <c r="J98" s="163"/>
      <c r="K98" s="163"/>
      <c r="L98" s="163"/>
      <c r="M98" s="163"/>
    </row>
    <row r="99" spans="1:13" ht="15" customHeight="1" x14ac:dyDescent="0.3">
      <c r="A99" s="160" t="s">
        <v>186</v>
      </c>
      <c r="B99" s="160" t="s">
        <v>30</v>
      </c>
      <c r="C99" s="161">
        <v>36958</v>
      </c>
      <c r="D99" s="162">
        <v>1.76</v>
      </c>
      <c r="E99" s="162">
        <v>1.79</v>
      </c>
      <c r="F99" s="165">
        <v>2001</v>
      </c>
      <c r="G99" s="165"/>
      <c r="H99" s="165"/>
      <c r="I99" s="165"/>
      <c r="J99" s="165"/>
      <c r="K99" s="165"/>
      <c r="L99" s="165"/>
      <c r="M99" s="165"/>
    </row>
    <row r="100" spans="1:13" ht="15" customHeight="1" x14ac:dyDescent="0.3">
      <c r="A100" s="160" t="s">
        <v>187</v>
      </c>
      <c r="B100" s="160" t="s">
        <v>30</v>
      </c>
      <c r="C100" s="161">
        <v>36985</v>
      </c>
      <c r="D100" s="162">
        <v>5.08</v>
      </c>
      <c r="E100" s="162">
        <v>4.4000000000000004</v>
      </c>
      <c r="F100" s="165">
        <v>2001</v>
      </c>
      <c r="G100" s="165"/>
      <c r="H100" s="165"/>
      <c r="I100" s="165"/>
      <c r="J100" s="165"/>
      <c r="K100" s="165"/>
      <c r="L100" s="165"/>
      <c r="M100" s="165"/>
    </row>
    <row r="101" spans="1:13" ht="15" customHeight="1" x14ac:dyDescent="0.3">
      <c r="A101" s="160" t="s">
        <v>188</v>
      </c>
      <c r="B101" s="160" t="s">
        <v>30</v>
      </c>
      <c r="C101" s="161">
        <v>37012</v>
      </c>
      <c r="D101" s="163"/>
      <c r="E101" s="163"/>
      <c r="F101" s="163">
        <v>2001</v>
      </c>
      <c r="G101" s="163"/>
      <c r="H101" s="163"/>
      <c r="I101" s="163"/>
      <c r="J101" s="163"/>
      <c r="K101" s="163"/>
      <c r="L101" s="163"/>
      <c r="M101" s="163"/>
    </row>
    <row r="102" spans="1:13" ht="15" customHeight="1" x14ac:dyDescent="0.3">
      <c r="A102" s="160" t="s">
        <v>189</v>
      </c>
      <c r="B102" s="160" t="s">
        <v>30</v>
      </c>
      <c r="C102" s="161">
        <v>37048</v>
      </c>
      <c r="D102" s="162">
        <v>15.29</v>
      </c>
      <c r="E102" s="162">
        <v>14.11</v>
      </c>
      <c r="F102" s="165">
        <v>2001</v>
      </c>
      <c r="G102" s="165"/>
      <c r="H102" s="165"/>
      <c r="I102" s="165"/>
      <c r="J102" s="165"/>
      <c r="K102" s="165"/>
      <c r="L102" s="165"/>
      <c r="M102" s="165"/>
    </row>
    <row r="103" spans="1:13" ht="15" customHeight="1" x14ac:dyDescent="0.3">
      <c r="A103" s="160" t="s">
        <v>190</v>
      </c>
      <c r="B103" s="160" t="s">
        <v>30</v>
      </c>
      <c r="C103" s="161">
        <v>37063</v>
      </c>
      <c r="D103" s="162">
        <v>18.22</v>
      </c>
      <c r="E103" s="162">
        <v>14.19</v>
      </c>
      <c r="F103" s="165">
        <v>2001</v>
      </c>
      <c r="G103" s="165"/>
      <c r="H103" s="165"/>
      <c r="I103" s="165"/>
      <c r="J103" s="165"/>
      <c r="K103" s="165"/>
      <c r="L103" s="165"/>
      <c r="M103" s="165"/>
    </row>
    <row r="104" spans="1:13" ht="15" customHeight="1" x14ac:dyDescent="0.3">
      <c r="A104" s="160" t="s">
        <v>191</v>
      </c>
      <c r="B104" s="160" t="s">
        <v>30</v>
      </c>
      <c r="C104" s="161">
        <v>37082</v>
      </c>
      <c r="D104" s="162">
        <v>20.16</v>
      </c>
      <c r="E104" s="162">
        <v>15.98</v>
      </c>
      <c r="F104" s="165">
        <v>2001</v>
      </c>
      <c r="G104" s="165"/>
      <c r="H104" s="165"/>
      <c r="I104" s="165"/>
      <c r="J104" s="165"/>
      <c r="K104" s="165"/>
      <c r="L104" s="165"/>
      <c r="M104" s="165"/>
    </row>
    <row r="105" spans="1:13" ht="15" customHeight="1" x14ac:dyDescent="0.3">
      <c r="A105" s="160" t="s">
        <v>192</v>
      </c>
      <c r="B105" s="160" t="s">
        <v>30</v>
      </c>
      <c r="C105" s="161">
        <v>37097</v>
      </c>
      <c r="D105" s="162">
        <v>22.52</v>
      </c>
      <c r="E105" s="162">
        <v>19.510000000000002</v>
      </c>
      <c r="F105" s="165">
        <v>2001</v>
      </c>
      <c r="G105" s="165"/>
      <c r="H105" s="165"/>
      <c r="I105" s="165"/>
      <c r="J105" s="165"/>
      <c r="K105" s="165"/>
      <c r="L105" s="165"/>
      <c r="M105" s="165"/>
    </row>
    <row r="106" spans="1:13" ht="15" customHeight="1" x14ac:dyDescent="0.3">
      <c r="A106" s="160" t="s">
        <v>193</v>
      </c>
      <c r="B106" s="160" t="s">
        <v>30</v>
      </c>
      <c r="C106" s="161">
        <v>37110</v>
      </c>
      <c r="D106" s="162">
        <v>21.84</v>
      </c>
      <c r="E106" s="162">
        <v>20</v>
      </c>
      <c r="F106" s="165">
        <v>2001</v>
      </c>
      <c r="G106" s="165"/>
      <c r="H106" s="165"/>
      <c r="I106" s="165"/>
      <c r="J106" s="165"/>
      <c r="K106" s="165"/>
      <c r="L106" s="165"/>
      <c r="M106" s="165"/>
    </row>
    <row r="107" spans="1:13" ht="15" customHeight="1" x14ac:dyDescent="0.3">
      <c r="A107" s="160" t="s">
        <v>194</v>
      </c>
      <c r="B107" s="160" t="s">
        <v>30</v>
      </c>
      <c r="C107" s="161">
        <v>37124</v>
      </c>
      <c r="D107" s="162">
        <v>23.13</v>
      </c>
      <c r="E107" s="162">
        <v>22.26</v>
      </c>
      <c r="F107" s="165">
        <v>2001</v>
      </c>
      <c r="G107" s="165"/>
      <c r="H107" s="165"/>
      <c r="I107" s="165"/>
      <c r="J107" s="165"/>
      <c r="K107" s="165"/>
      <c r="L107" s="165"/>
      <c r="M107" s="165"/>
    </row>
    <row r="108" spans="1:13" ht="15" customHeight="1" x14ac:dyDescent="0.3">
      <c r="A108" s="160" t="s">
        <v>196</v>
      </c>
      <c r="B108" s="160" t="s">
        <v>30</v>
      </c>
      <c r="C108" s="161">
        <v>37138</v>
      </c>
      <c r="D108" s="162">
        <v>22.63</v>
      </c>
      <c r="E108" s="162">
        <v>22.17</v>
      </c>
      <c r="F108" s="165">
        <v>2001</v>
      </c>
      <c r="G108" s="165"/>
      <c r="H108" s="165"/>
      <c r="I108" s="165"/>
      <c r="J108" s="165"/>
      <c r="K108" s="165"/>
      <c r="L108" s="165"/>
      <c r="M108" s="165"/>
    </row>
    <row r="109" spans="1:13" ht="15" customHeight="1" x14ac:dyDescent="0.3">
      <c r="A109" s="160" t="s">
        <v>197</v>
      </c>
      <c r="B109" s="160" t="s">
        <v>30</v>
      </c>
      <c r="C109" s="161">
        <v>37158</v>
      </c>
      <c r="D109" s="162">
        <v>21.93</v>
      </c>
      <c r="E109" s="163"/>
      <c r="F109" s="163">
        <v>2001</v>
      </c>
      <c r="G109" s="163"/>
      <c r="H109" s="163"/>
      <c r="I109" s="163"/>
      <c r="J109" s="163"/>
      <c r="K109" s="163"/>
      <c r="L109" s="163"/>
      <c r="M109" s="163"/>
    </row>
    <row r="110" spans="1:13" ht="15" customHeight="1" x14ac:dyDescent="0.3">
      <c r="A110" s="160" t="s">
        <v>198</v>
      </c>
      <c r="B110" s="160" t="s">
        <v>30</v>
      </c>
      <c r="C110" s="161">
        <v>37168</v>
      </c>
      <c r="D110" s="162">
        <v>18.71</v>
      </c>
      <c r="E110" s="162">
        <v>18.68</v>
      </c>
      <c r="F110" s="165">
        <v>2001</v>
      </c>
      <c r="G110" s="165"/>
      <c r="H110" s="165"/>
      <c r="I110" s="165"/>
      <c r="J110" s="165"/>
      <c r="K110" s="165"/>
      <c r="L110" s="165"/>
      <c r="M110" s="165"/>
    </row>
    <row r="111" spans="1:13" ht="15" customHeight="1" x14ac:dyDescent="0.3">
      <c r="A111" s="160" t="s">
        <v>199</v>
      </c>
      <c r="B111" s="160" t="s">
        <v>30</v>
      </c>
      <c r="C111" s="161">
        <v>37208</v>
      </c>
      <c r="D111" s="162">
        <v>11.84</v>
      </c>
      <c r="E111" s="162">
        <v>12.09</v>
      </c>
      <c r="F111" s="165">
        <v>2001</v>
      </c>
      <c r="G111" s="165"/>
      <c r="H111" s="165"/>
      <c r="I111" s="165"/>
      <c r="J111" s="165"/>
      <c r="K111" s="165"/>
      <c r="L111" s="165"/>
      <c r="M111" s="165"/>
    </row>
    <row r="112" spans="1:13" ht="15" customHeight="1" x14ac:dyDescent="0.3">
      <c r="A112" s="160" t="s">
        <v>200</v>
      </c>
      <c r="B112" s="160" t="s">
        <v>30</v>
      </c>
      <c r="C112" s="161">
        <v>37230</v>
      </c>
      <c r="D112" s="162">
        <v>11.51</v>
      </c>
      <c r="E112" s="162">
        <v>11.49</v>
      </c>
      <c r="F112" s="165">
        <v>2001</v>
      </c>
      <c r="G112" s="165"/>
      <c r="H112" s="165"/>
      <c r="I112" s="165"/>
      <c r="J112" s="165"/>
      <c r="K112" s="165"/>
      <c r="L112" s="165"/>
      <c r="M112" s="165"/>
    </row>
    <row r="113" spans="1:13" ht="15" customHeight="1" x14ac:dyDescent="0.3">
      <c r="A113" s="160" t="s">
        <v>201</v>
      </c>
      <c r="B113" s="160" t="s">
        <v>30</v>
      </c>
      <c r="C113" s="161">
        <v>37271</v>
      </c>
      <c r="D113" s="162">
        <v>4.4800000000000004</v>
      </c>
      <c r="E113" s="162">
        <v>4.84</v>
      </c>
      <c r="F113" s="165">
        <v>2002</v>
      </c>
      <c r="G113" s="165"/>
      <c r="H113" s="165"/>
      <c r="I113" s="165"/>
      <c r="J113" s="165"/>
      <c r="K113" s="165"/>
      <c r="L113" s="165"/>
      <c r="M113" s="165"/>
    </row>
    <row r="114" spans="1:13" ht="15" customHeight="1" x14ac:dyDescent="0.3">
      <c r="A114" s="160" t="s">
        <v>202</v>
      </c>
      <c r="B114" s="160" t="s">
        <v>30</v>
      </c>
      <c r="C114" s="161">
        <v>37293</v>
      </c>
      <c r="D114" s="162">
        <v>3.91</v>
      </c>
      <c r="E114" s="162">
        <v>4.1500000000000004</v>
      </c>
      <c r="F114" s="165">
        <v>2002</v>
      </c>
      <c r="G114" s="165"/>
      <c r="H114" s="165"/>
      <c r="I114" s="165"/>
      <c r="J114" s="165"/>
      <c r="K114" s="165"/>
      <c r="L114" s="165"/>
      <c r="M114" s="165"/>
    </row>
    <row r="115" spans="1:13" ht="15" customHeight="1" x14ac:dyDescent="0.3">
      <c r="A115" s="160" t="s">
        <v>203</v>
      </c>
      <c r="B115" s="160" t="s">
        <v>30</v>
      </c>
      <c r="C115" s="161">
        <v>37306</v>
      </c>
      <c r="D115" s="162">
        <v>3.79</v>
      </c>
      <c r="E115" s="162">
        <v>3.9</v>
      </c>
      <c r="F115" s="165">
        <v>2002</v>
      </c>
      <c r="G115" s="165"/>
      <c r="H115" s="165"/>
      <c r="I115" s="165"/>
      <c r="J115" s="165"/>
      <c r="K115" s="165"/>
      <c r="L115" s="165"/>
      <c r="M115" s="165"/>
    </row>
    <row r="116" spans="1:13" ht="15" customHeight="1" x14ac:dyDescent="0.3">
      <c r="A116" s="160" t="s">
        <v>204</v>
      </c>
      <c r="B116" s="160" t="s">
        <v>30</v>
      </c>
      <c r="C116" s="161">
        <v>37319</v>
      </c>
      <c r="D116" s="162">
        <v>5.4</v>
      </c>
      <c r="E116" s="162">
        <v>5.03</v>
      </c>
      <c r="F116" s="165">
        <v>2002</v>
      </c>
      <c r="G116" s="165"/>
      <c r="H116" s="165"/>
      <c r="I116" s="165"/>
      <c r="J116" s="165"/>
      <c r="K116" s="165"/>
      <c r="L116" s="165"/>
      <c r="M116" s="165"/>
    </row>
    <row r="117" spans="1:13" ht="15" customHeight="1" x14ac:dyDescent="0.3">
      <c r="A117" s="160" t="s">
        <v>205</v>
      </c>
      <c r="B117" s="160" t="s">
        <v>30</v>
      </c>
      <c r="C117" s="161">
        <v>37336</v>
      </c>
      <c r="D117" s="162">
        <v>5.81</v>
      </c>
      <c r="E117" s="162">
        <v>5.3</v>
      </c>
      <c r="F117" s="165">
        <v>2002</v>
      </c>
      <c r="G117" s="165"/>
      <c r="H117" s="165"/>
      <c r="I117" s="165"/>
      <c r="J117" s="165"/>
      <c r="K117" s="165"/>
      <c r="L117" s="165"/>
      <c r="M117" s="165"/>
    </row>
    <row r="118" spans="1:13" ht="15" customHeight="1" x14ac:dyDescent="0.3">
      <c r="A118" s="160" t="s">
        <v>206</v>
      </c>
      <c r="B118" s="160" t="s">
        <v>30</v>
      </c>
      <c r="C118" s="161">
        <v>37350</v>
      </c>
      <c r="D118" s="162">
        <v>7.66</v>
      </c>
      <c r="E118" s="162">
        <v>6.3</v>
      </c>
      <c r="F118" s="165">
        <v>2002</v>
      </c>
      <c r="G118" s="165"/>
      <c r="H118" s="165"/>
      <c r="I118" s="165"/>
      <c r="J118" s="165"/>
      <c r="K118" s="165"/>
      <c r="L118" s="165"/>
      <c r="M118" s="165"/>
    </row>
    <row r="119" spans="1:13" ht="15" customHeight="1" x14ac:dyDescent="0.3">
      <c r="A119" s="160" t="s">
        <v>207</v>
      </c>
      <c r="B119" s="160" t="s">
        <v>30</v>
      </c>
      <c r="C119" s="161">
        <v>37383</v>
      </c>
      <c r="D119" s="162">
        <v>12.04</v>
      </c>
      <c r="E119" s="162">
        <v>10.119999999999999</v>
      </c>
      <c r="F119" s="165">
        <v>2002</v>
      </c>
      <c r="G119" s="165"/>
      <c r="H119" s="165"/>
      <c r="I119" s="165"/>
      <c r="J119" s="165"/>
      <c r="K119" s="165"/>
      <c r="L119" s="165"/>
      <c r="M119" s="165"/>
    </row>
    <row r="120" spans="1:13" ht="15" customHeight="1" x14ac:dyDescent="0.3">
      <c r="A120" s="160" t="s">
        <v>208</v>
      </c>
      <c r="B120" s="160" t="s">
        <v>30</v>
      </c>
      <c r="C120" s="161">
        <v>37413</v>
      </c>
      <c r="D120" s="162">
        <v>16.96</v>
      </c>
      <c r="E120" s="162">
        <v>14.01</v>
      </c>
      <c r="F120" s="165">
        <v>2002</v>
      </c>
      <c r="G120" s="165"/>
      <c r="H120" s="165"/>
      <c r="I120" s="165"/>
      <c r="J120" s="165"/>
      <c r="K120" s="165"/>
      <c r="L120" s="165"/>
      <c r="M120" s="165"/>
    </row>
    <row r="121" spans="1:13" ht="15" customHeight="1" x14ac:dyDescent="0.3">
      <c r="A121" s="160" t="s">
        <v>209</v>
      </c>
      <c r="B121" s="160" t="s">
        <v>30</v>
      </c>
      <c r="C121" s="161">
        <v>37433</v>
      </c>
      <c r="D121" s="162">
        <v>20.45</v>
      </c>
      <c r="E121" s="162">
        <v>17.52</v>
      </c>
      <c r="F121" s="165">
        <v>2002</v>
      </c>
      <c r="G121" s="165"/>
      <c r="H121" s="165"/>
      <c r="I121" s="165"/>
      <c r="J121" s="165"/>
      <c r="K121" s="165"/>
      <c r="L121" s="165"/>
      <c r="M121" s="165"/>
    </row>
    <row r="122" spans="1:13" ht="15" customHeight="1" x14ac:dyDescent="0.3">
      <c r="A122" s="160" t="s">
        <v>210</v>
      </c>
      <c r="B122" s="160" t="s">
        <v>30</v>
      </c>
      <c r="C122" s="161">
        <v>37446</v>
      </c>
      <c r="D122" s="162">
        <v>20.16</v>
      </c>
      <c r="E122" s="162">
        <v>16.93</v>
      </c>
      <c r="F122" s="165">
        <v>2002</v>
      </c>
      <c r="G122" s="165"/>
      <c r="H122" s="165"/>
      <c r="I122" s="165"/>
      <c r="J122" s="165"/>
      <c r="K122" s="165"/>
      <c r="L122" s="165"/>
      <c r="M122" s="165"/>
    </row>
    <row r="123" spans="1:13" ht="15" customHeight="1" x14ac:dyDescent="0.3">
      <c r="A123" s="160" t="s">
        <v>211</v>
      </c>
      <c r="B123" s="160" t="s">
        <v>30</v>
      </c>
      <c r="C123" s="161">
        <v>37459</v>
      </c>
      <c r="D123" s="162">
        <v>21.87</v>
      </c>
      <c r="E123" s="162">
        <v>19.510000000000002</v>
      </c>
      <c r="F123" s="165">
        <v>2002</v>
      </c>
      <c r="G123" s="165"/>
      <c r="H123" s="165"/>
      <c r="I123" s="165"/>
      <c r="J123" s="165"/>
      <c r="K123" s="165"/>
      <c r="L123" s="165"/>
      <c r="M123" s="165"/>
    </row>
    <row r="124" spans="1:13" ht="15" customHeight="1" x14ac:dyDescent="0.3">
      <c r="A124" s="160" t="s">
        <v>212</v>
      </c>
      <c r="B124" s="160" t="s">
        <v>30</v>
      </c>
      <c r="C124" s="161">
        <v>37475</v>
      </c>
      <c r="D124" s="162">
        <v>23.5</v>
      </c>
      <c r="E124" s="162">
        <v>21.24</v>
      </c>
      <c r="F124" s="165">
        <v>2002</v>
      </c>
      <c r="G124" s="165"/>
      <c r="H124" s="165"/>
      <c r="I124" s="165"/>
      <c r="J124" s="165"/>
      <c r="K124" s="165"/>
      <c r="L124" s="165"/>
      <c r="M124" s="165"/>
    </row>
    <row r="125" spans="1:13" ht="15" customHeight="1" x14ac:dyDescent="0.3">
      <c r="A125" s="160" t="s">
        <v>213</v>
      </c>
      <c r="B125" s="160" t="s">
        <v>30</v>
      </c>
      <c r="C125" s="161">
        <v>37490</v>
      </c>
      <c r="D125" s="162">
        <v>23.89</v>
      </c>
      <c r="E125" s="162">
        <v>22.8</v>
      </c>
      <c r="F125" s="165">
        <v>2002</v>
      </c>
      <c r="G125" s="165"/>
      <c r="H125" s="165"/>
      <c r="I125" s="165"/>
      <c r="J125" s="165"/>
      <c r="K125" s="165"/>
      <c r="L125" s="165"/>
      <c r="M125" s="165"/>
    </row>
    <row r="126" spans="1:13" ht="15" customHeight="1" x14ac:dyDescent="0.3">
      <c r="A126" s="160" t="s">
        <v>214</v>
      </c>
      <c r="B126" s="160" t="s">
        <v>30</v>
      </c>
      <c r="C126" s="161">
        <v>37509</v>
      </c>
      <c r="D126" s="162">
        <v>22.61</v>
      </c>
      <c r="E126" s="162">
        <v>21.69</v>
      </c>
      <c r="F126" s="165">
        <v>2002</v>
      </c>
      <c r="G126" s="165"/>
      <c r="H126" s="165"/>
      <c r="I126" s="165"/>
      <c r="J126" s="165"/>
      <c r="K126" s="165"/>
      <c r="L126" s="165"/>
      <c r="M126" s="165"/>
    </row>
    <row r="127" spans="1:13" ht="15" customHeight="1" x14ac:dyDescent="0.3">
      <c r="A127" s="160" t="s">
        <v>215</v>
      </c>
      <c r="B127" s="160" t="s">
        <v>30</v>
      </c>
      <c r="C127" s="161">
        <v>37538</v>
      </c>
      <c r="D127" s="162">
        <v>20.12</v>
      </c>
      <c r="E127" s="162">
        <v>19.97</v>
      </c>
      <c r="F127" s="165">
        <v>2002</v>
      </c>
      <c r="G127" s="165"/>
      <c r="H127" s="165"/>
      <c r="I127" s="165"/>
      <c r="J127" s="165"/>
      <c r="K127" s="165"/>
      <c r="L127" s="165"/>
      <c r="M127" s="165"/>
    </row>
    <row r="128" spans="1:13" ht="15" customHeight="1" x14ac:dyDescent="0.3">
      <c r="A128" s="160" t="s">
        <v>216</v>
      </c>
      <c r="B128" s="160" t="s">
        <v>30</v>
      </c>
      <c r="C128" s="161">
        <v>37573</v>
      </c>
      <c r="D128" s="162">
        <v>11.67</v>
      </c>
      <c r="E128" s="162">
        <v>12.15</v>
      </c>
      <c r="F128" s="165">
        <v>2002</v>
      </c>
      <c r="G128" s="165"/>
      <c r="H128" s="165"/>
      <c r="I128" s="165"/>
      <c r="J128" s="165"/>
      <c r="K128" s="165"/>
      <c r="L128" s="165"/>
      <c r="M128" s="165"/>
    </row>
    <row r="129" spans="1:13" ht="15" customHeight="1" x14ac:dyDescent="0.3">
      <c r="A129" s="160" t="s">
        <v>217</v>
      </c>
      <c r="B129" s="160" t="s">
        <v>30</v>
      </c>
      <c r="C129" s="161">
        <v>37600</v>
      </c>
      <c r="D129" s="162">
        <v>4.97</v>
      </c>
      <c r="E129" s="162">
        <v>5.68</v>
      </c>
      <c r="F129" s="165">
        <v>2002</v>
      </c>
      <c r="G129" s="165"/>
      <c r="H129" s="165"/>
      <c r="I129" s="165"/>
      <c r="J129" s="165"/>
      <c r="K129" s="165"/>
      <c r="L129" s="165"/>
      <c r="M129" s="165"/>
    </row>
    <row r="130" spans="1:13" ht="15" customHeight="1" x14ac:dyDescent="0.3">
      <c r="A130" s="160" t="s">
        <v>218</v>
      </c>
      <c r="B130" s="160" t="s">
        <v>30</v>
      </c>
      <c r="C130" s="161">
        <v>37666</v>
      </c>
      <c r="D130" s="162">
        <v>-0.55000000000000004</v>
      </c>
      <c r="E130" s="162">
        <v>-0.3</v>
      </c>
      <c r="F130" s="165">
        <v>2003</v>
      </c>
      <c r="G130" s="165"/>
      <c r="H130" s="165"/>
      <c r="I130" s="165"/>
      <c r="J130" s="165"/>
      <c r="K130" s="165"/>
      <c r="L130" s="165"/>
      <c r="M130" s="165"/>
    </row>
    <row r="131" spans="1:13" ht="15" customHeight="1" x14ac:dyDescent="0.3">
      <c r="A131" s="160" t="s">
        <v>219</v>
      </c>
      <c r="B131" s="160" t="s">
        <v>30</v>
      </c>
      <c r="C131" s="161">
        <v>37690</v>
      </c>
      <c r="D131" s="162">
        <v>0.23</v>
      </c>
      <c r="E131" s="162">
        <v>-0.35</v>
      </c>
      <c r="F131" s="165">
        <v>2003</v>
      </c>
      <c r="G131" s="165"/>
      <c r="H131" s="165"/>
      <c r="I131" s="165"/>
      <c r="J131" s="165"/>
      <c r="K131" s="165"/>
      <c r="L131" s="165"/>
      <c r="M131" s="165"/>
    </row>
    <row r="132" spans="1:13" ht="15" customHeight="1" x14ac:dyDescent="0.3">
      <c r="A132" s="160" t="s">
        <v>220</v>
      </c>
      <c r="B132" s="160" t="s">
        <v>30</v>
      </c>
      <c r="C132" s="161">
        <v>37698</v>
      </c>
      <c r="D132" s="162">
        <v>1.59</v>
      </c>
      <c r="E132" s="162">
        <v>0.57999999999999996</v>
      </c>
      <c r="F132" s="165">
        <v>2003</v>
      </c>
      <c r="G132" s="165"/>
      <c r="H132" s="165"/>
      <c r="I132" s="165"/>
      <c r="J132" s="165"/>
      <c r="K132" s="165"/>
      <c r="L132" s="165"/>
      <c r="M132" s="165"/>
    </row>
    <row r="133" spans="1:13" ht="15" customHeight="1" x14ac:dyDescent="0.3">
      <c r="A133" s="160" t="s">
        <v>221</v>
      </c>
      <c r="B133" s="160" t="s">
        <v>30</v>
      </c>
      <c r="C133" s="161">
        <v>37712</v>
      </c>
      <c r="D133" s="162">
        <v>4.5599999999999996</v>
      </c>
      <c r="E133" s="162">
        <v>4.45</v>
      </c>
      <c r="F133" s="165">
        <v>2003</v>
      </c>
      <c r="G133" s="165"/>
      <c r="H133" s="165"/>
      <c r="I133" s="165"/>
      <c r="J133" s="165"/>
      <c r="K133" s="165"/>
      <c r="L133" s="165"/>
      <c r="M133" s="165"/>
    </row>
    <row r="134" spans="1:13" ht="15" customHeight="1" x14ac:dyDescent="0.3">
      <c r="A134" s="160" t="s">
        <v>222</v>
      </c>
      <c r="B134" s="160" t="s">
        <v>30</v>
      </c>
      <c r="C134" s="161">
        <v>37747</v>
      </c>
      <c r="D134" s="162">
        <v>9.7200000000000006</v>
      </c>
      <c r="E134" s="162">
        <v>7.26</v>
      </c>
      <c r="F134" s="165">
        <v>2003</v>
      </c>
      <c r="G134" s="165"/>
      <c r="H134" s="165"/>
      <c r="I134" s="165"/>
      <c r="J134" s="165"/>
      <c r="K134" s="165"/>
      <c r="L134" s="165"/>
      <c r="M134" s="165"/>
    </row>
    <row r="135" spans="1:13" ht="15" customHeight="1" x14ac:dyDescent="0.3">
      <c r="A135" s="160" t="s">
        <v>223</v>
      </c>
      <c r="B135" s="160" t="s">
        <v>30</v>
      </c>
      <c r="C135" s="161">
        <v>37777</v>
      </c>
      <c r="D135" s="162">
        <v>13.85</v>
      </c>
      <c r="E135" s="162">
        <v>12.65</v>
      </c>
      <c r="F135" s="165">
        <v>2003</v>
      </c>
      <c r="G135" s="165"/>
      <c r="H135" s="165"/>
      <c r="I135" s="165"/>
      <c r="J135" s="165"/>
      <c r="K135" s="165"/>
      <c r="L135" s="165"/>
      <c r="M135" s="165"/>
    </row>
    <row r="136" spans="1:13" ht="15" customHeight="1" x14ac:dyDescent="0.3">
      <c r="A136" s="160" t="s">
        <v>224</v>
      </c>
      <c r="B136" s="160" t="s">
        <v>30</v>
      </c>
      <c r="C136" s="161">
        <v>37791</v>
      </c>
      <c r="D136" s="162">
        <v>16.22</v>
      </c>
      <c r="E136" s="162">
        <v>14.63</v>
      </c>
      <c r="F136" s="165">
        <v>2003</v>
      </c>
      <c r="G136" s="165"/>
      <c r="H136" s="165"/>
      <c r="I136" s="165"/>
      <c r="J136" s="165"/>
      <c r="K136" s="165"/>
      <c r="L136" s="165"/>
      <c r="M136" s="165"/>
    </row>
    <row r="137" spans="1:13" ht="15" customHeight="1" x14ac:dyDescent="0.3">
      <c r="A137" s="160" t="s">
        <v>225</v>
      </c>
      <c r="B137" s="160" t="s">
        <v>30</v>
      </c>
      <c r="C137" s="161">
        <v>37810</v>
      </c>
      <c r="D137" s="162">
        <v>18.82</v>
      </c>
      <c r="E137" s="162">
        <v>14</v>
      </c>
      <c r="F137" s="165">
        <v>2003</v>
      </c>
      <c r="G137" s="165"/>
      <c r="H137" s="165"/>
      <c r="I137" s="165"/>
      <c r="J137" s="165"/>
      <c r="K137" s="165"/>
      <c r="L137" s="165"/>
      <c r="M137" s="165"/>
    </row>
    <row r="138" spans="1:13" ht="15" customHeight="1" x14ac:dyDescent="0.3">
      <c r="A138" s="160" t="s">
        <v>226</v>
      </c>
      <c r="B138" s="160" t="s">
        <v>30</v>
      </c>
      <c r="C138" s="161">
        <v>37830</v>
      </c>
      <c r="D138" s="162">
        <v>19</v>
      </c>
      <c r="E138" s="162">
        <v>15.68</v>
      </c>
      <c r="F138" s="165">
        <v>2003</v>
      </c>
      <c r="G138" s="165"/>
      <c r="H138" s="165"/>
      <c r="I138" s="165"/>
      <c r="J138" s="165"/>
      <c r="K138" s="165"/>
      <c r="L138" s="165"/>
      <c r="M138" s="165"/>
    </row>
    <row r="139" spans="1:13" ht="15" customHeight="1" x14ac:dyDescent="0.3">
      <c r="A139" s="160" t="s">
        <v>227</v>
      </c>
      <c r="B139" s="160" t="s">
        <v>30</v>
      </c>
      <c r="C139" s="161">
        <v>37839</v>
      </c>
      <c r="D139" s="163"/>
      <c r="E139" s="162">
        <v>18.62</v>
      </c>
      <c r="F139" s="165">
        <v>2003</v>
      </c>
      <c r="G139" s="165"/>
      <c r="H139" s="165"/>
      <c r="I139" s="165"/>
      <c r="J139" s="165"/>
      <c r="K139" s="165"/>
      <c r="L139" s="165"/>
      <c r="M139" s="165"/>
    </row>
    <row r="140" spans="1:13" ht="15" customHeight="1" x14ac:dyDescent="0.3">
      <c r="A140" s="160" t="s">
        <v>228</v>
      </c>
      <c r="B140" s="160" t="s">
        <v>30</v>
      </c>
      <c r="C140" s="161">
        <v>37853</v>
      </c>
      <c r="D140" s="162">
        <v>22.42</v>
      </c>
      <c r="E140" s="162">
        <v>19.510000000000002</v>
      </c>
      <c r="F140" s="165">
        <v>2003</v>
      </c>
      <c r="G140" s="165"/>
      <c r="H140" s="165"/>
      <c r="I140" s="165"/>
      <c r="J140" s="165"/>
      <c r="K140" s="165"/>
      <c r="L140" s="165"/>
      <c r="M140" s="165"/>
    </row>
    <row r="141" spans="1:13" ht="15" customHeight="1" x14ac:dyDescent="0.3">
      <c r="A141" s="160" t="s">
        <v>229</v>
      </c>
      <c r="B141" s="160" t="s">
        <v>30</v>
      </c>
      <c r="C141" s="161">
        <v>37867</v>
      </c>
      <c r="D141" s="162">
        <v>20.72</v>
      </c>
      <c r="E141" s="162">
        <v>20.86</v>
      </c>
      <c r="F141" s="165">
        <v>2003</v>
      </c>
      <c r="G141" s="165"/>
      <c r="H141" s="165"/>
      <c r="I141" s="165"/>
      <c r="J141" s="165"/>
      <c r="K141" s="165"/>
      <c r="L141" s="165"/>
      <c r="M141" s="165"/>
    </row>
    <row r="142" spans="1:13" ht="15" customHeight="1" x14ac:dyDescent="0.3">
      <c r="A142" s="160" t="s">
        <v>230</v>
      </c>
      <c r="B142" s="160" t="s">
        <v>30</v>
      </c>
      <c r="C142" s="161">
        <v>37900</v>
      </c>
      <c r="D142" s="162">
        <v>18.18</v>
      </c>
      <c r="E142" s="162">
        <v>18.350000000000001</v>
      </c>
      <c r="F142" s="165">
        <v>2003</v>
      </c>
      <c r="G142" s="165"/>
      <c r="H142" s="165"/>
      <c r="I142" s="165"/>
      <c r="J142" s="165"/>
      <c r="K142" s="165"/>
      <c r="L142" s="165"/>
      <c r="M142" s="165"/>
    </row>
    <row r="143" spans="1:13" ht="15" customHeight="1" x14ac:dyDescent="0.3">
      <c r="A143" s="160" t="s">
        <v>231</v>
      </c>
      <c r="B143" s="160" t="s">
        <v>30</v>
      </c>
      <c r="C143" s="161">
        <v>37930</v>
      </c>
      <c r="D143" s="162">
        <v>14.77</v>
      </c>
      <c r="E143" s="162">
        <v>14.96</v>
      </c>
      <c r="F143" s="165">
        <v>2003</v>
      </c>
      <c r="G143" s="165"/>
      <c r="H143" s="165"/>
      <c r="I143" s="165"/>
      <c r="J143" s="165"/>
      <c r="K143" s="165"/>
      <c r="L143" s="165"/>
      <c r="M143" s="165"/>
    </row>
    <row r="144" spans="1:13" ht="15" customHeight="1" x14ac:dyDescent="0.3">
      <c r="A144" s="160" t="s">
        <v>232</v>
      </c>
      <c r="B144" s="160" t="s">
        <v>30</v>
      </c>
      <c r="C144" s="161">
        <v>37964</v>
      </c>
      <c r="D144" s="162">
        <v>5.76</v>
      </c>
      <c r="E144" s="162">
        <v>6.03</v>
      </c>
      <c r="F144" s="165">
        <v>2003</v>
      </c>
      <c r="G144" s="165"/>
      <c r="H144" s="165"/>
      <c r="I144" s="165"/>
      <c r="J144" s="165"/>
      <c r="K144" s="165"/>
      <c r="L144" s="165"/>
      <c r="M144" s="165"/>
    </row>
    <row r="145" spans="1:13" ht="15" customHeight="1" x14ac:dyDescent="0.3">
      <c r="A145" s="160" t="s">
        <v>233</v>
      </c>
      <c r="B145" s="160" t="s">
        <v>30</v>
      </c>
      <c r="C145" s="161">
        <v>38019</v>
      </c>
      <c r="D145" s="162">
        <v>-1.22</v>
      </c>
      <c r="E145" s="162">
        <v>-1.32</v>
      </c>
      <c r="F145" s="165">
        <v>2004</v>
      </c>
      <c r="G145" s="165"/>
      <c r="H145" s="165"/>
      <c r="I145" s="165"/>
      <c r="J145" s="165"/>
      <c r="K145" s="165"/>
      <c r="L145" s="165"/>
      <c r="M145" s="165"/>
    </row>
    <row r="146" spans="1:13" ht="15" customHeight="1" x14ac:dyDescent="0.3">
      <c r="A146" s="160" t="s">
        <v>234</v>
      </c>
      <c r="B146" s="160" t="s">
        <v>30</v>
      </c>
      <c r="C146" s="161">
        <v>38036</v>
      </c>
      <c r="D146" s="162">
        <v>-0.34</v>
      </c>
      <c r="E146" s="162">
        <v>-0.36</v>
      </c>
      <c r="F146" s="165">
        <v>2004</v>
      </c>
      <c r="G146" s="165"/>
      <c r="H146" s="165"/>
      <c r="I146" s="165"/>
      <c r="J146" s="165"/>
      <c r="K146" s="165"/>
      <c r="L146" s="165"/>
      <c r="M146" s="165"/>
    </row>
    <row r="147" spans="1:13" ht="15" customHeight="1" x14ac:dyDescent="0.3">
      <c r="A147" s="160" t="s">
        <v>235</v>
      </c>
      <c r="B147" s="160" t="s">
        <v>30</v>
      </c>
      <c r="C147" s="161">
        <v>38047</v>
      </c>
      <c r="D147" s="162">
        <v>1.45</v>
      </c>
      <c r="E147" s="162">
        <v>0.64</v>
      </c>
      <c r="F147" s="165">
        <v>2004</v>
      </c>
      <c r="G147" s="165"/>
      <c r="H147" s="165"/>
      <c r="I147" s="165"/>
      <c r="J147" s="165"/>
      <c r="K147" s="165"/>
      <c r="L147" s="165"/>
      <c r="M147" s="165"/>
    </row>
    <row r="148" spans="1:13" ht="15" customHeight="1" x14ac:dyDescent="0.3">
      <c r="A148" s="160" t="s">
        <v>236</v>
      </c>
      <c r="B148" s="160" t="s">
        <v>30</v>
      </c>
      <c r="C148" s="161">
        <v>38064</v>
      </c>
      <c r="D148" s="162">
        <v>2.7</v>
      </c>
      <c r="E148" s="162">
        <v>2.27</v>
      </c>
      <c r="F148" s="165">
        <v>2004</v>
      </c>
      <c r="G148" s="165"/>
      <c r="H148" s="165"/>
      <c r="I148" s="165"/>
      <c r="J148" s="165"/>
      <c r="K148" s="165"/>
      <c r="L148" s="165"/>
      <c r="M148" s="165"/>
    </row>
    <row r="149" spans="1:13" ht="15" customHeight="1" x14ac:dyDescent="0.3">
      <c r="A149" s="160" t="s">
        <v>237</v>
      </c>
      <c r="B149" s="160" t="s">
        <v>30</v>
      </c>
      <c r="C149" s="161">
        <v>38091</v>
      </c>
      <c r="D149" s="162">
        <v>6.73</v>
      </c>
      <c r="E149" s="162">
        <v>6.15</v>
      </c>
      <c r="F149" s="165">
        <v>2004</v>
      </c>
      <c r="G149" s="165"/>
      <c r="H149" s="165"/>
      <c r="I149" s="165"/>
      <c r="J149" s="165"/>
      <c r="K149" s="165"/>
      <c r="L149" s="165"/>
      <c r="M149" s="165"/>
    </row>
    <row r="150" spans="1:13" ht="15" customHeight="1" x14ac:dyDescent="0.3">
      <c r="A150" s="160" t="s">
        <v>238</v>
      </c>
      <c r="B150" s="160" t="s">
        <v>30</v>
      </c>
      <c r="C150" s="161">
        <v>38113</v>
      </c>
      <c r="D150" s="162">
        <v>10.119999999999999</v>
      </c>
      <c r="E150" s="162">
        <v>7.98</v>
      </c>
      <c r="F150" s="165">
        <v>2004</v>
      </c>
      <c r="G150" s="165"/>
      <c r="H150" s="165"/>
      <c r="I150" s="165"/>
      <c r="J150" s="165"/>
      <c r="K150" s="165"/>
      <c r="L150" s="165"/>
      <c r="M150" s="165"/>
    </row>
    <row r="151" spans="1:13" ht="15" customHeight="1" x14ac:dyDescent="0.3">
      <c r="A151" s="160" t="s">
        <v>239</v>
      </c>
      <c r="B151" s="160" t="s">
        <v>30</v>
      </c>
      <c r="C151" s="161">
        <v>38140</v>
      </c>
      <c r="D151" s="162">
        <v>16.62</v>
      </c>
      <c r="E151" s="162">
        <v>15.77</v>
      </c>
      <c r="F151" s="165">
        <v>2004</v>
      </c>
      <c r="G151" s="165"/>
      <c r="H151" s="165"/>
      <c r="I151" s="165"/>
      <c r="J151" s="165"/>
      <c r="K151" s="165"/>
      <c r="L151" s="165"/>
      <c r="M151" s="165"/>
    </row>
    <row r="152" spans="1:13" ht="15" customHeight="1" x14ac:dyDescent="0.3">
      <c r="A152" s="160" t="s">
        <v>240</v>
      </c>
      <c r="B152" s="160" t="s">
        <v>30</v>
      </c>
      <c r="C152" s="161">
        <v>38167</v>
      </c>
      <c r="D152" s="162">
        <v>17.52</v>
      </c>
      <c r="E152" s="162">
        <v>14.11</v>
      </c>
      <c r="F152" s="165">
        <v>2004</v>
      </c>
      <c r="G152" s="165"/>
      <c r="H152" s="165"/>
      <c r="I152" s="165"/>
      <c r="J152" s="165"/>
      <c r="K152" s="165"/>
      <c r="L152" s="165"/>
      <c r="M152" s="165"/>
    </row>
    <row r="153" spans="1:13" ht="15" customHeight="1" x14ac:dyDescent="0.3">
      <c r="A153" s="160" t="s">
        <v>241</v>
      </c>
      <c r="B153" s="160" t="s">
        <v>30</v>
      </c>
      <c r="C153" s="161">
        <v>38174</v>
      </c>
      <c r="D153" s="162">
        <v>18.690000000000001</v>
      </c>
      <c r="E153" s="162">
        <v>16.25</v>
      </c>
      <c r="F153" s="165">
        <v>2004</v>
      </c>
      <c r="G153" s="165"/>
      <c r="H153" s="165"/>
      <c r="I153" s="165"/>
      <c r="J153" s="165"/>
      <c r="K153" s="165"/>
      <c r="L153" s="165"/>
      <c r="M153" s="165"/>
    </row>
    <row r="154" spans="1:13" ht="15" customHeight="1" x14ac:dyDescent="0.3">
      <c r="A154" s="160" t="s">
        <v>242</v>
      </c>
      <c r="B154" s="160" t="s">
        <v>30</v>
      </c>
      <c r="C154" s="161">
        <v>38188</v>
      </c>
      <c r="D154" s="162">
        <v>21.09</v>
      </c>
      <c r="E154" s="162">
        <v>18.649999999999999</v>
      </c>
      <c r="F154" s="165">
        <v>2004</v>
      </c>
      <c r="G154" s="165"/>
      <c r="H154" s="165"/>
      <c r="I154" s="165"/>
      <c r="J154" s="165"/>
      <c r="K154" s="165"/>
      <c r="L154" s="165"/>
      <c r="M154" s="165"/>
    </row>
    <row r="155" spans="1:13" ht="15" customHeight="1" x14ac:dyDescent="0.3">
      <c r="A155" s="160" t="s">
        <v>243</v>
      </c>
      <c r="B155" s="160" t="s">
        <v>30</v>
      </c>
      <c r="C155" s="161">
        <v>38202</v>
      </c>
      <c r="D155" s="162">
        <v>21.84</v>
      </c>
      <c r="E155" s="162">
        <v>20.36</v>
      </c>
      <c r="F155" s="165">
        <v>2004</v>
      </c>
      <c r="G155" s="165"/>
      <c r="H155" s="165"/>
      <c r="I155" s="165"/>
      <c r="J155" s="165"/>
      <c r="K155" s="165"/>
      <c r="L155" s="165"/>
      <c r="M155" s="165"/>
    </row>
    <row r="156" spans="1:13" ht="15" customHeight="1" x14ac:dyDescent="0.3">
      <c r="A156" s="160" t="s">
        <v>244</v>
      </c>
      <c r="B156" s="160" t="s">
        <v>30</v>
      </c>
      <c r="C156" s="161">
        <v>38222</v>
      </c>
      <c r="D156" s="162">
        <v>22.14</v>
      </c>
      <c r="E156" s="162">
        <v>20.6</v>
      </c>
      <c r="F156" s="165">
        <v>2004</v>
      </c>
      <c r="G156" s="165"/>
      <c r="H156" s="165"/>
      <c r="I156" s="165"/>
      <c r="J156" s="165"/>
      <c r="K156" s="165"/>
      <c r="L156" s="165"/>
      <c r="M156" s="165"/>
    </row>
    <row r="157" spans="1:13" ht="15" customHeight="1" x14ac:dyDescent="0.3">
      <c r="A157" s="160" t="s">
        <v>245</v>
      </c>
      <c r="B157" s="160" t="s">
        <v>30</v>
      </c>
      <c r="C157" s="161">
        <v>38232</v>
      </c>
      <c r="D157" s="162">
        <v>22.71</v>
      </c>
      <c r="E157" s="162">
        <v>21.87</v>
      </c>
      <c r="F157" s="165">
        <v>2004</v>
      </c>
      <c r="G157" s="165"/>
      <c r="H157" s="165"/>
      <c r="I157" s="165"/>
      <c r="J157" s="165"/>
      <c r="K157" s="165"/>
      <c r="L157" s="165"/>
      <c r="M157" s="165"/>
    </row>
    <row r="158" spans="1:13" ht="15" customHeight="1" x14ac:dyDescent="0.3">
      <c r="A158" s="160" t="s">
        <v>246</v>
      </c>
      <c r="B158" s="160" t="s">
        <v>30</v>
      </c>
      <c r="C158" s="161">
        <v>38273</v>
      </c>
      <c r="D158" s="162">
        <v>18.43</v>
      </c>
      <c r="E158" s="162">
        <v>18.64</v>
      </c>
      <c r="F158" s="165">
        <v>2004</v>
      </c>
      <c r="G158" s="165"/>
      <c r="H158" s="165"/>
      <c r="I158" s="165"/>
      <c r="J158" s="165"/>
      <c r="K158" s="165"/>
      <c r="L158" s="165"/>
      <c r="M158" s="165"/>
    </row>
    <row r="159" spans="1:13" ht="15" customHeight="1" x14ac:dyDescent="0.3">
      <c r="A159" s="160" t="s">
        <v>247</v>
      </c>
      <c r="B159" s="160" t="s">
        <v>30</v>
      </c>
      <c r="C159" s="161">
        <v>38330</v>
      </c>
      <c r="D159" s="162">
        <v>8.14</v>
      </c>
      <c r="E159" s="162">
        <v>8.3000000000000007</v>
      </c>
      <c r="F159" s="165">
        <v>2004</v>
      </c>
      <c r="G159" s="165"/>
      <c r="H159" s="165"/>
      <c r="I159" s="165"/>
      <c r="J159" s="165"/>
      <c r="K159" s="165"/>
      <c r="L159" s="165"/>
      <c r="M159" s="165"/>
    </row>
    <row r="160" spans="1:13" ht="15" customHeight="1" x14ac:dyDescent="0.3">
      <c r="A160" s="160" t="s">
        <v>248</v>
      </c>
      <c r="B160" s="160" t="s">
        <v>30</v>
      </c>
      <c r="C160" s="161">
        <v>38365</v>
      </c>
      <c r="D160" s="162">
        <v>4.1500000000000004</v>
      </c>
      <c r="E160" s="162">
        <v>4.16</v>
      </c>
      <c r="F160" s="165">
        <v>2005</v>
      </c>
      <c r="G160" s="165"/>
      <c r="H160" s="165"/>
      <c r="I160" s="165"/>
      <c r="J160" s="165"/>
      <c r="K160" s="165"/>
      <c r="L160" s="165"/>
      <c r="M160" s="165"/>
    </row>
    <row r="161" spans="1:13" ht="15" customHeight="1" x14ac:dyDescent="0.3">
      <c r="A161" s="160" t="s">
        <v>249</v>
      </c>
      <c r="B161" s="160" t="s">
        <v>30</v>
      </c>
      <c r="C161" s="161">
        <v>38383</v>
      </c>
      <c r="D161" s="162">
        <v>-0.55000000000000004</v>
      </c>
      <c r="E161" s="162">
        <v>-0.52</v>
      </c>
      <c r="F161" s="165">
        <v>2005</v>
      </c>
      <c r="G161" s="165"/>
      <c r="H161" s="165"/>
      <c r="I161" s="165"/>
      <c r="J161" s="165"/>
      <c r="K161" s="165"/>
      <c r="L161" s="165"/>
      <c r="M161" s="165"/>
    </row>
    <row r="162" spans="1:13" ht="15" customHeight="1" x14ac:dyDescent="0.3">
      <c r="A162" s="160" t="s">
        <v>250</v>
      </c>
      <c r="B162" s="160" t="s">
        <v>30</v>
      </c>
      <c r="C162" s="161">
        <v>38421</v>
      </c>
      <c r="D162" s="162">
        <v>1</v>
      </c>
      <c r="E162" s="162">
        <v>0.84</v>
      </c>
      <c r="F162" s="165">
        <v>2005</v>
      </c>
      <c r="G162" s="165"/>
      <c r="H162" s="165"/>
      <c r="I162" s="165"/>
      <c r="J162" s="165"/>
      <c r="K162" s="165"/>
      <c r="L162" s="165"/>
      <c r="M162" s="165"/>
    </row>
    <row r="163" spans="1:13" ht="15" customHeight="1" x14ac:dyDescent="0.3">
      <c r="A163" s="160" t="s">
        <v>251</v>
      </c>
      <c r="B163" s="160" t="s">
        <v>30</v>
      </c>
      <c r="C163" s="161">
        <v>38448</v>
      </c>
      <c r="D163" s="162">
        <v>6</v>
      </c>
      <c r="E163" s="162">
        <v>4.88</v>
      </c>
      <c r="F163" s="165">
        <v>2005</v>
      </c>
      <c r="G163" s="165"/>
      <c r="H163" s="165"/>
      <c r="I163" s="165"/>
      <c r="J163" s="165"/>
      <c r="K163" s="165"/>
      <c r="L163" s="165"/>
      <c r="M163" s="165"/>
    </row>
    <row r="164" spans="1:13" ht="15" customHeight="1" x14ac:dyDescent="0.3">
      <c r="A164" s="160" t="s">
        <v>252</v>
      </c>
      <c r="B164" s="160" t="s">
        <v>30</v>
      </c>
      <c r="C164" s="161">
        <v>38481</v>
      </c>
      <c r="D164" s="162">
        <v>9.64</v>
      </c>
      <c r="E164" s="162">
        <v>9.1999999999999993</v>
      </c>
      <c r="F164" s="165">
        <v>2005</v>
      </c>
      <c r="G164" s="165"/>
      <c r="H164" s="165"/>
      <c r="I164" s="165"/>
      <c r="J164" s="165"/>
      <c r="K164" s="165"/>
      <c r="L164" s="165"/>
      <c r="M164" s="165"/>
    </row>
    <row r="165" spans="1:13" ht="15" customHeight="1" x14ac:dyDescent="0.3">
      <c r="A165" s="160" t="s">
        <v>253</v>
      </c>
      <c r="B165" s="160" t="s">
        <v>30</v>
      </c>
      <c r="C165" s="161">
        <v>38512</v>
      </c>
      <c r="D165" s="162">
        <v>17.43</v>
      </c>
      <c r="E165" s="163"/>
      <c r="F165" s="163">
        <v>2005</v>
      </c>
      <c r="G165" s="163"/>
      <c r="H165" s="163"/>
      <c r="I165" s="163"/>
      <c r="J165" s="163"/>
      <c r="K165" s="163"/>
      <c r="L165" s="163"/>
      <c r="M165" s="163"/>
    </row>
    <row r="166" spans="1:13" ht="15" customHeight="1" x14ac:dyDescent="0.3">
      <c r="A166" s="160" t="s">
        <v>254</v>
      </c>
      <c r="B166" s="160" t="s">
        <v>30</v>
      </c>
      <c r="C166" s="161">
        <v>38526</v>
      </c>
      <c r="D166" s="162">
        <v>16.89</v>
      </c>
      <c r="E166" s="162">
        <v>15.56</v>
      </c>
      <c r="F166" s="165">
        <v>2005</v>
      </c>
      <c r="G166" s="165"/>
      <c r="H166" s="165"/>
      <c r="I166" s="165"/>
      <c r="J166" s="165"/>
      <c r="K166" s="165"/>
      <c r="L166" s="165"/>
      <c r="M166" s="165"/>
    </row>
    <row r="167" spans="1:13" ht="15" customHeight="1" x14ac:dyDescent="0.3">
      <c r="A167" s="160" t="s">
        <v>255</v>
      </c>
      <c r="B167" s="160" t="s">
        <v>30</v>
      </c>
      <c r="C167" s="161">
        <v>38544</v>
      </c>
      <c r="D167" s="162">
        <v>20.81</v>
      </c>
      <c r="E167" s="162">
        <v>19.54</v>
      </c>
      <c r="F167" s="165">
        <v>2005</v>
      </c>
      <c r="G167" s="165"/>
      <c r="H167" s="165"/>
      <c r="I167" s="165"/>
      <c r="J167" s="165"/>
      <c r="K167" s="165"/>
      <c r="L167" s="165"/>
      <c r="M167" s="165"/>
    </row>
    <row r="168" spans="1:13" ht="15" customHeight="1" x14ac:dyDescent="0.3">
      <c r="A168" s="160" t="s">
        <v>256</v>
      </c>
      <c r="B168" s="160" t="s">
        <v>30</v>
      </c>
      <c r="C168" s="161">
        <v>38554</v>
      </c>
      <c r="D168" s="162">
        <v>23.08</v>
      </c>
      <c r="E168" s="162">
        <v>19.170000000000002</v>
      </c>
      <c r="F168" s="165">
        <v>2005</v>
      </c>
      <c r="G168" s="165"/>
      <c r="H168" s="165"/>
      <c r="I168" s="165"/>
      <c r="J168" s="165"/>
      <c r="K168" s="165"/>
      <c r="L168" s="165"/>
      <c r="M168" s="165"/>
    </row>
    <row r="169" spans="1:13" ht="15" customHeight="1" x14ac:dyDescent="0.3">
      <c r="A169" s="160" t="s">
        <v>257</v>
      </c>
      <c r="B169" s="160" t="s">
        <v>30</v>
      </c>
      <c r="C169" s="161">
        <v>38567</v>
      </c>
      <c r="D169" s="162">
        <v>23.06</v>
      </c>
      <c r="E169" s="162">
        <v>18.89</v>
      </c>
      <c r="F169" s="165">
        <v>2005</v>
      </c>
      <c r="G169" s="165"/>
      <c r="H169" s="165"/>
      <c r="I169" s="165"/>
      <c r="J169" s="165"/>
      <c r="K169" s="165"/>
      <c r="L169" s="165"/>
      <c r="M169" s="165"/>
    </row>
    <row r="170" spans="1:13" ht="15" customHeight="1" x14ac:dyDescent="0.3">
      <c r="A170" s="160" t="s">
        <v>258</v>
      </c>
      <c r="B170" s="160" t="s">
        <v>30</v>
      </c>
      <c r="C170" s="161">
        <v>38581</v>
      </c>
      <c r="D170" s="162">
        <v>24.05</v>
      </c>
      <c r="E170" s="162">
        <v>20.59</v>
      </c>
      <c r="F170" s="165">
        <v>2005</v>
      </c>
      <c r="G170" s="165"/>
      <c r="H170" s="165"/>
      <c r="I170" s="165"/>
      <c r="J170" s="165"/>
      <c r="K170" s="165"/>
      <c r="L170" s="165"/>
      <c r="M170" s="165"/>
    </row>
    <row r="171" spans="1:13" ht="15" customHeight="1" x14ac:dyDescent="0.3">
      <c r="A171" s="160" t="s">
        <v>259</v>
      </c>
      <c r="B171" s="160" t="s">
        <v>30</v>
      </c>
      <c r="C171" s="161">
        <v>38594</v>
      </c>
      <c r="D171" s="162">
        <v>23.66</v>
      </c>
      <c r="E171" s="162">
        <v>21.46</v>
      </c>
      <c r="F171" s="165">
        <v>2005</v>
      </c>
      <c r="G171" s="165"/>
      <c r="H171" s="165"/>
      <c r="I171" s="165"/>
      <c r="J171" s="165"/>
      <c r="K171" s="165"/>
      <c r="L171" s="165"/>
      <c r="M171" s="165"/>
    </row>
    <row r="172" spans="1:13" ht="15" customHeight="1" x14ac:dyDescent="0.3">
      <c r="A172" s="160" t="s">
        <v>260</v>
      </c>
      <c r="B172" s="160" t="s">
        <v>30</v>
      </c>
      <c r="C172" s="161">
        <v>38610</v>
      </c>
      <c r="D172" s="162">
        <v>23.4</v>
      </c>
      <c r="E172" s="162">
        <v>22.32</v>
      </c>
      <c r="F172" s="165">
        <v>2005</v>
      </c>
      <c r="G172" s="165"/>
      <c r="H172" s="165"/>
      <c r="I172" s="165"/>
      <c r="J172" s="165"/>
      <c r="K172" s="165"/>
      <c r="L172" s="165"/>
      <c r="M172" s="165"/>
    </row>
    <row r="173" spans="1:13" ht="15" customHeight="1" x14ac:dyDescent="0.3">
      <c r="A173" s="160" t="s">
        <v>261</v>
      </c>
      <c r="B173" s="160" t="s">
        <v>30</v>
      </c>
      <c r="C173" s="161">
        <v>38643</v>
      </c>
      <c r="D173" s="162">
        <v>17.350000000000001</v>
      </c>
      <c r="E173" s="162">
        <v>17.690000000000001</v>
      </c>
      <c r="F173" s="165">
        <v>2005</v>
      </c>
      <c r="G173" s="165"/>
      <c r="H173" s="165"/>
      <c r="I173" s="165"/>
      <c r="J173" s="165"/>
      <c r="K173" s="165"/>
      <c r="L173" s="165"/>
      <c r="M173" s="165"/>
    </row>
    <row r="174" spans="1:13" ht="15" customHeight="1" x14ac:dyDescent="0.3">
      <c r="A174" s="160" t="s">
        <v>262</v>
      </c>
      <c r="B174" s="160" t="s">
        <v>30</v>
      </c>
      <c r="C174" s="161">
        <v>38674</v>
      </c>
      <c r="D174" s="162">
        <v>12.31</v>
      </c>
      <c r="E174" s="162">
        <v>12.35</v>
      </c>
      <c r="F174" s="165">
        <v>2005</v>
      </c>
      <c r="G174" s="165"/>
      <c r="H174" s="165"/>
      <c r="I174" s="165"/>
      <c r="J174" s="165"/>
      <c r="K174" s="165"/>
      <c r="L174" s="165"/>
      <c r="M174" s="165"/>
    </row>
    <row r="175" spans="1:13" ht="15" customHeight="1" x14ac:dyDescent="0.3">
      <c r="A175" s="160" t="s">
        <v>263</v>
      </c>
      <c r="B175" s="160" t="s">
        <v>30</v>
      </c>
      <c r="C175" s="161">
        <v>38698</v>
      </c>
      <c r="D175" s="162">
        <v>6.26</v>
      </c>
      <c r="E175" s="162">
        <v>6.89</v>
      </c>
      <c r="F175" s="165">
        <v>2005</v>
      </c>
      <c r="G175" s="165"/>
      <c r="H175" s="165"/>
      <c r="I175" s="165"/>
      <c r="J175" s="165"/>
      <c r="K175" s="165"/>
      <c r="L175" s="165"/>
      <c r="M175" s="165"/>
    </row>
    <row r="176" spans="1:13" ht="15" customHeight="1" x14ac:dyDescent="0.3">
      <c r="A176" s="160" t="s">
        <v>264</v>
      </c>
      <c r="B176" s="160" t="s">
        <v>30</v>
      </c>
      <c r="C176" s="161">
        <v>38782</v>
      </c>
      <c r="D176" s="162">
        <v>1.78</v>
      </c>
      <c r="E176" s="162">
        <v>1.81</v>
      </c>
      <c r="F176" s="165">
        <v>2006</v>
      </c>
      <c r="G176" s="165"/>
      <c r="H176" s="165"/>
      <c r="I176" s="165"/>
      <c r="J176" s="165"/>
      <c r="K176" s="165"/>
      <c r="L176" s="165"/>
      <c r="M176" s="165"/>
    </row>
    <row r="177" spans="1:13" ht="15" customHeight="1" x14ac:dyDescent="0.3">
      <c r="A177" s="160" t="s">
        <v>265</v>
      </c>
      <c r="B177" s="160" t="s">
        <v>30</v>
      </c>
      <c r="C177" s="161">
        <v>38840</v>
      </c>
      <c r="D177" s="162">
        <v>11.9</v>
      </c>
      <c r="E177" s="162">
        <v>10.82</v>
      </c>
      <c r="F177" s="165">
        <v>2006</v>
      </c>
      <c r="G177" s="165"/>
      <c r="H177" s="165"/>
      <c r="I177" s="165"/>
      <c r="J177" s="165"/>
      <c r="K177" s="165"/>
      <c r="L177" s="165"/>
      <c r="M177" s="165"/>
    </row>
    <row r="178" spans="1:13" ht="15" customHeight="1" x14ac:dyDescent="0.3">
      <c r="A178" s="160" t="s">
        <v>266</v>
      </c>
      <c r="B178" s="160" t="s">
        <v>30</v>
      </c>
      <c r="C178" s="161">
        <v>38876</v>
      </c>
      <c r="D178" s="162">
        <v>17.22</v>
      </c>
      <c r="E178" s="162">
        <v>16.239999999999998</v>
      </c>
      <c r="F178" s="165">
        <v>2006</v>
      </c>
      <c r="G178" s="165"/>
      <c r="H178" s="165"/>
      <c r="I178" s="165"/>
      <c r="J178" s="165"/>
      <c r="K178" s="165"/>
      <c r="L178" s="165"/>
      <c r="M178" s="165"/>
    </row>
    <row r="179" spans="1:13" ht="15" customHeight="1" x14ac:dyDescent="0.3">
      <c r="A179" s="160" t="s">
        <v>267</v>
      </c>
      <c r="B179" s="160" t="s">
        <v>30</v>
      </c>
      <c r="C179" s="161">
        <v>38891</v>
      </c>
      <c r="D179" s="162">
        <v>17.12</v>
      </c>
      <c r="E179" s="162">
        <v>15.27</v>
      </c>
      <c r="F179" s="165">
        <v>2006</v>
      </c>
      <c r="G179" s="165"/>
      <c r="H179" s="165"/>
      <c r="I179" s="165"/>
      <c r="J179" s="165"/>
      <c r="K179" s="165"/>
      <c r="L179" s="165"/>
      <c r="M179" s="165"/>
    </row>
    <row r="180" spans="1:13" ht="15" customHeight="1" x14ac:dyDescent="0.3">
      <c r="A180" s="160" t="s">
        <v>268</v>
      </c>
      <c r="B180" s="160" t="s">
        <v>30</v>
      </c>
      <c r="C180" s="161">
        <v>38908</v>
      </c>
      <c r="D180" s="162">
        <v>18.53</v>
      </c>
      <c r="E180" s="162">
        <v>15.88</v>
      </c>
      <c r="F180" s="165">
        <v>2006</v>
      </c>
      <c r="G180" s="165"/>
      <c r="H180" s="165"/>
      <c r="I180" s="165"/>
      <c r="J180" s="165"/>
      <c r="K180" s="165"/>
      <c r="L180" s="165"/>
      <c r="M180" s="165"/>
    </row>
    <row r="181" spans="1:13" ht="15" customHeight="1" x14ac:dyDescent="0.3">
      <c r="A181" s="160" t="s">
        <v>269</v>
      </c>
      <c r="B181" s="160" t="s">
        <v>30</v>
      </c>
      <c r="C181" s="161">
        <v>38916</v>
      </c>
      <c r="D181" s="162">
        <v>20.56</v>
      </c>
      <c r="E181" s="162">
        <v>17.39</v>
      </c>
      <c r="F181" s="165">
        <v>2006</v>
      </c>
      <c r="G181" s="165"/>
      <c r="H181" s="165"/>
      <c r="I181" s="165"/>
      <c r="J181" s="165"/>
      <c r="K181" s="165"/>
      <c r="L181" s="165"/>
      <c r="M181" s="165"/>
    </row>
    <row r="182" spans="1:13" ht="15" customHeight="1" x14ac:dyDescent="0.3">
      <c r="A182" s="160" t="s">
        <v>270</v>
      </c>
      <c r="B182" s="160" t="s">
        <v>30</v>
      </c>
      <c r="C182" s="161">
        <v>38931</v>
      </c>
      <c r="D182" s="162">
        <v>23.04</v>
      </c>
      <c r="E182" s="162">
        <v>18.72</v>
      </c>
      <c r="F182" s="165">
        <v>2006</v>
      </c>
      <c r="G182" s="165"/>
      <c r="H182" s="165"/>
      <c r="I182" s="165"/>
      <c r="J182" s="165"/>
      <c r="K182" s="165"/>
      <c r="L182" s="165"/>
      <c r="M182" s="165"/>
    </row>
    <row r="183" spans="1:13" ht="15" customHeight="1" x14ac:dyDescent="0.3">
      <c r="A183" s="160" t="s">
        <v>271</v>
      </c>
      <c r="B183" s="160" t="s">
        <v>30</v>
      </c>
      <c r="C183" s="161">
        <v>38946</v>
      </c>
      <c r="D183" s="162">
        <v>22.58</v>
      </c>
      <c r="E183" s="162">
        <v>21.27</v>
      </c>
      <c r="F183" s="165">
        <v>2006</v>
      </c>
      <c r="G183" s="165"/>
      <c r="H183" s="165"/>
      <c r="I183" s="165"/>
      <c r="J183" s="165"/>
      <c r="K183" s="165"/>
      <c r="L183" s="165"/>
      <c r="M183" s="165"/>
    </row>
    <row r="184" spans="1:13" ht="15" customHeight="1" x14ac:dyDescent="0.3">
      <c r="A184" s="160" t="s">
        <v>272</v>
      </c>
      <c r="B184" s="160" t="s">
        <v>30</v>
      </c>
      <c r="C184" s="161">
        <v>38960</v>
      </c>
      <c r="D184" s="162">
        <v>21.74</v>
      </c>
      <c r="E184" s="162">
        <v>21.6</v>
      </c>
      <c r="F184" s="165">
        <v>2006</v>
      </c>
      <c r="G184" s="165"/>
      <c r="H184" s="165"/>
      <c r="I184" s="165"/>
      <c r="J184" s="165"/>
      <c r="K184" s="165"/>
      <c r="L184" s="165"/>
      <c r="M184" s="165"/>
    </row>
    <row r="185" spans="1:13" ht="15" customHeight="1" x14ac:dyDescent="0.3">
      <c r="A185" s="160" t="s">
        <v>273</v>
      </c>
      <c r="B185" s="160" t="s">
        <v>30</v>
      </c>
      <c r="C185" s="161">
        <v>39006</v>
      </c>
      <c r="D185" s="163"/>
      <c r="E185" s="163"/>
      <c r="F185" s="163">
        <v>2006</v>
      </c>
      <c r="G185" s="163"/>
      <c r="H185" s="163"/>
      <c r="I185" s="163"/>
      <c r="J185" s="163"/>
      <c r="K185" s="163"/>
      <c r="L185" s="163"/>
      <c r="M185" s="163"/>
    </row>
    <row r="186" spans="1:13" ht="15" customHeight="1" x14ac:dyDescent="0.3">
      <c r="A186" s="160" t="s">
        <v>274</v>
      </c>
      <c r="B186" s="160" t="s">
        <v>30</v>
      </c>
      <c r="C186" s="161">
        <v>39030</v>
      </c>
      <c r="D186" s="162">
        <v>13.09</v>
      </c>
      <c r="E186" s="162">
        <v>13.03</v>
      </c>
      <c r="F186" s="165">
        <v>2006</v>
      </c>
      <c r="G186" s="165"/>
      <c r="H186" s="165"/>
      <c r="I186" s="165"/>
      <c r="J186" s="165"/>
      <c r="K186" s="165"/>
      <c r="L186" s="165"/>
      <c r="M186" s="165"/>
    </row>
    <row r="187" spans="1:13" ht="15" customHeight="1" x14ac:dyDescent="0.3">
      <c r="A187" s="160" t="s">
        <v>275</v>
      </c>
      <c r="B187" s="160" t="s">
        <v>30</v>
      </c>
      <c r="C187" s="161">
        <v>39065</v>
      </c>
      <c r="D187" s="162">
        <v>8.11</v>
      </c>
      <c r="E187" s="162">
        <v>8.68</v>
      </c>
      <c r="F187" s="165">
        <v>2006</v>
      </c>
      <c r="G187" s="165"/>
      <c r="H187" s="165"/>
      <c r="I187" s="165"/>
      <c r="J187" s="165"/>
      <c r="K187" s="165"/>
      <c r="L187" s="165"/>
      <c r="M187" s="165"/>
    </row>
    <row r="188" spans="1:13" ht="15" customHeight="1" x14ac:dyDescent="0.3">
      <c r="A188" s="160" t="s">
        <v>276</v>
      </c>
      <c r="B188" s="160" t="s">
        <v>30</v>
      </c>
      <c r="C188" s="161">
        <v>39101</v>
      </c>
      <c r="D188" s="162">
        <v>5.37</v>
      </c>
      <c r="E188" s="162">
        <v>5.78</v>
      </c>
      <c r="F188" s="165">
        <v>2007</v>
      </c>
      <c r="G188" s="165"/>
      <c r="H188" s="165"/>
      <c r="I188" s="165"/>
      <c r="J188" s="165"/>
      <c r="K188" s="165"/>
      <c r="L188" s="165"/>
      <c r="M188" s="165"/>
    </row>
    <row r="189" spans="1:13" ht="15" customHeight="1" x14ac:dyDescent="0.3">
      <c r="A189" s="160" t="s">
        <v>277</v>
      </c>
      <c r="B189" s="160" t="s">
        <v>30</v>
      </c>
      <c r="C189" s="161">
        <v>39120</v>
      </c>
      <c r="D189" s="162">
        <v>0.99</v>
      </c>
      <c r="E189" s="162">
        <v>1.71</v>
      </c>
      <c r="F189" s="165">
        <v>2007</v>
      </c>
      <c r="G189" s="165"/>
      <c r="H189" s="165"/>
      <c r="I189" s="165"/>
      <c r="J189" s="165"/>
      <c r="K189" s="165"/>
      <c r="L189" s="165"/>
      <c r="M189" s="165"/>
    </row>
    <row r="190" spans="1:13" ht="15" customHeight="1" x14ac:dyDescent="0.3">
      <c r="A190" s="160" t="s">
        <v>278</v>
      </c>
      <c r="B190" s="160" t="s">
        <v>30</v>
      </c>
      <c r="C190" s="161">
        <v>39153</v>
      </c>
      <c r="D190" s="162">
        <v>1.1100000000000001</v>
      </c>
      <c r="E190" s="162">
        <v>0.66</v>
      </c>
      <c r="F190" s="165">
        <v>2007</v>
      </c>
      <c r="G190" s="165"/>
      <c r="H190" s="165"/>
      <c r="I190" s="165"/>
      <c r="J190" s="165"/>
      <c r="K190" s="165"/>
      <c r="L190" s="165"/>
      <c r="M190" s="165"/>
    </row>
    <row r="191" spans="1:13" ht="15" customHeight="1" x14ac:dyDescent="0.3">
      <c r="A191" s="160" t="s">
        <v>279</v>
      </c>
      <c r="B191" s="160" t="s">
        <v>30</v>
      </c>
      <c r="C191" s="161">
        <v>39160</v>
      </c>
      <c r="D191" s="162">
        <v>1.45</v>
      </c>
      <c r="E191" s="162">
        <v>1.25</v>
      </c>
      <c r="F191" s="165">
        <v>2007</v>
      </c>
      <c r="G191" s="165"/>
      <c r="H191" s="165"/>
      <c r="I191" s="165"/>
      <c r="J191" s="165"/>
      <c r="K191" s="165"/>
      <c r="L191" s="165"/>
      <c r="M191" s="165"/>
    </row>
    <row r="192" spans="1:13" ht="15" customHeight="1" x14ac:dyDescent="0.3">
      <c r="A192" s="160" t="s">
        <v>280</v>
      </c>
      <c r="B192" s="160" t="s">
        <v>30</v>
      </c>
      <c r="C192" s="161">
        <v>39175</v>
      </c>
      <c r="D192" s="162">
        <v>5.3</v>
      </c>
      <c r="E192" s="162">
        <v>3.55</v>
      </c>
      <c r="F192" s="165">
        <v>2007</v>
      </c>
      <c r="G192" s="165"/>
      <c r="H192" s="165"/>
      <c r="I192" s="165"/>
      <c r="J192" s="165"/>
      <c r="K192" s="165"/>
      <c r="L192" s="165"/>
      <c r="M192" s="165"/>
    </row>
    <row r="193" spans="1:13" ht="15" customHeight="1" x14ac:dyDescent="0.3">
      <c r="A193" s="160" t="s">
        <v>281</v>
      </c>
      <c r="B193" s="160" t="s">
        <v>30</v>
      </c>
      <c r="C193" s="161">
        <v>39210</v>
      </c>
      <c r="D193" s="162">
        <v>10.14</v>
      </c>
      <c r="E193" s="162">
        <v>7.6</v>
      </c>
      <c r="F193" s="165">
        <v>2007</v>
      </c>
      <c r="G193" s="165"/>
      <c r="H193" s="165"/>
      <c r="I193" s="165"/>
      <c r="J193" s="165"/>
      <c r="K193" s="165"/>
      <c r="L193" s="165"/>
      <c r="M193" s="165"/>
    </row>
    <row r="194" spans="1:13" ht="15" customHeight="1" x14ac:dyDescent="0.3">
      <c r="A194" s="160" t="s">
        <v>282</v>
      </c>
      <c r="B194" s="160" t="s">
        <v>30</v>
      </c>
      <c r="C194" s="161">
        <v>39239</v>
      </c>
      <c r="D194" s="162">
        <v>15.38</v>
      </c>
      <c r="E194" s="162">
        <v>12.42</v>
      </c>
      <c r="F194" s="165">
        <v>2007</v>
      </c>
      <c r="G194" s="165"/>
      <c r="H194" s="165"/>
      <c r="I194" s="165"/>
      <c r="J194" s="165"/>
      <c r="K194" s="165"/>
      <c r="L194" s="165"/>
      <c r="M194" s="165"/>
    </row>
    <row r="195" spans="1:13" ht="15" customHeight="1" x14ac:dyDescent="0.3">
      <c r="A195" s="160" t="s">
        <v>283</v>
      </c>
      <c r="B195" s="160" t="s">
        <v>30</v>
      </c>
      <c r="C195" s="161">
        <v>39254</v>
      </c>
      <c r="D195" s="162">
        <v>17.7</v>
      </c>
      <c r="E195" s="162">
        <v>14.19</v>
      </c>
      <c r="F195" s="165">
        <v>2007</v>
      </c>
      <c r="G195" s="165"/>
      <c r="H195" s="165"/>
      <c r="I195" s="165"/>
      <c r="J195" s="165"/>
      <c r="K195" s="165"/>
      <c r="L195" s="165"/>
      <c r="M195" s="165"/>
    </row>
    <row r="196" spans="1:13" ht="15" customHeight="1" x14ac:dyDescent="0.3">
      <c r="A196" s="160" t="s">
        <v>284</v>
      </c>
      <c r="B196" s="160" t="s">
        <v>30</v>
      </c>
      <c r="C196" s="161">
        <v>39273</v>
      </c>
      <c r="D196" s="162">
        <v>19.18</v>
      </c>
      <c r="E196" s="162">
        <v>15.71</v>
      </c>
      <c r="F196" s="165">
        <v>2007</v>
      </c>
      <c r="G196" s="165"/>
      <c r="H196" s="165"/>
      <c r="I196" s="165"/>
      <c r="J196" s="165"/>
      <c r="K196" s="165"/>
      <c r="L196" s="165"/>
      <c r="M196" s="165"/>
    </row>
    <row r="197" spans="1:13" ht="15" customHeight="1" x14ac:dyDescent="0.3">
      <c r="A197" s="160" t="s">
        <v>285</v>
      </c>
      <c r="B197" s="160" t="s">
        <v>30</v>
      </c>
      <c r="C197" s="161">
        <v>39287</v>
      </c>
      <c r="D197" s="162">
        <v>20.39</v>
      </c>
      <c r="E197" s="162">
        <v>18.61</v>
      </c>
      <c r="F197" s="165">
        <v>2007</v>
      </c>
      <c r="G197" s="165"/>
      <c r="H197" s="165"/>
      <c r="I197" s="165"/>
      <c r="J197" s="165"/>
      <c r="K197" s="165"/>
      <c r="L197" s="165"/>
      <c r="M197" s="165"/>
    </row>
    <row r="198" spans="1:13" ht="15" customHeight="1" x14ac:dyDescent="0.3">
      <c r="A198" s="160" t="s">
        <v>286</v>
      </c>
      <c r="B198" s="160" t="s">
        <v>30</v>
      </c>
      <c r="C198" s="161">
        <v>39295</v>
      </c>
      <c r="D198" s="162">
        <v>21.76</v>
      </c>
      <c r="E198" s="162">
        <v>19.62</v>
      </c>
      <c r="F198" s="165">
        <v>2007</v>
      </c>
      <c r="G198" s="165"/>
      <c r="H198" s="165"/>
      <c r="I198" s="165"/>
      <c r="J198" s="165"/>
      <c r="K198" s="165"/>
      <c r="L198" s="165"/>
      <c r="M198" s="165"/>
    </row>
    <row r="199" spans="1:13" ht="15" customHeight="1" x14ac:dyDescent="0.3">
      <c r="A199" s="160" t="s">
        <v>287</v>
      </c>
      <c r="B199" s="160" t="s">
        <v>30</v>
      </c>
      <c r="C199" s="161">
        <v>39308</v>
      </c>
      <c r="D199" s="162">
        <v>22.47</v>
      </c>
      <c r="E199" s="162">
        <v>21.76</v>
      </c>
      <c r="F199" s="165">
        <v>2007</v>
      </c>
      <c r="G199" s="165"/>
      <c r="H199" s="165"/>
      <c r="I199" s="165"/>
      <c r="J199" s="165"/>
      <c r="K199" s="165"/>
      <c r="L199" s="165"/>
      <c r="M199" s="165"/>
    </row>
    <row r="200" spans="1:13" ht="15" customHeight="1" x14ac:dyDescent="0.3">
      <c r="A200" s="160" t="s">
        <v>288</v>
      </c>
      <c r="B200" s="160" t="s">
        <v>30</v>
      </c>
      <c r="C200" s="161">
        <v>39323</v>
      </c>
      <c r="D200" s="162">
        <v>22.26</v>
      </c>
      <c r="E200" s="162">
        <v>21.19</v>
      </c>
      <c r="F200" s="165">
        <v>2007</v>
      </c>
      <c r="G200" s="165"/>
      <c r="H200" s="165"/>
      <c r="I200" s="165"/>
      <c r="J200" s="165"/>
      <c r="K200" s="165"/>
      <c r="L200" s="165"/>
      <c r="M200" s="165"/>
    </row>
    <row r="201" spans="1:13" ht="15" customHeight="1" x14ac:dyDescent="0.3">
      <c r="A201" s="160" t="s">
        <v>289</v>
      </c>
      <c r="B201" s="160" t="s">
        <v>30</v>
      </c>
      <c r="C201" s="161">
        <v>39335</v>
      </c>
      <c r="D201" s="162">
        <v>23.03</v>
      </c>
      <c r="E201" s="162">
        <v>21.73</v>
      </c>
      <c r="F201" s="165">
        <v>2007</v>
      </c>
      <c r="G201" s="165"/>
      <c r="H201" s="165"/>
      <c r="I201" s="165"/>
      <c r="J201" s="165"/>
      <c r="K201" s="165"/>
      <c r="L201" s="165"/>
      <c r="M201" s="165"/>
    </row>
    <row r="202" spans="1:13" ht="15" customHeight="1" x14ac:dyDescent="0.3">
      <c r="A202" s="160" t="s">
        <v>290</v>
      </c>
      <c r="B202" s="160" t="s">
        <v>30</v>
      </c>
      <c r="C202" s="161">
        <v>39358</v>
      </c>
      <c r="D202" s="162">
        <v>21.1</v>
      </c>
      <c r="E202" s="162">
        <v>21.62</v>
      </c>
      <c r="F202" s="165">
        <v>2007</v>
      </c>
      <c r="G202" s="165"/>
      <c r="H202" s="165"/>
      <c r="I202" s="165"/>
      <c r="J202" s="165"/>
      <c r="K202" s="165"/>
      <c r="L202" s="165"/>
      <c r="M202" s="165"/>
    </row>
    <row r="203" spans="1:13" ht="15" customHeight="1" x14ac:dyDescent="0.3">
      <c r="A203" s="160" t="s">
        <v>291</v>
      </c>
      <c r="B203" s="160" t="s">
        <v>30</v>
      </c>
      <c r="C203" s="161">
        <v>39400</v>
      </c>
      <c r="D203" s="162">
        <v>12.08</v>
      </c>
      <c r="E203" s="162">
        <v>12.28</v>
      </c>
      <c r="F203" s="165">
        <v>2007</v>
      </c>
      <c r="G203" s="165"/>
      <c r="H203" s="165"/>
      <c r="I203" s="165"/>
      <c r="J203" s="165"/>
      <c r="K203" s="165"/>
      <c r="L203" s="165"/>
      <c r="M203" s="165"/>
    </row>
    <row r="204" spans="1:13" ht="15" customHeight="1" x14ac:dyDescent="0.3">
      <c r="A204" s="160" t="s">
        <v>292</v>
      </c>
      <c r="B204" s="160" t="s">
        <v>30</v>
      </c>
      <c r="C204" s="161">
        <v>39422</v>
      </c>
      <c r="D204" s="162">
        <v>6.12</v>
      </c>
      <c r="E204" s="162">
        <v>8.06</v>
      </c>
      <c r="F204" s="165">
        <v>2007</v>
      </c>
      <c r="G204" s="165"/>
      <c r="H204" s="165"/>
      <c r="I204" s="165"/>
      <c r="J204" s="165"/>
      <c r="K204" s="165"/>
      <c r="L204" s="165"/>
      <c r="M204" s="165"/>
    </row>
    <row r="205" spans="1:13" ht="15" customHeight="1" x14ac:dyDescent="0.3">
      <c r="A205" s="160" t="s">
        <v>293</v>
      </c>
      <c r="B205" s="160" t="s">
        <v>30</v>
      </c>
      <c r="C205" s="161">
        <v>39457</v>
      </c>
      <c r="D205" s="162">
        <v>4.53</v>
      </c>
      <c r="E205" s="162">
        <v>4.42</v>
      </c>
      <c r="F205" s="165">
        <v>2008</v>
      </c>
      <c r="G205" s="165"/>
      <c r="H205" s="165"/>
      <c r="I205" s="165"/>
      <c r="J205" s="165"/>
      <c r="K205" s="165"/>
      <c r="L205" s="165"/>
      <c r="M205" s="165"/>
    </row>
    <row r="206" spans="1:13" ht="15" customHeight="1" x14ac:dyDescent="0.3">
      <c r="A206" s="160" t="s">
        <v>294</v>
      </c>
      <c r="B206" s="160" t="s">
        <v>30</v>
      </c>
      <c r="C206" s="161">
        <v>39484</v>
      </c>
      <c r="D206" s="162">
        <v>3.07</v>
      </c>
      <c r="E206" s="162">
        <v>2.84</v>
      </c>
      <c r="F206" s="165">
        <v>2008</v>
      </c>
      <c r="G206" s="165"/>
      <c r="H206" s="165"/>
      <c r="I206" s="165"/>
      <c r="J206" s="165"/>
      <c r="K206" s="165"/>
      <c r="L206" s="165"/>
      <c r="M206" s="165"/>
    </row>
    <row r="207" spans="1:13" ht="15" customHeight="1" x14ac:dyDescent="0.3">
      <c r="A207" s="160" t="s">
        <v>295</v>
      </c>
      <c r="B207" s="160" t="s">
        <v>30</v>
      </c>
      <c r="C207" s="161">
        <v>39500</v>
      </c>
      <c r="D207" s="162">
        <v>2.2200000000000002</v>
      </c>
      <c r="E207" s="162">
        <v>2.71</v>
      </c>
      <c r="F207" s="165">
        <v>2008</v>
      </c>
      <c r="G207" s="165"/>
      <c r="H207" s="165"/>
      <c r="I207" s="165"/>
      <c r="J207" s="165"/>
      <c r="K207" s="165"/>
      <c r="L207" s="165"/>
      <c r="M207" s="165"/>
    </row>
    <row r="208" spans="1:13" ht="15" customHeight="1" x14ac:dyDescent="0.3">
      <c r="A208" s="160" t="s">
        <v>296</v>
      </c>
      <c r="B208" s="160" t="s">
        <v>30</v>
      </c>
      <c r="C208" s="161">
        <v>39510</v>
      </c>
      <c r="D208" s="162">
        <v>2.87</v>
      </c>
      <c r="E208" s="162">
        <v>2.4</v>
      </c>
      <c r="F208" s="165">
        <v>2008</v>
      </c>
      <c r="G208" s="165"/>
      <c r="H208" s="165"/>
      <c r="I208" s="165"/>
      <c r="J208" s="165"/>
      <c r="K208" s="165"/>
      <c r="L208" s="165"/>
      <c r="M208" s="165"/>
    </row>
    <row r="209" spans="1:13" ht="15" customHeight="1" x14ac:dyDescent="0.3">
      <c r="A209" s="160" t="s">
        <v>297</v>
      </c>
      <c r="B209" s="160" t="s">
        <v>30</v>
      </c>
      <c r="C209" s="161">
        <v>39525</v>
      </c>
      <c r="D209" s="162">
        <v>4.59</v>
      </c>
      <c r="E209" s="162">
        <v>4.58</v>
      </c>
      <c r="F209" s="165">
        <v>2008</v>
      </c>
      <c r="G209" s="165"/>
      <c r="H209" s="165"/>
      <c r="I209" s="165"/>
      <c r="J209" s="165"/>
      <c r="K209" s="165"/>
      <c r="L209" s="165"/>
      <c r="M209" s="165"/>
    </row>
    <row r="210" spans="1:13" ht="15" customHeight="1" x14ac:dyDescent="0.3">
      <c r="A210" s="160" t="s">
        <v>298</v>
      </c>
      <c r="B210" s="160" t="s">
        <v>30</v>
      </c>
      <c r="C210" s="161">
        <v>39546</v>
      </c>
      <c r="D210" s="162">
        <v>6.15</v>
      </c>
      <c r="E210" s="162">
        <v>6.11</v>
      </c>
      <c r="F210" s="165">
        <v>2008</v>
      </c>
      <c r="G210" s="165"/>
      <c r="H210" s="165"/>
      <c r="I210" s="165"/>
      <c r="J210" s="165"/>
      <c r="K210" s="165"/>
      <c r="L210" s="165"/>
      <c r="M210" s="165"/>
    </row>
    <row r="211" spans="1:13" ht="15" customHeight="1" x14ac:dyDescent="0.3">
      <c r="A211" s="160" t="s">
        <v>299</v>
      </c>
      <c r="B211" s="160" t="s">
        <v>30</v>
      </c>
      <c r="C211" s="161">
        <v>39575</v>
      </c>
      <c r="D211" s="162">
        <v>12.87</v>
      </c>
      <c r="E211" s="162">
        <v>11.67</v>
      </c>
      <c r="F211" s="165">
        <v>2008</v>
      </c>
      <c r="G211" s="165"/>
      <c r="H211" s="165"/>
      <c r="I211" s="165"/>
      <c r="J211" s="165"/>
      <c r="K211" s="165"/>
      <c r="L211" s="165"/>
      <c r="M211" s="165"/>
    </row>
    <row r="212" spans="1:13" ht="15" customHeight="1" x14ac:dyDescent="0.3">
      <c r="A212" s="160" t="s">
        <v>300</v>
      </c>
      <c r="B212" s="160" t="s">
        <v>30</v>
      </c>
      <c r="C212" s="161">
        <v>39602</v>
      </c>
      <c r="D212" s="162">
        <v>14.59</v>
      </c>
      <c r="E212" s="162">
        <v>12.6</v>
      </c>
      <c r="F212" s="165">
        <v>2008</v>
      </c>
      <c r="G212" s="165"/>
      <c r="H212" s="165"/>
      <c r="I212" s="165"/>
      <c r="J212" s="165"/>
      <c r="K212" s="165"/>
      <c r="L212" s="165"/>
      <c r="M212" s="165"/>
    </row>
    <row r="213" spans="1:13" ht="15" customHeight="1" x14ac:dyDescent="0.3">
      <c r="A213" s="160" t="s">
        <v>301</v>
      </c>
      <c r="B213" s="160" t="s">
        <v>30</v>
      </c>
      <c r="C213" s="161">
        <v>39616</v>
      </c>
      <c r="D213" s="162">
        <v>18.809999999999999</v>
      </c>
      <c r="E213" s="162">
        <v>14.36</v>
      </c>
      <c r="F213" s="165">
        <v>2008</v>
      </c>
      <c r="G213" s="165"/>
      <c r="H213" s="165"/>
      <c r="I213" s="165"/>
      <c r="J213" s="165"/>
      <c r="K213" s="165"/>
      <c r="L213" s="165"/>
      <c r="M213" s="165"/>
    </row>
    <row r="214" spans="1:13" ht="15" customHeight="1" x14ac:dyDescent="0.3">
      <c r="A214" s="160" t="s">
        <v>302</v>
      </c>
      <c r="B214" s="160" t="s">
        <v>30</v>
      </c>
      <c r="C214" s="161">
        <v>39632</v>
      </c>
      <c r="D214" s="162">
        <v>17.77</v>
      </c>
      <c r="E214" s="162">
        <v>15.52</v>
      </c>
      <c r="F214" s="165">
        <v>2008</v>
      </c>
      <c r="G214" s="165"/>
      <c r="H214" s="165"/>
      <c r="I214" s="165"/>
      <c r="J214" s="165"/>
      <c r="K214" s="165"/>
      <c r="L214" s="165"/>
      <c r="M214" s="165"/>
    </row>
    <row r="215" spans="1:13" ht="15" customHeight="1" x14ac:dyDescent="0.3">
      <c r="A215" s="160" t="s">
        <v>303</v>
      </c>
      <c r="B215" s="160" t="s">
        <v>30</v>
      </c>
      <c r="C215" s="161">
        <v>39651</v>
      </c>
      <c r="D215" s="162">
        <v>21.15</v>
      </c>
      <c r="E215" s="162">
        <v>16.940000000000001</v>
      </c>
      <c r="F215" s="165">
        <v>2008</v>
      </c>
      <c r="G215" s="165"/>
      <c r="H215" s="165"/>
      <c r="I215" s="165"/>
      <c r="J215" s="165"/>
      <c r="K215" s="165"/>
      <c r="L215" s="165"/>
      <c r="M215" s="165"/>
    </row>
    <row r="216" spans="1:13" ht="15" customHeight="1" x14ac:dyDescent="0.3">
      <c r="A216" s="160" t="s">
        <v>304</v>
      </c>
      <c r="B216" s="160" t="s">
        <v>30</v>
      </c>
      <c r="C216" s="161">
        <v>39665</v>
      </c>
      <c r="D216" s="162">
        <v>22.03</v>
      </c>
      <c r="E216" s="162">
        <v>20.2</v>
      </c>
      <c r="F216" s="165">
        <v>2008</v>
      </c>
      <c r="G216" s="165"/>
      <c r="H216" s="165"/>
      <c r="I216" s="165"/>
      <c r="J216" s="165"/>
      <c r="K216" s="165"/>
      <c r="L216" s="165"/>
      <c r="M216" s="165"/>
    </row>
    <row r="217" spans="1:13" ht="15" customHeight="1" x14ac:dyDescent="0.3">
      <c r="A217" s="160" t="s">
        <v>305</v>
      </c>
      <c r="B217" s="160" t="s">
        <v>30</v>
      </c>
      <c r="C217" s="161">
        <v>39680</v>
      </c>
      <c r="D217" s="162">
        <v>21.8</v>
      </c>
      <c r="E217" s="162">
        <v>20.95</v>
      </c>
      <c r="F217" s="165">
        <v>2008</v>
      </c>
      <c r="G217" s="165"/>
      <c r="H217" s="165"/>
      <c r="I217" s="165"/>
      <c r="J217" s="165"/>
      <c r="K217" s="165"/>
      <c r="L217" s="165"/>
      <c r="M217" s="165"/>
    </row>
    <row r="218" spans="1:13" ht="15" customHeight="1" x14ac:dyDescent="0.3">
      <c r="A218" s="160" t="s">
        <v>306</v>
      </c>
      <c r="B218" s="160" t="s">
        <v>30</v>
      </c>
      <c r="C218" s="161">
        <v>39694</v>
      </c>
      <c r="D218" s="162">
        <v>22.94</v>
      </c>
      <c r="E218" s="162">
        <v>22.5</v>
      </c>
      <c r="F218" s="165">
        <v>2008</v>
      </c>
      <c r="G218" s="165"/>
      <c r="H218" s="165"/>
      <c r="I218" s="165"/>
      <c r="J218" s="165"/>
      <c r="K218" s="165"/>
      <c r="L218" s="165"/>
      <c r="M218" s="165"/>
    </row>
    <row r="219" spans="1:13" ht="15" customHeight="1" x14ac:dyDescent="0.3">
      <c r="A219" s="160" t="s">
        <v>307</v>
      </c>
      <c r="B219" s="160" t="s">
        <v>30</v>
      </c>
      <c r="C219" s="161">
        <v>39707</v>
      </c>
      <c r="D219" s="162">
        <v>22.29</v>
      </c>
      <c r="E219" s="162">
        <v>22.11</v>
      </c>
      <c r="F219" s="165">
        <v>2008</v>
      </c>
      <c r="G219" s="165"/>
      <c r="H219" s="165"/>
      <c r="I219" s="165"/>
      <c r="J219" s="165"/>
      <c r="K219" s="165"/>
      <c r="L219" s="165"/>
      <c r="M219" s="165"/>
    </row>
    <row r="220" spans="1:13" ht="15" customHeight="1" x14ac:dyDescent="0.3">
      <c r="A220" s="160" t="s">
        <v>308</v>
      </c>
      <c r="B220" s="160" t="s">
        <v>30</v>
      </c>
      <c r="C220" s="161">
        <v>39728</v>
      </c>
      <c r="D220" s="162">
        <v>18.39</v>
      </c>
      <c r="E220" s="162">
        <v>19.05</v>
      </c>
      <c r="F220" s="165">
        <v>2008</v>
      </c>
      <c r="G220" s="165"/>
      <c r="H220" s="165"/>
      <c r="I220" s="165"/>
      <c r="J220" s="165"/>
      <c r="K220" s="165"/>
      <c r="L220" s="165"/>
      <c r="M220" s="165"/>
    </row>
    <row r="221" spans="1:13" ht="15" customHeight="1" x14ac:dyDescent="0.3">
      <c r="A221" s="160" t="s">
        <v>309</v>
      </c>
      <c r="B221" s="160" t="s">
        <v>30</v>
      </c>
      <c r="C221" s="161">
        <v>39759</v>
      </c>
      <c r="D221" s="162">
        <v>13.59</v>
      </c>
      <c r="E221" s="162">
        <v>13.56</v>
      </c>
      <c r="F221" s="165">
        <v>2008</v>
      </c>
      <c r="G221" s="165"/>
      <c r="H221" s="165"/>
      <c r="I221" s="165"/>
      <c r="J221" s="165"/>
      <c r="K221" s="165"/>
      <c r="L221" s="165"/>
      <c r="M221" s="165"/>
    </row>
    <row r="222" spans="1:13" ht="15" customHeight="1" x14ac:dyDescent="0.3">
      <c r="A222" s="160" t="s">
        <v>310</v>
      </c>
      <c r="B222" s="160" t="s">
        <v>30</v>
      </c>
      <c r="C222" s="161">
        <v>39799</v>
      </c>
      <c r="D222" s="162">
        <v>6.29</v>
      </c>
      <c r="E222" s="162">
        <v>6.53</v>
      </c>
      <c r="F222" s="165">
        <v>2008</v>
      </c>
      <c r="G222" s="165"/>
      <c r="H222" s="165"/>
      <c r="I222" s="165"/>
      <c r="J222" s="165"/>
      <c r="K222" s="165"/>
      <c r="L222" s="165"/>
      <c r="M222" s="165"/>
    </row>
    <row r="223" spans="1:13" ht="15" customHeight="1" x14ac:dyDescent="0.3">
      <c r="A223" s="160" t="s">
        <v>311</v>
      </c>
      <c r="B223" s="160" t="s">
        <v>30</v>
      </c>
      <c r="C223" s="161">
        <v>39825</v>
      </c>
      <c r="D223" s="162">
        <v>2</v>
      </c>
      <c r="E223" s="162">
        <v>2.08</v>
      </c>
      <c r="F223" s="165">
        <v>2009</v>
      </c>
      <c r="G223" s="165"/>
      <c r="H223" s="165"/>
      <c r="I223" s="165"/>
      <c r="J223" s="165"/>
      <c r="K223" s="165"/>
      <c r="L223" s="165"/>
      <c r="M223" s="165"/>
    </row>
    <row r="224" spans="1:13" ht="15" customHeight="1" x14ac:dyDescent="0.3">
      <c r="A224" s="160" t="s">
        <v>312</v>
      </c>
      <c r="B224" s="160" t="s">
        <v>30</v>
      </c>
      <c r="C224" s="161">
        <v>39848</v>
      </c>
      <c r="D224" s="162">
        <v>0.3</v>
      </c>
      <c r="E224" s="162">
        <v>0.46</v>
      </c>
      <c r="F224" s="165">
        <v>2009</v>
      </c>
      <c r="G224" s="165"/>
      <c r="H224" s="165"/>
      <c r="I224" s="165"/>
      <c r="J224" s="165"/>
      <c r="K224" s="165"/>
      <c r="L224" s="165"/>
      <c r="M224" s="165"/>
    </row>
    <row r="225" spans="1:13" ht="15" customHeight="1" x14ac:dyDescent="0.3">
      <c r="A225" s="160" t="s">
        <v>313</v>
      </c>
      <c r="B225" s="160" t="s">
        <v>30</v>
      </c>
      <c r="C225" s="161">
        <v>39861</v>
      </c>
      <c r="D225" s="162">
        <v>1.72</v>
      </c>
      <c r="E225" s="162">
        <v>1.39</v>
      </c>
      <c r="F225" s="165">
        <v>2009</v>
      </c>
      <c r="G225" s="165"/>
      <c r="H225" s="165"/>
      <c r="I225" s="165"/>
      <c r="J225" s="165"/>
      <c r="K225" s="165"/>
      <c r="L225" s="165"/>
      <c r="M225" s="165"/>
    </row>
    <row r="226" spans="1:13" ht="15" customHeight="1" x14ac:dyDescent="0.3">
      <c r="A226" s="160" t="s">
        <v>314</v>
      </c>
      <c r="B226" s="160" t="s">
        <v>30</v>
      </c>
      <c r="C226" s="161">
        <v>39877</v>
      </c>
      <c r="D226" s="162">
        <v>0.92</v>
      </c>
      <c r="E226" s="162">
        <v>1.1200000000000001</v>
      </c>
      <c r="F226" s="165">
        <v>2009</v>
      </c>
      <c r="G226" s="165"/>
      <c r="H226" s="165"/>
      <c r="I226" s="165"/>
      <c r="J226" s="165"/>
      <c r="K226" s="165"/>
      <c r="L226" s="165"/>
      <c r="M226" s="165"/>
    </row>
    <row r="227" spans="1:13" ht="15" customHeight="1" x14ac:dyDescent="0.3">
      <c r="A227" s="160" t="s">
        <v>315</v>
      </c>
      <c r="B227" s="160" t="s">
        <v>30</v>
      </c>
      <c r="C227" s="161">
        <v>39888</v>
      </c>
      <c r="D227" s="162">
        <v>3.25</v>
      </c>
      <c r="E227" s="162">
        <v>2.73</v>
      </c>
      <c r="F227" s="165">
        <v>2009</v>
      </c>
      <c r="G227" s="165"/>
      <c r="H227" s="165"/>
      <c r="I227" s="165"/>
      <c r="J227" s="165"/>
      <c r="K227" s="165"/>
      <c r="L227" s="165"/>
      <c r="M227" s="165"/>
    </row>
    <row r="228" spans="1:13" ht="15" customHeight="1" x14ac:dyDescent="0.3">
      <c r="A228" s="160" t="s">
        <v>316</v>
      </c>
      <c r="B228" s="160" t="s">
        <v>30</v>
      </c>
      <c r="C228" s="161">
        <v>39904</v>
      </c>
      <c r="D228" s="162">
        <v>5.52</v>
      </c>
      <c r="E228" s="162">
        <v>5.0999999999999996</v>
      </c>
      <c r="F228" s="165">
        <v>2009</v>
      </c>
      <c r="G228" s="165"/>
      <c r="H228" s="165"/>
      <c r="I228" s="165"/>
      <c r="J228" s="165"/>
      <c r="K228" s="165"/>
      <c r="L228" s="165"/>
      <c r="M228" s="165"/>
    </row>
    <row r="229" spans="1:13" ht="15" customHeight="1" x14ac:dyDescent="0.3">
      <c r="A229" s="160" t="s">
        <v>317</v>
      </c>
      <c r="B229" s="160" t="s">
        <v>30</v>
      </c>
      <c r="C229" s="161">
        <v>39937</v>
      </c>
      <c r="D229" s="162">
        <v>11</v>
      </c>
      <c r="E229" s="162">
        <v>9.1999999999999993</v>
      </c>
      <c r="F229" s="165">
        <v>2009</v>
      </c>
      <c r="G229" s="165"/>
      <c r="H229" s="165"/>
      <c r="I229" s="165"/>
      <c r="J229" s="165"/>
      <c r="K229" s="165"/>
      <c r="L229" s="165"/>
      <c r="M229" s="165"/>
    </row>
    <row r="230" spans="1:13" ht="15" customHeight="1" x14ac:dyDescent="0.3">
      <c r="A230" s="160" t="s">
        <v>318</v>
      </c>
      <c r="B230" s="160" t="s">
        <v>30</v>
      </c>
      <c r="C230" s="161">
        <v>39973</v>
      </c>
      <c r="D230" s="162">
        <v>16.63</v>
      </c>
      <c r="E230" s="162">
        <v>14.55</v>
      </c>
      <c r="F230" s="165">
        <v>2009</v>
      </c>
      <c r="G230" s="165"/>
      <c r="H230" s="165"/>
      <c r="I230" s="165"/>
      <c r="J230" s="165"/>
      <c r="K230" s="165"/>
      <c r="L230" s="165"/>
      <c r="M230" s="165"/>
    </row>
    <row r="231" spans="1:13" ht="15" customHeight="1" x14ac:dyDescent="0.3">
      <c r="A231" s="160" t="s">
        <v>319</v>
      </c>
      <c r="B231" s="160" t="s">
        <v>30</v>
      </c>
      <c r="C231" s="161">
        <v>39987</v>
      </c>
      <c r="D231" s="162">
        <v>18.54</v>
      </c>
      <c r="E231" s="162">
        <v>17.079999999999998</v>
      </c>
      <c r="F231" s="165">
        <v>2009</v>
      </c>
      <c r="G231" s="165"/>
      <c r="H231" s="165"/>
      <c r="I231" s="165"/>
      <c r="J231" s="165"/>
      <c r="K231" s="165"/>
      <c r="L231" s="165"/>
      <c r="M231" s="165"/>
    </row>
    <row r="232" spans="1:13" ht="15" customHeight="1" x14ac:dyDescent="0.3">
      <c r="A232" s="160" t="s">
        <v>320</v>
      </c>
      <c r="B232" s="160" t="s">
        <v>30</v>
      </c>
      <c r="C232" s="161">
        <v>40002</v>
      </c>
      <c r="D232" s="162">
        <v>19.670000000000002</v>
      </c>
      <c r="E232" s="162">
        <v>15.66</v>
      </c>
      <c r="F232" s="165">
        <v>2009</v>
      </c>
      <c r="G232" s="165"/>
      <c r="H232" s="165"/>
      <c r="I232" s="165"/>
      <c r="J232" s="165"/>
      <c r="K232" s="165"/>
      <c r="L232" s="165"/>
      <c r="M232" s="165"/>
    </row>
    <row r="233" spans="1:13" ht="15" customHeight="1" x14ac:dyDescent="0.3">
      <c r="A233" s="160" t="s">
        <v>321</v>
      </c>
      <c r="B233" s="160" t="s">
        <v>30</v>
      </c>
      <c r="C233" s="161">
        <v>40016</v>
      </c>
      <c r="D233" s="162">
        <v>20.39</v>
      </c>
      <c r="E233" s="162">
        <v>18.8</v>
      </c>
      <c r="F233" s="165">
        <v>2009</v>
      </c>
      <c r="G233" s="165"/>
      <c r="H233" s="165"/>
      <c r="I233" s="165"/>
      <c r="J233" s="165"/>
      <c r="K233" s="165"/>
      <c r="L233" s="165"/>
      <c r="M233" s="165"/>
    </row>
    <row r="234" spans="1:13" ht="15" customHeight="1" x14ac:dyDescent="0.3">
      <c r="A234" s="160" t="s">
        <v>322</v>
      </c>
      <c r="B234" s="160" t="s">
        <v>30</v>
      </c>
      <c r="C234" s="161">
        <v>40030</v>
      </c>
      <c r="D234" s="162">
        <v>21.49</v>
      </c>
      <c r="E234" s="162">
        <v>19.13</v>
      </c>
      <c r="F234" s="165">
        <v>2009</v>
      </c>
      <c r="G234" s="165"/>
      <c r="H234" s="165"/>
      <c r="I234" s="165"/>
      <c r="J234" s="165"/>
      <c r="K234" s="165"/>
      <c r="L234" s="165"/>
      <c r="M234" s="165"/>
    </row>
    <row r="235" spans="1:13" ht="15" customHeight="1" x14ac:dyDescent="0.3">
      <c r="A235" s="160" t="s">
        <v>323</v>
      </c>
      <c r="B235" s="160" t="s">
        <v>30</v>
      </c>
      <c r="C235" s="161">
        <v>40043</v>
      </c>
      <c r="D235" s="162">
        <v>22.86</v>
      </c>
      <c r="E235" s="162">
        <v>20.97</v>
      </c>
      <c r="F235" s="165">
        <v>2009</v>
      </c>
      <c r="G235" s="165"/>
      <c r="H235" s="165"/>
      <c r="I235" s="165"/>
      <c r="J235" s="165"/>
      <c r="K235" s="165"/>
      <c r="L235" s="165"/>
      <c r="M235" s="165"/>
    </row>
    <row r="236" spans="1:13" ht="15" customHeight="1" x14ac:dyDescent="0.3">
      <c r="A236" s="160" t="s">
        <v>324</v>
      </c>
      <c r="B236" s="160" t="s">
        <v>30</v>
      </c>
      <c r="C236" s="161">
        <v>40058</v>
      </c>
      <c r="D236" s="162">
        <v>22.55</v>
      </c>
      <c r="E236" s="162">
        <v>22.32</v>
      </c>
      <c r="F236" s="165">
        <v>2009</v>
      </c>
      <c r="G236" s="165"/>
      <c r="H236" s="165"/>
      <c r="I236" s="165"/>
      <c r="J236" s="165"/>
      <c r="K236" s="165"/>
      <c r="L236" s="165"/>
      <c r="M236" s="165"/>
    </row>
    <row r="237" spans="1:13" ht="15" customHeight="1" x14ac:dyDescent="0.3">
      <c r="A237" s="160" t="s">
        <v>325</v>
      </c>
      <c r="B237" s="160" t="s">
        <v>30</v>
      </c>
      <c r="C237" s="161">
        <v>40092</v>
      </c>
      <c r="D237" s="162">
        <v>18.39</v>
      </c>
      <c r="E237" s="162">
        <v>18.48</v>
      </c>
      <c r="F237" s="165">
        <v>2009</v>
      </c>
      <c r="G237" s="165"/>
      <c r="H237" s="165"/>
      <c r="I237" s="165"/>
      <c r="J237" s="165"/>
      <c r="K237" s="165"/>
      <c r="L237" s="165"/>
      <c r="M237" s="165"/>
    </row>
    <row r="238" spans="1:13" ht="15" customHeight="1" x14ac:dyDescent="0.3">
      <c r="A238" s="160" t="s">
        <v>326</v>
      </c>
      <c r="B238" s="160" t="s">
        <v>30</v>
      </c>
      <c r="C238" s="161">
        <v>40121</v>
      </c>
      <c r="D238" s="163"/>
      <c r="E238" s="163"/>
      <c r="F238" s="163">
        <v>2009</v>
      </c>
      <c r="G238" s="163"/>
      <c r="H238" s="163"/>
      <c r="I238" s="163"/>
      <c r="J238" s="163"/>
      <c r="K238" s="163"/>
      <c r="L238" s="163"/>
      <c r="M238" s="163"/>
    </row>
    <row r="239" spans="1:13" ht="15" customHeight="1" x14ac:dyDescent="0.3">
      <c r="A239" s="160" t="s">
        <v>327</v>
      </c>
      <c r="B239" s="160" t="s">
        <v>30</v>
      </c>
      <c r="C239" s="161">
        <v>40149</v>
      </c>
      <c r="D239" s="162">
        <v>10.039999999999999</v>
      </c>
      <c r="E239" s="162">
        <v>10.38</v>
      </c>
      <c r="F239" s="165">
        <v>2009</v>
      </c>
      <c r="G239" s="165"/>
      <c r="H239" s="165"/>
      <c r="I239" s="165"/>
      <c r="J239" s="165"/>
      <c r="K239" s="165"/>
      <c r="L239" s="165"/>
      <c r="M239" s="165"/>
    </row>
    <row r="240" spans="1:13" ht="15" customHeight="1" x14ac:dyDescent="0.3">
      <c r="A240" s="160" t="s">
        <v>328</v>
      </c>
      <c r="B240" s="160" t="s">
        <v>30</v>
      </c>
      <c r="C240" s="161">
        <v>40190</v>
      </c>
      <c r="D240" s="162">
        <v>1.06</v>
      </c>
      <c r="E240" s="162">
        <v>1.62</v>
      </c>
      <c r="F240" s="165">
        <v>2010</v>
      </c>
      <c r="G240" s="165"/>
      <c r="H240" s="165"/>
      <c r="I240" s="165"/>
      <c r="J240" s="165"/>
      <c r="K240" s="165"/>
      <c r="L240" s="165"/>
      <c r="M240" s="165"/>
    </row>
    <row r="241" spans="1:13" ht="15" customHeight="1" x14ac:dyDescent="0.3">
      <c r="A241" s="160" t="s">
        <v>329</v>
      </c>
      <c r="B241" s="160" t="s">
        <v>30</v>
      </c>
      <c r="C241" s="161">
        <v>40217</v>
      </c>
      <c r="D241" s="162">
        <v>0.55000000000000004</v>
      </c>
      <c r="E241" s="162">
        <v>0.75</v>
      </c>
      <c r="F241" s="165">
        <v>2010</v>
      </c>
      <c r="G241" s="165"/>
      <c r="H241" s="165"/>
      <c r="I241" s="165"/>
      <c r="J241" s="165"/>
      <c r="K241" s="165"/>
      <c r="L241" s="165"/>
      <c r="M241" s="165"/>
    </row>
    <row r="242" spans="1:13" ht="15" customHeight="1" x14ac:dyDescent="0.3">
      <c r="A242" s="160" t="s">
        <v>330</v>
      </c>
      <c r="B242" s="160" t="s">
        <v>30</v>
      </c>
      <c r="C242" s="161">
        <v>40239</v>
      </c>
      <c r="D242" s="162">
        <v>2.0099999999999998</v>
      </c>
      <c r="E242" s="162">
        <v>1.91</v>
      </c>
      <c r="F242" s="165">
        <v>2010</v>
      </c>
      <c r="G242" s="165"/>
      <c r="H242" s="165"/>
      <c r="I242" s="165"/>
      <c r="J242" s="165"/>
      <c r="K242" s="165"/>
      <c r="L242" s="165"/>
      <c r="M242" s="165"/>
    </row>
    <row r="243" spans="1:13" ht="15" customHeight="1" x14ac:dyDescent="0.3">
      <c r="A243" s="160" t="s">
        <v>331</v>
      </c>
      <c r="B243" s="160" t="s">
        <v>30</v>
      </c>
      <c r="C243" s="161">
        <v>40254</v>
      </c>
      <c r="D243" s="162">
        <v>5.29</v>
      </c>
      <c r="E243" s="162">
        <v>4.46</v>
      </c>
      <c r="F243" s="165">
        <v>2010</v>
      </c>
      <c r="G243" s="165"/>
      <c r="H243" s="165"/>
      <c r="I243" s="165"/>
      <c r="J243" s="165"/>
      <c r="K243" s="165"/>
      <c r="L243" s="165"/>
      <c r="M243" s="165"/>
    </row>
    <row r="244" spans="1:13" ht="15" customHeight="1" x14ac:dyDescent="0.3">
      <c r="A244" s="160" t="s">
        <v>332</v>
      </c>
      <c r="B244" s="160" t="s">
        <v>30</v>
      </c>
      <c r="C244" s="161">
        <v>40268</v>
      </c>
      <c r="D244" s="162">
        <v>6.59</v>
      </c>
      <c r="E244" s="162">
        <v>6.33</v>
      </c>
      <c r="F244" s="165">
        <v>2010</v>
      </c>
      <c r="G244" s="165"/>
      <c r="H244" s="165"/>
      <c r="I244" s="165"/>
      <c r="J244" s="165"/>
      <c r="K244" s="165"/>
      <c r="L244" s="165"/>
      <c r="M244" s="165"/>
    </row>
    <row r="245" spans="1:13" ht="15" customHeight="1" x14ac:dyDescent="0.3">
      <c r="A245" s="160" t="s">
        <v>333</v>
      </c>
      <c r="B245" s="160" t="s">
        <v>30</v>
      </c>
      <c r="C245" s="161">
        <v>40302</v>
      </c>
      <c r="D245" s="162">
        <v>13.3</v>
      </c>
      <c r="E245" s="162">
        <v>8.86</v>
      </c>
      <c r="F245" s="165">
        <v>2010</v>
      </c>
      <c r="G245" s="165"/>
      <c r="H245" s="165"/>
      <c r="I245" s="165"/>
      <c r="J245" s="165"/>
      <c r="K245" s="165"/>
      <c r="L245" s="165"/>
      <c r="M245" s="165"/>
    </row>
    <row r="246" spans="1:13" ht="15" customHeight="1" x14ac:dyDescent="0.3">
      <c r="A246" s="160" t="s">
        <v>334</v>
      </c>
      <c r="B246" s="160" t="s">
        <v>30</v>
      </c>
      <c r="C246" s="161">
        <v>40325</v>
      </c>
      <c r="D246" s="162">
        <v>15.79</v>
      </c>
      <c r="E246" s="162">
        <v>13.61</v>
      </c>
      <c r="F246" s="165">
        <v>2010</v>
      </c>
      <c r="G246" s="165"/>
      <c r="H246" s="165"/>
      <c r="I246" s="165"/>
      <c r="J246" s="165"/>
      <c r="K246" s="165"/>
      <c r="L246" s="165"/>
      <c r="M246" s="165"/>
    </row>
    <row r="247" spans="1:13" ht="15" customHeight="1" x14ac:dyDescent="0.3">
      <c r="A247" s="160" t="s">
        <v>335</v>
      </c>
      <c r="B247" s="160" t="s">
        <v>30</v>
      </c>
      <c r="C247" s="161">
        <v>40347</v>
      </c>
      <c r="D247" s="162">
        <v>17.11</v>
      </c>
      <c r="E247" s="162">
        <v>14.93</v>
      </c>
      <c r="F247" s="165">
        <v>2010</v>
      </c>
      <c r="G247" s="165"/>
      <c r="H247" s="165"/>
      <c r="I247" s="165"/>
      <c r="J247" s="165"/>
      <c r="K247" s="165"/>
      <c r="L247" s="165"/>
      <c r="M247" s="165"/>
    </row>
    <row r="248" spans="1:13" ht="15" customHeight="1" x14ac:dyDescent="0.3">
      <c r="A248" s="160" t="s">
        <v>336</v>
      </c>
      <c r="B248" s="160" t="s">
        <v>30</v>
      </c>
      <c r="C248" s="161">
        <v>40367</v>
      </c>
      <c r="D248" s="162">
        <v>20.75</v>
      </c>
      <c r="E248" s="162">
        <v>16.63</v>
      </c>
      <c r="F248" s="165">
        <v>2010</v>
      </c>
      <c r="G248" s="165"/>
      <c r="H248" s="165"/>
      <c r="I248" s="165"/>
      <c r="J248" s="165"/>
      <c r="K248" s="165"/>
      <c r="L248" s="165"/>
      <c r="M248" s="165"/>
    </row>
    <row r="249" spans="1:13" ht="15" customHeight="1" x14ac:dyDescent="0.3">
      <c r="A249" s="160" t="s">
        <v>337</v>
      </c>
      <c r="B249" s="160" t="s">
        <v>30</v>
      </c>
      <c r="C249" s="161">
        <v>40382</v>
      </c>
      <c r="D249" s="162">
        <v>23.05</v>
      </c>
      <c r="E249" s="162">
        <v>19.27</v>
      </c>
      <c r="F249" s="165">
        <v>2010</v>
      </c>
      <c r="G249" s="165"/>
      <c r="H249" s="165"/>
      <c r="I249" s="165"/>
      <c r="J249" s="165"/>
      <c r="K249" s="165"/>
      <c r="L249" s="165"/>
      <c r="M249" s="165"/>
    </row>
    <row r="250" spans="1:13" ht="15" customHeight="1" x14ac:dyDescent="0.3">
      <c r="A250" s="160" t="s">
        <v>338</v>
      </c>
      <c r="B250" s="160" t="s">
        <v>30</v>
      </c>
      <c r="C250" s="161">
        <v>40393</v>
      </c>
      <c r="D250" s="162">
        <v>22.04</v>
      </c>
      <c r="E250" s="162">
        <v>20.57</v>
      </c>
      <c r="F250" s="165">
        <v>2010</v>
      </c>
      <c r="G250" s="165"/>
      <c r="H250" s="165"/>
      <c r="I250" s="165"/>
      <c r="J250" s="165"/>
      <c r="K250" s="165"/>
      <c r="L250" s="165"/>
      <c r="M250" s="165"/>
    </row>
    <row r="251" spans="1:13" ht="15" customHeight="1" x14ac:dyDescent="0.3">
      <c r="A251" s="160" t="s">
        <v>339</v>
      </c>
      <c r="B251" s="160" t="s">
        <v>30</v>
      </c>
      <c r="C251" s="161">
        <v>40407</v>
      </c>
      <c r="D251" s="162">
        <v>23.22</v>
      </c>
      <c r="E251" s="162">
        <v>22.95</v>
      </c>
      <c r="F251" s="165">
        <v>2010</v>
      </c>
      <c r="G251" s="165"/>
      <c r="H251" s="165"/>
      <c r="I251" s="165"/>
      <c r="J251" s="165"/>
      <c r="K251" s="165"/>
      <c r="L251" s="165"/>
      <c r="M251" s="165"/>
    </row>
    <row r="252" spans="1:13" ht="15" customHeight="1" x14ac:dyDescent="0.3">
      <c r="A252" s="160" t="s">
        <v>340</v>
      </c>
      <c r="B252" s="160" t="s">
        <v>30</v>
      </c>
      <c r="C252" s="161">
        <v>40421</v>
      </c>
      <c r="D252" s="162">
        <v>23.18</v>
      </c>
      <c r="E252" s="162">
        <v>22.71</v>
      </c>
      <c r="F252" s="165">
        <v>2010</v>
      </c>
      <c r="G252" s="165"/>
      <c r="H252" s="165"/>
      <c r="I252" s="165"/>
      <c r="J252" s="165"/>
      <c r="K252" s="165"/>
      <c r="L252" s="165"/>
      <c r="M252" s="165"/>
    </row>
    <row r="253" spans="1:13" ht="15" customHeight="1" x14ac:dyDescent="0.3">
      <c r="A253" s="160" t="s">
        <v>341</v>
      </c>
      <c r="B253" s="160" t="s">
        <v>30</v>
      </c>
      <c r="C253" s="161">
        <v>40463</v>
      </c>
      <c r="D253" s="162">
        <v>18.510000000000002</v>
      </c>
      <c r="E253" s="162">
        <v>18.63</v>
      </c>
      <c r="F253" s="165">
        <v>2010</v>
      </c>
      <c r="G253" s="165"/>
      <c r="H253" s="165"/>
      <c r="I253" s="165"/>
      <c r="J253" s="165"/>
      <c r="K253" s="165"/>
      <c r="L253" s="165"/>
      <c r="M253" s="165"/>
    </row>
    <row r="254" spans="1:13" ht="15" customHeight="1" x14ac:dyDescent="0.3">
      <c r="A254" s="160" t="s">
        <v>342</v>
      </c>
      <c r="B254" s="160" t="s">
        <v>30</v>
      </c>
      <c r="C254" s="161">
        <v>40483</v>
      </c>
      <c r="D254" s="162">
        <v>14.26</v>
      </c>
      <c r="E254" s="162">
        <v>15</v>
      </c>
      <c r="F254" s="165">
        <v>2010</v>
      </c>
      <c r="G254" s="165"/>
      <c r="H254" s="165"/>
      <c r="I254" s="165"/>
      <c r="J254" s="165"/>
      <c r="K254" s="165"/>
      <c r="L254" s="165"/>
      <c r="M254" s="165"/>
    </row>
    <row r="255" spans="1:13" ht="15" customHeight="1" x14ac:dyDescent="0.3">
      <c r="A255" s="160" t="s">
        <v>343</v>
      </c>
      <c r="B255" s="160" t="s">
        <v>30</v>
      </c>
      <c r="C255" s="161">
        <v>40514</v>
      </c>
      <c r="D255" s="162">
        <v>9.64</v>
      </c>
      <c r="E255" s="162">
        <v>9.7200000000000006</v>
      </c>
      <c r="F255" s="165">
        <v>2010</v>
      </c>
      <c r="G255" s="165"/>
      <c r="H255" s="165"/>
      <c r="I255" s="165"/>
      <c r="J255" s="165"/>
      <c r="K255" s="165"/>
      <c r="L255" s="165"/>
      <c r="M255" s="165"/>
    </row>
    <row r="256" spans="1:13" ht="15" customHeight="1" x14ac:dyDescent="0.3">
      <c r="A256" s="160" t="s">
        <v>344</v>
      </c>
      <c r="B256" s="160" t="s">
        <v>30</v>
      </c>
      <c r="C256" s="161">
        <v>40557</v>
      </c>
      <c r="D256" s="162">
        <v>0.64</v>
      </c>
      <c r="E256" s="162">
        <v>1.32</v>
      </c>
      <c r="F256" s="165">
        <v>2011</v>
      </c>
      <c r="G256" s="165"/>
      <c r="H256" s="165"/>
      <c r="I256" s="165"/>
      <c r="J256" s="165"/>
      <c r="K256" s="165"/>
      <c r="L256" s="165"/>
      <c r="M256" s="165"/>
    </row>
    <row r="257" spans="1:13" ht="15" customHeight="1" x14ac:dyDescent="0.3">
      <c r="A257" s="160" t="s">
        <v>345</v>
      </c>
      <c r="B257" s="160" t="s">
        <v>30</v>
      </c>
      <c r="C257" s="161">
        <v>40584</v>
      </c>
      <c r="D257" s="162">
        <v>0.2</v>
      </c>
      <c r="E257" s="162">
        <v>0.37</v>
      </c>
      <c r="F257" s="165">
        <v>2011</v>
      </c>
      <c r="G257" s="165"/>
      <c r="H257" s="165"/>
      <c r="I257" s="165"/>
      <c r="J257" s="165"/>
      <c r="K257" s="165"/>
      <c r="L257" s="165"/>
      <c r="M257" s="165"/>
    </row>
    <row r="258" spans="1:13" ht="15" customHeight="1" x14ac:dyDescent="0.3">
      <c r="A258" s="160" t="s">
        <v>346</v>
      </c>
      <c r="B258" s="160" t="s">
        <v>30</v>
      </c>
      <c r="C258" s="161">
        <v>40591</v>
      </c>
      <c r="D258" s="162">
        <v>1.01</v>
      </c>
      <c r="E258" s="162">
        <v>0.69</v>
      </c>
      <c r="F258" s="165">
        <v>2011</v>
      </c>
      <c r="G258" s="165"/>
      <c r="H258" s="165"/>
      <c r="I258" s="165"/>
      <c r="J258" s="165"/>
      <c r="K258" s="165"/>
      <c r="L258" s="165"/>
      <c r="M258" s="165"/>
    </row>
    <row r="259" spans="1:13" ht="15" customHeight="1" x14ac:dyDescent="0.3">
      <c r="A259" s="160" t="s">
        <v>347</v>
      </c>
      <c r="B259" s="160" t="s">
        <v>30</v>
      </c>
      <c r="C259" s="161">
        <v>40610</v>
      </c>
      <c r="D259" s="162">
        <v>3.84</v>
      </c>
      <c r="E259" s="162">
        <v>3.01</v>
      </c>
      <c r="F259" s="165">
        <v>2011</v>
      </c>
      <c r="G259" s="165"/>
      <c r="H259" s="165"/>
      <c r="I259" s="165"/>
      <c r="J259" s="165"/>
      <c r="K259" s="165"/>
      <c r="L259" s="165"/>
      <c r="M259" s="165"/>
    </row>
    <row r="260" spans="1:13" ht="15" customHeight="1" x14ac:dyDescent="0.3">
      <c r="A260" s="160" t="s">
        <v>348</v>
      </c>
      <c r="B260" s="160" t="s">
        <v>30</v>
      </c>
      <c r="C260" s="161">
        <v>40647</v>
      </c>
      <c r="D260" s="162">
        <v>6.84</v>
      </c>
      <c r="E260" s="162">
        <v>6</v>
      </c>
      <c r="F260" s="165">
        <v>2011</v>
      </c>
      <c r="G260" s="165"/>
      <c r="H260" s="165"/>
      <c r="I260" s="165"/>
      <c r="J260" s="165"/>
      <c r="K260" s="165"/>
      <c r="L260" s="165"/>
      <c r="M260" s="165"/>
    </row>
    <row r="261" spans="1:13" ht="15" customHeight="1" x14ac:dyDescent="0.3">
      <c r="A261" s="160" t="s">
        <v>349</v>
      </c>
      <c r="B261" s="160" t="s">
        <v>30</v>
      </c>
      <c r="C261" s="161">
        <v>40666</v>
      </c>
      <c r="D261" s="162">
        <v>10.38</v>
      </c>
      <c r="E261" s="162">
        <v>7.74</v>
      </c>
      <c r="F261" s="165">
        <v>2011</v>
      </c>
      <c r="G261" s="165"/>
      <c r="H261" s="165"/>
      <c r="I261" s="165"/>
      <c r="J261" s="165"/>
      <c r="K261" s="165"/>
      <c r="L261" s="165"/>
      <c r="M261" s="165"/>
    </row>
    <row r="262" spans="1:13" ht="15" customHeight="1" x14ac:dyDescent="0.3">
      <c r="A262" s="160" t="s">
        <v>350</v>
      </c>
      <c r="B262" s="160" t="s">
        <v>30</v>
      </c>
      <c r="C262" s="161">
        <v>40695</v>
      </c>
      <c r="D262" s="162">
        <v>18.309999999999999</v>
      </c>
      <c r="E262" s="162">
        <v>12.58</v>
      </c>
      <c r="F262" s="165">
        <v>2011</v>
      </c>
      <c r="G262" s="165"/>
      <c r="H262" s="165"/>
      <c r="I262" s="165"/>
      <c r="J262" s="165"/>
      <c r="K262" s="165"/>
      <c r="L262" s="165"/>
      <c r="M262" s="165"/>
    </row>
    <row r="263" spans="1:13" ht="15" customHeight="1" x14ac:dyDescent="0.3">
      <c r="A263" s="160" t="s">
        <v>351</v>
      </c>
      <c r="B263" s="160" t="s">
        <v>30</v>
      </c>
      <c r="C263" s="161">
        <v>40710</v>
      </c>
      <c r="D263" s="162">
        <v>18.079999999999998</v>
      </c>
      <c r="E263" s="162">
        <v>17.46</v>
      </c>
      <c r="F263" s="165">
        <v>2011</v>
      </c>
      <c r="G263" s="165"/>
      <c r="H263" s="165"/>
      <c r="I263" s="165"/>
      <c r="J263" s="165"/>
      <c r="K263" s="165"/>
      <c r="L263" s="165"/>
      <c r="M263" s="165"/>
    </row>
    <row r="264" spans="1:13" ht="15" customHeight="1" x14ac:dyDescent="0.3">
      <c r="A264" s="160" t="s">
        <v>352</v>
      </c>
      <c r="B264" s="160" t="s">
        <v>30</v>
      </c>
      <c r="C264" s="161">
        <v>40730</v>
      </c>
      <c r="D264" s="162">
        <v>19.690000000000001</v>
      </c>
      <c r="E264" s="162">
        <v>16.55</v>
      </c>
      <c r="F264" s="165">
        <v>2011</v>
      </c>
      <c r="G264" s="165"/>
      <c r="H264" s="165"/>
      <c r="I264" s="165"/>
      <c r="J264" s="165"/>
      <c r="K264" s="165"/>
      <c r="L264" s="165"/>
      <c r="M264" s="165"/>
    </row>
    <row r="265" spans="1:13" ht="15" customHeight="1" x14ac:dyDescent="0.3">
      <c r="A265" s="160" t="s">
        <v>353</v>
      </c>
      <c r="B265" s="160" t="s">
        <v>30</v>
      </c>
      <c r="C265" s="161">
        <v>40742</v>
      </c>
      <c r="D265" s="162">
        <v>21.33</v>
      </c>
      <c r="E265" s="162">
        <v>17.829999999999998</v>
      </c>
      <c r="F265" s="165">
        <v>2011</v>
      </c>
      <c r="G265" s="165"/>
      <c r="H265" s="165"/>
      <c r="I265" s="165"/>
      <c r="J265" s="165"/>
      <c r="K265" s="165"/>
      <c r="L265" s="165"/>
      <c r="M265" s="165"/>
    </row>
    <row r="266" spans="1:13" ht="15" customHeight="1" x14ac:dyDescent="0.3">
      <c r="A266" s="160" t="s">
        <v>354</v>
      </c>
      <c r="B266" s="160" t="s">
        <v>30</v>
      </c>
      <c r="C266" s="161">
        <v>40758</v>
      </c>
      <c r="D266" s="162">
        <v>22.41</v>
      </c>
      <c r="E266" s="162">
        <v>19.86</v>
      </c>
      <c r="F266" s="165">
        <v>2011</v>
      </c>
      <c r="G266" s="165"/>
      <c r="H266" s="165"/>
      <c r="I266" s="165"/>
      <c r="J266" s="165"/>
      <c r="K266" s="165"/>
      <c r="L266" s="165"/>
      <c r="M266" s="165"/>
    </row>
    <row r="267" spans="1:13" ht="15" customHeight="1" x14ac:dyDescent="0.3">
      <c r="A267" s="160" t="s">
        <v>355</v>
      </c>
      <c r="B267" s="160" t="s">
        <v>30</v>
      </c>
      <c r="C267" s="161">
        <v>40770</v>
      </c>
      <c r="D267" s="162">
        <v>22.45</v>
      </c>
      <c r="E267" s="162">
        <v>21.29</v>
      </c>
      <c r="F267" s="165">
        <v>2011</v>
      </c>
      <c r="G267" s="165"/>
      <c r="H267" s="165"/>
      <c r="I267" s="165"/>
      <c r="J267" s="165"/>
      <c r="K267" s="165"/>
      <c r="L267" s="165"/>
      <c r="M267" s="165"/>
    </row>
    <row r="268" spans="1:13" ht="15" customHeight="1" x14ac:dyDescent="0.3">
      <c r="A268" s="160" t="s">
        <v>356</v>
      </c>
      <c r="B268" s="160" t="s">
        <v>30</v>
      </c>
      <c r="C268" s="161">
        <v>40786</v>
      </c>
      <c r="D268" s="163"/>
      <c r="E268" s="163"/>
      <c r="F268" s="163">
        <v>2011</v>
      </c>
      <c r="G268" s="163"/>
      <c r="H268" s="163"/>
      <c r="I268" s="163"/>
      <c r="J268" s="163"/>
      <c r="K268" s="163"/>
      <c r="L268" s="163"/>
      <c r="M268" s="163"/>
    </row>
    <row r="269" spans="1:13" ht="15" customHeight="1" x14ac:dyDescent="0.3">
      <c r="A269" s="160" t="s">
        <v>357</v>
      </c>
      <c r="B269" s="160" t="s">
        <v>30</v>
      </c>
      <c r="C269" s="161">
        <v>40822</v>
      </c>
      <c r="D269" s="162">
        <v>19.73</v>
      </c>
      <c r="E269" s="162">
        <v>20.059999999999999</v>
      </c>
      <c r="F269" s="165">
        <v>2011</v>
      </c>
      <c r="G269" s="165"/>
      <c r="H269" s="165"/>
      <c r="I269" s="165"/>
      <c r="J269" s="165"/>
      <c r="K269" s="165"/>
      <c r="L269" s="165"/>
      <c r="M269" s="165"/>
    </row>
    <row r="270" spans="1:13" ht="15" customHeight="1" x14ac:dyDescent="0.3">
      <c r="A270" s="160" t="s">
        <v>358</v>
      </c>
      <c r="B270" s="160" t="s">
        <v>30</v>
      </c>
      <c r="C270" s="161">
        <v>40856</v>
      </c>
      <c r="D270" s="162">
        <v>12.98</v>
      </c>
      <c r="E270" s="162">
        <v>13.3</v>
      </c>
      <c r="F270" s="165">
        <v>2011</v>
      </c>
      <c r="G270" s="165"/>
      <c r="H270" s="165"/>
      <c r="I270" s="165"/>
      <c r="J270" s="165"/>
      <c r="K270" s="165"/>
      <c r="L270" s="165"/>
      <c r="M270" s="165"/>
    </row>
    <row r="271" spans="1:13" ht="15" customHeight="1" x14ac:dyDescent="0.3">
      <c r="A271" s="160" t="s">
        <v>359</v>
      </c>
      <c r="B271" s="160" t="s">
        <v>30</v>
      </c>
      <c r="C271" s="161">
        <v>40876</v>
      </c>
      <c r="D271" s="162">
        <v>11.46</v>
      </c>
      <c r="E271" s="162">
        <v>11.58</v>
      </c>
      <c r="F271" s="165">
        <v>2011</v>
      </c>
      <c r="G271" s="165"/>
      <c r="H271" s="165"/>
      <c r="I271" s="165"/>
      <c r="J271" s="165"/>
      <c r="K271" s="165"/>
      <c r="L271" s="165"/>
      <c r="M271" s="165"/>
    </row>
    <row r="272" spans="1:13" ht="15" customHeight="1" x14ac:dyDescent="0.3">
      <c r="A272" s="160" t="s">
        <v>360</v>
      </c>
      <c r="B272" s="160" t="s">
        <v>30</v>
      </c>
      <c r="C272" s="161">
        <v>40917</v>
      </c>
      <c r="D272" s="162">
        <v>5.74</v>
      </c>
      <c r="E272" s="162">
        <v>6.14</v>
      </c>
      <c r="F272" s="165">
        <v>2012</v>
      </c>
      <c r="G272" s="165"/>
      <c r="H272" s="165"/>
      <c r="I272" s="165"/>
      <c r="J272" s="165"/>
      <c r="K272" s="165"/>
      <c r="L272" s="165"/>
      <c r="M272" s="165"/>
    </row>
    <row r="273" spans="1:13" ht="15" customHeight="1" x14ac:dyDescent="0.3">
      <c r="A273" s="160" t="s">
        <v>361</v>
      </c>
      <c r="B273" s="160" t="s">
        <v>30</v>
      </c>
      <c r="C273" s="161">
        <v>40941</v>
      </c>
      <c r="D273" s="162">
        <v>4.5199999999999996</v>
      </c>
      <c r="E273" s="162">
        <v>4.25</v>
      </c>
      <c r="F273" s="165">
        <v>2012</v>
      </c>
      <c r="G273" s="165"/>
      <c r="H273" s="165"/>
      <c r="I273" s="165"/>
      <c r="J273" s="165"/>
      <c r="K273" s="165"/>
      <c r="L273" s="165"/>
      <c r="M273" s="165"/>
    </row>
    <row r="274" spans="1:13" ht="15" customHeight="1" x14ac:dyDescent="0.3">
      <c r="A274" s="160" t="s">
        <v>362</v>
      </c>
      <c r="B274" s="160" t="s">
        <v>30</v>
      </c>
      <c r="C274" s="161">
        <v>40955</v>
      </c>
      <c r="D274" s="162">
        <v>3.85</v>
      </c>
      <c r="E274" s="162">
        <v>3.99</v>
      </c>
      <c r="F274" s="165">
        <v>2012</v>
      </c>
      <c r="G274" s="165"/>
      <c r="H274" s="165"/>
      <c r="I274" s="165"/>
      <c r="J274" s="165"/>
      <c r="K274" s="165"/>
      <c r="L274" s="165"/>
      <c r="M274" s="165"/>
    </row>
    <row r="275" spans="1:13" ht="15" customHeight="1" x14ac:dyDescent="0.3">
      <c r="A275" s="160" t="s">
        <v>363</v>
      </c>
      <c r="B275" s="160" t="s">
        <v>30</v>
      </c>
      <c r="C275" s="161">
        <v>40973</v>
      </c>
      <c r="D275" s="162">
        <v>4.79</v>
      </c>
      <c r="E275" s="162">
        <v>4.4800000000000004</v>
      </c>
      <c r="F275" s="165">
        <v>2012</v>
      </c>
      <c r="G275" s="165"/>
      <c r="H275" s="165"/>
      <c r="I275" s="165"/>
      <c r="J275" s="165"/>
      <c r="K275" s="165"/>
      <c r="L275" s="165"/>
      <c r="M275" s="165"/>
    </row>
    <row r="276" spans="1:13" ht="15" customHeight="1" x14ac:dyDescent="0.3">
      <c r="A276" s="160" t="s">
        <v>364</v>
      </c>
      <c r="B276" s="160" t="s">
        <v>30</v>
      </c>
      <c r="C276" s="161">
        <v>40983</v>
      </c>
      <c r="D276" s="162">
        <v>6.45</v>
      </c>
      <c r="E276" s="162">
        <v>5.46</v>
      </c>
      <c r="F276" s="165">
        <v>2012</v>
      </c>
      <c r="G276" s="165"/>
      <c r="H276" s="165"/>
      <c r="I276" s="165"/>
      <c r="J276" s="165"/>
      <c r="K276" s="165"/>
      <c r="L276" s="165"/>
      <c r="M276" s="165"/>
    </row>
    <row r="277" spans="1:13" ht="15" customHeight="1" x14ac:dyDescent="0.3">
      <c r="A277" s="160" t="s">
        <v>365</v>
      </c>
      <c r="B277" s="160" t="s">
        <v>30</v>
      </c>
      <c r="C277" s="161">
        <v>41004</v>
      </c>
      <c r="D277" s="162">
        <v>9.0500000000000007</v>
      </c>
      <c r="E277" s="162">
        <v>8.58</v>
      </c>
      <c r="F277" s="165">
        <v>2012</v>
      </c>
      <c r="G277" s="165"/>
      <c r="H277" s="165"/>
      <c r="I277" s="165"/>
      <c r="J277" s="165"/>
      <c r="K277" s="165"/>
      <c r="L277" s="165"/>
      <c r="M277" s="165"/>
    </row>
    <row r="278" spans="1:13" ht="15" customHeight="1" x14ac:dyDescent="0.3">
      <c r="A278" s="160" t="s">
        <v>366</v>
      </c>
      <c r="B278" s="160" t="s">
        <v>30</v>
      </c>
      <c r="C278" s="161">
        <v>41031</v>
      </c>
      <c r="D278" s="162">
        <v>11.75</v>
      </c>
      <c r="E278" s="162">
        <v>10.96</v>
      </c>
      <c r="F278" s="165">
        <v>2012</v>
      </c>
      <c r="G278" s="165"/>
      <c r="H278" s="165"/>
      <c r="I278" s="165"/>
      <c r="J278" s="165"/>
      <c r="K278" s="165"/>
      <c r="L278" s="165"/>
      <c r="M278" s="165"/>
    </row>
    <row r="279" spans="1:13" ht="15" customHeight="1" x14ac:dyDescent="0.3">
      <c r="A279" s="160" t="s">
        <v>367</v>
      </c>
      <c r="B279" s="160" t="s">
        <v>30</v>
      </c>
      <c r="C279" s="161">
        <v>41059</v>
      </c>
      <c r="D279" s="162">
        <v>18.399999999999999</v>
      </c>
      <c r="E279" s="162">
        <v>15.48</v>
      </c>
      <c r="F279" s="165">
        <v>2012</v>
      </c>
      <c r="G279" s="165"/>
      <c r="H279" s="165"/>
      <c r="I279" s="165"/>
      <c r="J279" s="165"/>
      <c r="K279" s="165"/>
      <c r="L279" s="165"/>
      <c r="M279" s="165"/>
    </row>
    <row r="280" spans="1:13" ht="15" customHeight="1" x14ac:dyDescent="0.3">
      <c r="A280" s="160" t="s">
        <v>368</v>
      </c>
      <c r="B280" s="160" t="s">
        <v>30</v>
      </c>
      <c r="C280" s="161">
        <v>41072</v>
      </c>
      <c r="D280" s="162">
        <v>19.13</v>
      </c>
      <c r="E280" s="162">
        <v>16.78</v>
      </c>
      <c r="F280" s="165">
        <v>2012</v>
      </c>
      <c r="G280" s="165"/>
      <c r="H280" s="165"/>
      <c r="I280" s="165"/>
      <c r="J280" s="165"/>
      <c r="K280" s="165"/>
      <c r="L280" s="165"/>
      <c r="M280" s="165"/>
    </row>
    <row r="281" spans="1:13" ht="15" customHeight="1" x14ac:dyDescent="0.3">
      <c r="A281" s="160" t="s">
        <v>369</v>
      </c>
      <c r="B281" s="160" t="s">
        <v>30</v>
      </c>
      <c r="C281" s="161">
        <v>41087</v>
      </c>
      <c r="D281" s="162">
        <v>20.11</v>
      </c>
      <c r="E281" s="162">
        <v>17.62</v>
      </c>
      <c r="F281" s="165">
        <v>2012</v>
      </c>
      <c r="G281" s="165"/>
      <c r="H281" s="165"/>
      <c r="I281" s="165"/>
      <c r="J281" s="165"/>
      <c r="K281" s="165"/>
      <c r="L281" s="165"/>
      <c r="M281" s="165"/>
    </row>
    <row r="282" spans="1:13" ht="15" customHeight="1" x14ac:dyDescent="0.3">
      <c r="A282" s="160" t="s">
        <v>370</v>
      </c>
      <c r="B282" s="160" t="s">
        <v>30</v>
      </c>
      <c r="C282" s="161">
        <v>41106</v>
      </c>
      <c r="D282" s="162">
        <v>21.88</v>
      </c>
      <c r="E282" s="162">
        <v>18.62</v>
      </c>
      <c r="F282" s="165">
        <v>2012</v>
      </c>
      <c r="G282" s="165"/>
      <c r="H282" s="165"/>
      <c r="I282" s="165"/>
      <c r="J282" s="165"/>
      <c r="K282" s="165"/>
      <c r="L282" s="165"/>
      <c r="M282" s="165"/>
    </row>
    <row r="283" spans="1:13" ht="15" customHeight="1" x14ac:dyDescent="0.3">
      <c r="A283" s="160" t="s">
        <v>371</v>
      </c>
      <c r="B283" s="160" t="s">
        <v>30</v>
      </c>
      <c r="C283" s="161">
        <v>41122</v>
      </c>
      <c r="D283" s="162">
        <v>23.35</v>
      </c>
      <c r="E283" s="162">
        <v>22.33</v>
      </c>
      <c r="F283" s="165">
        <v>2012</v>
      </c>
      <c r="G283" s="165"/>
      <c r="H283" s="165"/>
      <c r="I283" s="165"/>
      <c r="J283" s="165"/>
      <c r="K283" s="165"/>
      <c r="L283" s="165"/>
      <c r="M283" s="165"/>
    </row>
    <row r="284" spans="1:13" ht="15" customHeight="1" x14ac:dyDescent="0.3">
      <c r="A284" s="160" t="s">
        <v>372</v>
      </c>
      <c r="B284" s="160" t="s">
        <v>30</v>
      </c>
      <c r="C284" s="161">
        <v>41137</v>
      </c>
      <c r="D284" s="162">
        <v>24.15</v>
      </c>
      <c r="E284" s="162">
        <v>22.19</v>
      </c>
      <c r="F284" s="165">
        <v>2012</v>
      </c>
      <c r="G284" s="165"/>
      <c r="H284" s="165"/>
      <c r="I284" s="165"/>
      <c r="J284" s="165"/>
      <c r="K284" s="165"/>
      <c r="L284" s="165"/>
      <c r="M284" s="165"/>
    </row>
    <row r="285" spans="1:13" ht="15" customHeight="1" x14ac:dyDescent="0.3">
      <c r="A285" s="160" t="s">
        <v>373</v>
      </c>
      <c r="B285" s="160" t="s">
        <v>30</v>
      </c>
      <c r="C285" s="161">
        <v>41150</v>
      </c>
      <c r="D285" s="162">
        <v>24.44</v>
      </c>
      <c r="E285" s="162">
        <v>24.16</v>
      </c>
      <c r="F285" s="165">
        <v>2012</v>
      </c>
      <c r="G285" s="165"/>
      <c r="H285" s="165"/>
      <c r="I285" s="165"/>
      <c r="J285" s="165"/>
      <c r="K285" s="165"/>
      <c r="L285" s="165"/>
      <c r="M285" s="165"/>
    </row>
    <row r="286" spans="1:13" ht="15" customHeight="1" x14ac:dyDescent="0.3">
      <c r="A286" s="160" t="s">
        <v>374</v>
      </c>
      <c r="B286" s="160" t="s">
        <v>30</v>
      </c>
      <c r="C286" s="161">
        <v>41169</v>
      </c>
      <c r="D286" s="162">
        <v>22.9</v>
      </c>
      <c r="E286" s="162">
        <v>22.81</v>
      </c>
      <c r="F286" s="165">
        <v>2012</v>
      </c>
      <c r="G286" s="165"/>
      <c r="H286" s="165"/>
      <c r="I286" s="165"/>
      <c r="J286" s="165"/>
      <c r="K286" s="165"/>
      <c r="L286" s="165"/>
      <c r="M286" s="165"/>
    </row>
    <row r="287" spans="1:13" ht="15" customHeight="1" x14ac:dyDescent="0.3">
      <c r="A287" s="160" t="s">
        <v>375</v>
      </c>
      <c r="B287" s="160" t="s">
        <v>30</v>
      </c>
      <c r="C287" s="161">
        <v>41185</v>
      </c>
      <c r="D287" s="162">
        <v>20.37</v>
      </c>
      <c r="E287" s="162">
        <v>20.51</v>
      </c>
      <c r="F287" s="165">
        <v>2012</v>
      </c>
      <c r="G287" s="165"/>
      <c r="H287" s="165"/>
      <c r="I287" s="165"/>
      <c r="J287" s="165"/>
      <c r="K287" s="165"/>
      <c r="L287" s="165"/>
      <c r="M287" s="165"/>
    </row>
    <row r="288" spans="1:13" ht="15" customHeight="1" x14ac:dyDescent="0.3">
      <c r="A288" s="160" t="s">
        <v>376</v>
      </c>
      <c r="B288" s="160" t="s">
        <v>30</v>
      </c>
      <c r="C288" s="161">
        <v>41227</v>
      </c>
      <c r="D288" s="162">
        <v>11.07</v>
      </c>
      <c r="E288" s="162">
        <v>11.08</v>
      </c>
      <c r="F288" s="165">
        <v>2012</v>
      </c>
      <c r="G288" s="165"/>
      <c r="H288" s="165"/>
      <c r="I288" s="165"/>
      <c r="J288" s="165"/>
      <c r="K288" s="165"/>
      <c r="L288" s="165"/>
      <c r="M288" s="165"/>
    </row>
    <row r="289" spans="1:13" ht="15" customHeight="1" x14ac:dyDescent="0.3">
      <c r="A289" s="160" t="s">
        <v>377</v>
      </c>
      <c r="B289" s="160" t="s">
        <v>30</v>
      </c>
      <c r="C289" s="161">
        <v>41247</v>
      </c>
      <c r="D289" s="162">
        <v>8.14</v>
      </c>
      <c r="E289" s="162">
        <v>8.16</v>
      </c>
      <c r="F289" s="165">
        <v>2012</v>
      </c>
      <c r="G289" s="165"/>
      <c r="H289" s="165"/>
      <c r="I289" s="165"/>
      <c r="J289" s="165"/>
      <c r="K289" s="165"/>
      <c r="L289" s="165"/>
      <c r="M289" s="165"/>
    </row>
    <row r="290" spans="1:13" ht="15" customHeight="1" x14ac:dyDescent="0.3">
      <c r="A290" s="160" t="s">
        <v>378</v>
      </c>
      <c r="B290" s="160" t="s">
        <v>30</v>
      </c>
      <c r="C290" s="161">
        <v>41284</v>
      </c>
      <c r="D290" s="162">
        <v>4.5599999999999996</v>
      </c>
      <c r="E290" s="162">
        <v>4.58</v>
      </c>
      <c r="F290" s="165">
        <v>2013</v>
      </c>
      <c r="G290" s="165"/>
      <c r="H290" s="165"/>
      <c r="I290" s="165"/>
      <c r="J290" s="165"/>
      <c r="K290" s="165"/>
      <c r="L290" s="165"/>
      <c r="M290" s="165"/>
    </row>
    <row r="291" spans="1:13" ht="15" customHeight="1" x14ac:dyDescent="0.3">
      <c r="A291" s="160" t="s">
        <v>379</v>
      </c>
      <c r="B291" s="160" t="s">
        <v>30</v>
      </c>
      <c r="C291" s="161">
        <v>41304</v>
      </c>
      <c r="D291" s="162">
        <v>2.4700000000000002</v>
      </c>
      <c r="E291" s="162">
        <v>2.4500000000000002</v>
      </c>
      <c r="F291" s="165">
        <v>2013</v>
      </c>
      <c r="G291" s="165"/>
      <c r="H291" s="165"/>
      <c r="I291" s="165"/>
      <c r="J291" s="165"/>
      <c r="K291" s="165"/>
      <c r="L291" s="165"/>
      <c r="M291" s="165"/>
    </row>
    <row r="292" spans="1:13" ht="15" customHeight="1" x14ac:dyDescent="0.3">
      <c r="A292" s="160" t="s">
        <v>380</v>
      </c>
      <c r="B292" s="160" t="s">
        <v>30</v>
      </c>
      <c r="C292" s="161">
        <v>41319</v>
      </c>
      <c r="D292" s="162">
        <v>2.12</v>
      </c>
      <c r="E292" s="162">
        <v>1.81</v>
      </c>
      <c r="F292" s="165">
        <v>2013</v>
      </c>
      <c r="G292" s="165"/>
      <c r="H292" s="165"/>
      <c r="I292" s="165"/>
      <c r="J292" s="165"/>
      <c r="K292" s="165"/>
      <c r="L292" s="165"/>
      <c r="M292" s="165"/>
    </row>
    <row r="293" spans="1:13" ht="15" customHeight="1" x14ac:dyDescent="0.3">
      <c r="A293" s="160" t="s">
        <v>381</v>
      </c>
      <c r="B293" s="160" t="s">
        <v>30</v>
      </c>
      <c r="C293" s="161">
        <v>41344</v>
      </c>
      <c r="D293" s="162">
        <v>3.25</v>
      </c>
      <c r="E293" s="162">
        <v>3.02</v>
      </c>
      <c r="F293" s="165">
        <v>2013</v>
      </c>
      <c r="G293" s="165"/>
      <c r="H293" s="165"/>
      <c r="I293" s="165"/>
      <c r="J293" s="165"/>
      <c r="K293" s="165"/>
      <c r="L293" s="165"/>
      <c r="M293" s="165"/>
    </row>
    <row r="294" spans="1:13" ht="15" customHeight="1" x14ac:dyDescent="0.3">
      <c r="A294" s="160" t="s">
        <v>382</v>
      </c>
      <c r="B294" s="160" t="s">
        <v>30</v>
      </c>
      <c r="C294" s="161">
        <v>41368</v>
      </c>
      <c r="D294" s="162">
        <v>4.9800000000000004</v>
      </c>
      <c r="E294" s="162">
        <v>4.54</v>
      </c>
      <c r="F294" s="165">
        <v>2013</v>
      </c>
      <c r="G294" s="165"/>
      <c r="H294" s="165"/>
      <c r="I294" s="165"/>
      <c r="J294" s="165"/>
      <c r="K294" s="165"/>
      <c r="L294" s="165"/>
      <c r="M294" s="165"/>
    </row>
    <row r="295" spans="1:13" ht="15" customHeight="1" x14ac:dyDescent="0.3">
      <c r="A295" s="160" t="s">
        <v>383</v>
      </c>
      <c r="B295" s="160" t="s">
        <v>30</v>
      </c>
      <c r="C295" s="161">
        <v>41395</v>
      </c>
      <c r="D295" s="162">
        <v>10.79</v>
      </c>
      <c r="E295" s="162">
        <v>9.65</v>
      </c>
      <c r="F295" s="165">
        <v>2013</v>
      </c>
      <c r="G295" s="165"/>
      <c r="H295" s="165"/>
      <c r="I295" s="165"/>
      <c r="J295" s="165"/>
      <c r="K295" s="165"/>
      <c r="L295" s="165"/>
      <c r="M295" s="165"/>
    </row>
    <row r="296" spans="1:13" ht="15" customHeight="1" x14ac:dyDescent="0.3">
      <c r="A296" s="160" t="s">
        <v>384</v>
      </c>
      <c r="B296" s="160" t="s">
        <v>30</v>
      </c>
      <c r="C296" s="161">
        <v>41430</v>
      </c>
      <c r="D296" s="162">
        <v>16.18</v>
      </c>
      <c r="E296" s="162">
        <v>12.96</v>
      </c>
      <c r="F296" s="165">
        <v>2013</v>
      </c>
      <c r="G296" s="165"/>
      <c r="H296" s="165"/>
      <c r="I296" s="165"/>
      <c r="J296" s="165"/>
      <c r="K296" s="165"/>
      <c r="L296" s="165"/>
      <c r="M296" s="165"/>
    </row>
    <row r="297" spans="1:13" ht="15" customHeight="1" x14ac:dyDescent="0.3">
      <c r="A297" s="160" t="s">
        <v>385</v>
      </c>
      <c r="B297" s="160" t="s">
        <v>30</v>
      </c>
      <c r="C297" s="161">
        <v>41446</v>
      </c>
      <c r="D297" s="162">
        <v>19.12</v>
      </c>
      <c r="E297" s="162">
        <v>16.850000000000001</v>
      </c>
      <c r="F297" s="165">
        <v>2013</v>
      </c>
      <c r="G297" s="165"/>
      <c r="H297" s="165"/>
      <c r="I297" s="165"/>
      <c r="J297" s="165"/>
      <c r="K297" s="165"/>
      <c r="L297" s="165"/>
      <c r="M297" s="165"/>
    </row>
    <row r="298" spans="1:13" ht="15" customHeight="1" x14ac:dyDescent="0.3">
      <c r="A298" s="160" t="s">
        <v>386</v>
      </c>
      <c r="B298" s="160" t="s">
        <v>30</v>
      </c>
      <c r="C298" s="161">
        <v>41457</v>
      </c>
      <c r="D298" s="162">
        <v>20.100000000000001</v>
      </c>
      <c r="E298" s="162">
        <v>16.86</v>
      </c>
      <c r="F298" s="165">
        <v>2013</v>
      </c>
      <c r="G298" s="165"/>
      <c r="H298" s="165"/>
      <c r="I298" s="165"/>
      <c r="J298" s="165"/>
      <c r="K298" s="165"/>
      <c r="L298" s="165"/>
      <c r="M298" s="165"/>
    </row>
    <row r="299" spans="1:13" ht="15" customHeight="1" x14ac:dyDescent="0.3">
      <c r="A299" s="160" t="s">
        <v>387</v>
      </c>
      <c r="B299" s="160" t="s">
        <v>30</v>
      </c>
      <c r="C299" s="161">
        <v>41470</v>
      </c>
      <c r="D299" s="162">
        <v>22.01</v>
      </c>
      <c r="E299" s="162">
        <v>19.260000000000002</v>
      </c>
      <c r="F299" s="165">
        <v>2013</v>
      </c>
      <c r="G299" s="165"/>
      <c r="H299" s="165"/>
      <c r="I299" s="165"/>
      <c r="J299" s="165"/>
      <c r="K299" s="165"/>
      <c r="L299" s="165"/>
      <c r="M299" s="165"/>
    </row>
    <row r="300" spans="1:13" ht="15" customHeight="1" x14ac:dyDescent="0.3">
      <c r="A300" s="160" t="s">
        <v>388</v>
      </c>
      <c r="B300" s="160" t="s">
        <v>30</v>
      </c>
      <c r="C300" s="161">
        <v>41486</v>
      </c>
      <c r="D300" s="162">
        <v>22.86</v>
      </c>
      <c r="E300" s="162">
        <v>21.46</v>
      </c>
      <c r="F300" s="165">
        <v>2013</v>
      </c>
      <c r="G300" s="165"/>
      <c r="H300" s="165"/>
      <c r="I300" s="165"/>
      <c r="J300" s="165"/>
      <c r="K300" s="165"/>
      <c r="L300" s="165"/>
      <c r="M300" s="165"/>
    </row>
    <row r="301" spans="1:13" ht="15" customHeight="1" x14ac:dyDescent="0.3">
      <c r="A301" s="160" t="s">
        <v>389</v>
      </c>
      <c r="B301" s="160" t="s">
        <v>30</v>
      </c>
      <c r="C301" s="161">
        <v>41498</v>
      </c>
      <c r="D301" s="162">
        <v>22.18</v>
      </c>
      <c r="E301" s="162">
        <v>20.94</v>
      </c>
      <c r="F301" s="165">
        <v>2013</v>
      </c>
      <c r="G301" s="165"/>
      <c r="H301" s="165"/>
      <c r="I301" s="165"/>
      <c r="J301" s="165"/>
      <c r="K301" s="165"/>
      <c r="L301" s="165"/>
      <c r="M301" s="165"/>
    </row>
    <row r="302" spans="1:13" ht="15" customHeight="1" x14ac:dyDescent="0.3">
      <c r="A302" s="160" t="s">
        <v>390</v>
      </c>
      <c r="B302" s="160" t="s">
        <v>30</v>
      </c>
      <c r="C302" s="161">
        <v>41514</v>
      </c>
      <c r="D302" s="162">
        <v>23.17</v>
      </c>
      <c r="E302" s="162">
        <v>22.15</v>
      </c>
      <c r="F302" s="165">
        <v>2013</v>
      </c>
      <c r="G302" s="165"/>
      <c r="H302" s="165"/>
      <c r="I302" s="165"/>
      <c r="J302" s="165"/>
      <c r="K302" s="165"/>
      <c r="L302" s="165"/>
      <c r="M302" s="165"/>
    </row>
    <row r="303" spans="1:13" ht="15" customHeight="1" x14ac:dyDescent="0.3">
      <c r="A303" s="160" t="s">
        <v>391</v>
      </c>
      <c r="B303" s="160" t="s">
        <v>30</v>
      </c>
      <c r="C303" s="161">
        <v>41526</v>
      </c>
      <c r="D303" s="162">
        <v>22.11</v>
      </c>
      <c r="E303" s="162">
        <v>22.14</v>
      </c>
      <c r="F303" s="165">
        <v>2013</v>
      </c>
      <c r="G303" s="165"/>
      <c r="H303" s="165"/>
      <c r="I303" s="165"/>
      <c r="J303" s="165"/>
      <c r="K303" s="165"/>
      <c r="L303" s="165"/>
      <c r="M303" s="165"/>
    </row>
    <row r="304" spans="1:13" ht="15" customHeight="1" x14ac:dyDescent="0.3">
      <c r="A304" s="160" t="s">
        <v>392</v>
      </c>
      <c r="B304" s="160" t="s">
        <v>30</v>
      </c>
      <c r="C304" s="161">
        <v>41549</v>
      </c>
      <c r="D304" s="162">
        <v>20.04</v>
      </c>
      <c r="E304" s="162">
        <v>19.96</v>
      </c>
      <c r="F304" s="165">
        <v>2013</v>
      </c>
      <c r="G304" s="165"/>
      <c r="H304" s="165"/>
      <c r="I304" s="165"/>
      <c r="J304" s="165"/>
      <c r="K304" s="165"/>
      <c r="L304" s="165"/>
      <c r="M304" s="165"/>
    </row>
    <row r="305" spans="1:13" ht="15" customHeight="1" x14ac:dyDescent="0.3">
      <c r="A305" s="160" t="s">
        <v>393</v>
      </c>
      <c r="B305" s="160" t="s">
        <v>30</v>
      </c>
      <c r="C305" s="161">
        <v>41583</v>
      </c>
      <c r="D305" s="162">
        <v>13.87</v>
      </c>
      <c r="E305" s="162">
        <v>13.76</v>
      </c>
      <c r="F305" s="165">
        <v>2013</v>
      </c>
      <c r="G305" s="165"/>
      <c r="H305" s="165"/>
      <c r="I305" s="165"/>
      <c r="J305" s="165"/>
      <c r="K305" s="165"/>
      <c r="L305" s="165"/>
      <c r="M305" s="165"/>
    </row>
    <row r="306" spans="1:13" ht="15" customHeight="1" x14ac:dyDescent="0.3">
      <c r="A306" s="160" t="s">
        <v>394</v>
      </c>
      <c r="B306" s="160" t="s">
        <v>30</v>
      </c>
      <c r="C306" s="161">
        <v>41611</v>
      </c>
      <c r="D306" s="162">
        <v>7.22</v>
      </c>
      <c r="E306" s="162">
        <v>7.87</v>
      </c>
      <c r="F306" s="165">
        <v>2013</v>
      </c>
      <c r="G306" s="165"/>
      <c r="H306" s="165"/>
      <c r="I306" s="165"/>
      <c r="J306" s="165"/>
      <c r="K306" s="165"/>
      <c r="L306" s="165"/>
      <c r="M306" s="165"/>
    </row>
    <row r="307" spans="1:13" ht="15" customHeight="1" x14ac:dyDescent="0.3">
      <c r="A307" s="160" t="s">
        <v>395</v>
      </c>
      <c r="B307" s="160" t="s">
        <v>30</v>
      </c>
      <c r="C307" s="161">
        <v>41648</v>
      </c>
      <c r="D307" s="162">
        <v>1.98</v>
      </c>
      <c r="E307" s="162">
        <v>1.44</v>
      </c>
      <c r="F307" s="165">
        <v>2014</v>
      </c>
      <c r="G307" s="165"/>
      <c r="H307" s="165"/>
      <c r="I307" s="165"/>
      <c r="J307" s="165"/>
      <c r="K307" s="165"/>
      <c r="L307" s="165"/>
      <c r="M307" s="165"/>
    </row>
    <row r="308" spans="1:13" ht="15" customHeight="1" x14ac:dyDescent="0.3">
      <c r="A308" s="160" t="s">
        <v>396</v>
      </c>
      <c r="B308" s="160" t="s">
        <v>30</v>
      </c>
      <c r="C308" s="161">
        <v>41676</v>
      </c>
      <c r="D308" s="162">
        <v>0.02</v>
      </c>
      <c r="E308" s="162">
        <v>0.04</v>
      </c>
      <c r="F308" s="165">
        <v>2014</v>
      </c>
      <c r="G308" s="165"/>
      <c r="H308" s="165"/>
      <c r="I308" s="165"/>
      <c r="J308" s="165"/>
      <c r="K308" s="165"/>
      <c r="L308" s="165"/>
      <c r="M308" s="165"/>
    </row>
    <row r="309" spans="1:13" ht="15" customHeight="1" x14ac:dyDescent="0.3">
      <c r="A309" s="160" t="s">
        <v>397</v>
      </c>
      <c r="B309" s="160" t="s">
        <v>30</v>
      </c>
      <c r="C309" s="161">
        <v>41690</v>
      </c>
      <c r="D309" s="162">
        <v>-0.27</v>
      </c>
      <c r="E309" s="162">
        <v>-0.27</v>
      </c>
      <c r="F309" s="165">
        <v>2014</v>
      </c>
      <c r="G309" s="165"/>
      <c r="H309" s="165"/>
      <c r="I309" s="165"/>
      <c r="J309" s="165"/>
      <c r="K309" s="165"/>
      <c r="L309" s="165"/>
      <c r="M309" s="165"/>
    </row>
    <row r="310" spans="1:13" ht="15" customHeight="1" x14ac:dyDescent="0.3">
      <c r="A310" s="160" t="s">
        <v>398</v>
      </c>
      <c r="B310" s="160" t="s">
        <v>30</v>
      </c>
      <c r="C310" s="161">
        <v>41703</v>
      </c>
      <c r="D310" s="162">
        <v>0.03</v>
      </c>
      <c r="E310" s="162">
        <v>-0.05</v>
      </c>
      <c r="F310" s="165">
        <v>2014</v>
      </c>
      <c r="G310" s="165"/>
      <c r="H310" s="165"/>
      <c r="I310" s="165"/>
      <c r="J310" s="165"/>
      <c r="K310" s="165"/>
      <c r="L310" s="165"/>
      <c r="M310" s="165"/>
    </row>
    <row r="311" spans="1:13" ht="15" customHeight="1" x14ac:dyDescent="0.3">
      <c r="A311" s="160" t="s">
        <v>399</v>
      </c>
      <c r="B311" s="160" t="s">
        <v>30</v>
      </c>
      <c r="C311" s="161">
        <v>41731</v>
      </c>
      <c r="D311" s="162">
        <v>3.46</v>
      </c>
      <c r="E311" s="162">
        <v>3.1</v>
      </c>
      <c r="F311" s="165">
        <v>2014</v>
      </c>
      <c r="G311" s="165"/>
      <c r="H311" s="165"/>
      <c r="I311" s="165"/>
      <c r="J311" s="165"/>
      <c r="K311" s="165"/>
      <c r="L311" s="165"/>
      <c r="M311" s="165"/>
    </row>
    <row r="312" spans="1:13" ht="15" customHeight="1" x14ac:dyDescent="0.3">
      <c r="A312" s="160" t="s">
        <v>400</v>
      </c>
      <c r="B312" s="160" t="s">
        <v>30</v>
      </c>
      <c r="C312" s="161">
        <v>41766</v>
      </c>
      <c r="D312" s="162">
        <v>10.25</v>
      </c>
      <c r="E312" s="162">
        <v>8.3000000000000007</v>
      </c>
      <c r="F312" s="165">
        <v>2014</v>
      </c>
      <c r="G312" s="165"/>
      <c r="H312" s="165"/>
      <c r="I312" s="165"/>
      <c r="J312" s="165"/>
      <c r="K312" s="165"/>
      <c r="L312" s="165"/>
      <c r="M312" s="165"/>
    </row>
    <row r="313" spans="1:13" ht="15" customHeight="1" x14ac:dyDescent="0.3">
      <c r="A313" s="160" t="s">
        <v>401</v>
      </c>
      <c r="B313" s="160" t="s">
        <v>30</v>
      </c>
      <c r="C313" s="161">
        <v>41793</v>
      </c>
      <c r="D313" s="162">
        <v>17.34</v>
      </c>
      <c r="E313" s="162">
        <v>13.31</v>
      </c>
      <c r="F313" s="165">
        <v>2014</v>
      </c>
      <c r="G313" s="165"/>
      <c r="H313" s="165"/>
      <c r="I313" s="165"/>
      <c r="J313" s="165"/>
      <c r="K313" s="165"/>
      <c r="L313" s="165"/>
      <c r="M313" s="165"/>
    </row>
    <row r="314" spans="1:13" ht="15" customHeight="1" x14ac:dyDescent="0.3">
      <c r="A314" s="160" t="s">
        <v>402</v>
      </c>
      <c r="B314" s="160" t="s">
        <v>30</v>
      </c>
      <c r="C314" s="161">
        <v>41809</v>
      </c>
      <c r="D314" s="162">
        <v>19.2</v>
      </c>
      <c r="E314" s="162">
        <v>16.63</v>
      </c>
      <c r="F314" s="165">
        <v>2014</v>
      </c>
      <c r="G314" s="165"/>
      <c r="H314" s="165"/>
      <c r="I314" s="165"/>
      <c r="J314" s="165"/>
      <c r="K314" s="165"/>
      <c r="L314" s="165"/>
      <c r="M314" s="165"/>
    </row>
    <row r="315" spans="1:13" ht="15" customHeight="1" x14ac:dyDescent="0.3">
      <c r="A315" s="160" t="s">
        <v>403</v>
      </c>
      <c r="B315" s="160" t="s">
        <v>30</v>
      </c>
      <c r="C315" s="161">
        <v>41822</v>
      </c>
      <c r="D315" s="162">
        <v>20.38</v>
      </c>
      <c r="E315" s="162">
        <v>15.38</v>
      </c>
      <c r="F315" s="165">
        <v>2014</v>
      </c>
      <c r="G315" s="165"/>
      <c r="H315" s="165"/>
      <c r="I315" s="165"/>
      <c r="J315" s="165"/>
      <c r="K315" s="165"/>
      <c r="L315" s="165"/>
      <c r="M315" s="165"/>
    </row>
    <row r="316" spans="1:13" ht="15" customHeight="1" x14ac:dyDescent="0.3">
      <c r="A316" s="160" t="s">
        <v>404</v>
      </c>
      <c r="B316" s="160" t="s">
        <v>30</v>
      </c>
      <c r="C316" s="161">
        <v>41834</v>
      </c>
      <c r="D316" s="162">
        <v>18.8</v>
      </c>
      <c r="E316" s="162">
        <v>17.78</v>
      </c>
      <c r="F316" s="165">
        <v>2014</v>
      </c>
      <c r="G316" s="165"/>
      <c r="H316" s="165"/>
      <c r="I316" s="165"/>
      <c r="J316" s="165"/>
      <c r="K316" s="165"/>
      <c r="L316" s="165"/>
      <c r="M316" s="165"/>
    </row>
    <row r="317" spans="1:13" ht="15" customHeight="1" x14ac:dyDescent="0.3">
      <c r="A317" s="160" t="s">
        <v>405</v>
      </c>
      <c r="B317" s="160" t="s">
        <v>30</v>
      </c>
      <c r="C317" s="161">
        <v>41857</v>
      </c>
      <c r="D317" s="162">
        <v>23.53</v>
      </c>
      <c r="E317" s="162">
        <v>20.7</v>
      </c>
      <c r="F317" s="165">
        <v>2014</v>
      </c>
      <c r="G317" s="165"/>
      <c r="H317" s="165"/>
      <c r="I317" s="165"/>
      <c r="J317" s="165"/>
      <c r="K317" s="165"/>
      <c r="L317" s="165"/>
      <c r="M317" s="165"/>
    </row>
    <row r="318" spans="1:13" ht="15" customHeight="1" x14ac:dyDescent="0.3">
      <c r="A318" s="160" t="s">
        <v>406</v>
      </c>
      <c r="B318" s="160" t="s">
        <v>30</v>
      </c>
      <c r="C318" s="161">
        <v>41870</v>
      </c>
      <c r="D318" s="162">
        <v>22.45</v>
      </c>
      <c r="E318" s="162">
        <v>22.05</v>
      </c>
      <c r="F318" s="165">
        <v>2014</v>
      </c>
      <c r="G318" s="165"/>
      <c r="H318" s="165"/>
      <c r="I318" s="165"/>
      <c r="J318" s="165"/>
      <c r="K318" s="165"/>
      <c r="L318" s="165"/>
      <c r="M318" s="165"/>
    </row>
    <row r="319" spans="1:13" ht="15" customHeight="1" x14ac:dyDescent="0.3">
      <c r="A319" s="160" t="s">
        <v>407</v>
      </c>
      <c r="B319" s="160" t="s">
        <v>30</v>
      </c>
      <c r="C319" s="161">
        <v>41884</v>
      </c>
      <c r="D319" s="162">
        <v>23.98</v>
      </c>
      <c r="E319" s="162">
        <v>22.57</v>
      </c>
      <c r="F319" s="165">
        <v>2014</v>
      </c>
      <c r="G319" s="165"/>
      <c r="H319" s="165"/>
      <c r="I319" s="165"/>
      <c r="J319" s="165"/>
      <c r="K319" s="165"/>
      <c r="L319" s="165"/>
      <c r="M319" s="165"/>
    </row>
    <row r="320" spans="1:13" ht="15" customHeight="1" x14ac:dyDescent="0.3">
      <c r="A320" s="160" t="s">
        <v>408</v>
      </c>
      <c r="B320" s="160" t="s">
        <v>30</v>
      </c>
      <c r="C320" s="161">
        <v>41898</v>
      </c>
      <c r="D320" s="162">
        <v>21.74</v>
      </c>
      <c r="E320" s="162">
        <v>21.81</v>
      </c>
      <c r="F320" s="165">
        <v>2014</v>
      </c>
      <c r="G320" s="165"/>
      <c r="H320" s="165"/>
      <c r="I320" s="165"/>
      <c r="J320" s="165"/>
      <c r="K320" s="165"/>
      <c r="L320" s="165"/>
      <c r="M320" s="165"/>
    </row>
    <row r="321" spans="1:13" ht="15" customHeight="1" x14ac:dyDescent="0.3">
      <c r="A321" s="160" t="s">
        <v>409</v>
      </c>
      <c r="B321" s="160" t="s">
        <v>30</v>
      </c>
      <c r="C321" s="161">
        <v>41913</v>
      </c>
      <c r="D321" s="162">
        <v>20.239999999999998</v>
      </c>
      <c r="E321" s="162">
        <v>20.440000000000001</v>
      </c>
      <c r="F321" s="165">
        <v>2014</v>
      </c>
      <c r="G321" s="165"/>
      <c r="H321" s="165"/>
      <c r="I321" s="165"/>
      <c r="J321" s="165"/>
      <c r="K321" s="165"/>
      <c r="L321" s="165"/>
      <c r="M321" s="165"/>
    </row>
    <row r="322" spans="1:13" ht="15" customHeight="1" x14ac:dyDescent="0.3">
      <c r="A322" s="160" t="s">
        <v>410</v>
      </c>
      <c r="B322" s="160" t="s">
        <v>30</v>
      </c>
      <c r="C322" s="161">
        <v>41953</v>
      </c>
      <c r="D322" s="162">
        <v>12.39</v>
      </c>
      <c r="E322" s="162">
        <v>12.43</v>
      </c>
      <c r="F322" s="165">
        <v>2014</v>
      </c>
      <c r="G322" s="165"/>
      <c r="H322" s="165"/>
      <c r="I322" s="165"/>
      <c r="J322" s="165"/>
      <c r="K322" s="165"/>
      <c r="L322" s="165"/>
      <c r="M322" s="165"/>
    </row>
    <row r="323" spans="1:13" ht="15" customHeight="1" x14ac:dyDescent="0.3">
      <c r="A323" s="160" t="s">
        <v>411</v>
      </c>
      <c r="B323" s="160" t="s">
        <v>30</v>
      </c>
      <c r="C323" s="161">
        <v>41983</v>
      </c>
      <c r="D323" s="162">
        <v>6.4</v>
      </c>
      <c r="E323" s="162">
        <v>6.45</v>
      </c>
      <c r="F323" s="165">
        <v>2014</v>
      </c>
      <c r="G323" s="165"/>
      <c r="H323" s="165"/>
      <c r="I323" s="165"/>
      <c r="J323" s="165"/>
      <c r="K323" s="165"/>
      <c r="L323" s="165"/>
      <c r="M323" s="165"/>
    </row>
    <row r="324" spans="1:13" ht="15" customHeight="1" x14ac:dyDescent="0.3">
      <c r="A324" s="160" t="s">
        <v>412</v>
      </c>
      <c r="B324" s="160" t="s">
        <v>30</v>
      </c>
      <c r="C324" s="161">
        <v>42018</v>
      </c>
      <c r="D324" s="162">
        <v>1.25</v>
      </c>
      <c r="E324" s="162">
        <v>2.73</v>
      </c>
      <c r="F324" s="165">
        <v>2015</v>
      </c>
      <c r="G324" s="165"/>
      <c r="H324" s="165"/>
      <c r="I324" s="165"/>
      <c r="J324" s="165"/>
      <c r="K324" s="165"/>
      <c r="L324" s="165"/>
      <c r="M324" s="165"/>
    </row>
    <row r="325" spans="1:13" ht="15" customHeight="1" x14ac:dyDescent="0.3">
      <c r="A325" s="160" t="s">
        <v>413</v>
      </c>
      <c r="B325" s="160" t="s">
        <v>30</v>
      </c>
      <c r="C325" s="161">
        <v>42045</v>
      </c>
      <c r="D325" s="162">
        <v>-0.46</v>
      </c>
      <c r="E325" s="162">
        <v>-0.35</v>
      </c>
      <c r="F325" s="165">
        <v>2015</v>
      </c>
      <c r="G325" s="165"/>
      <c r="H325" s="165"/>
      <c r="I325" s="165"/>
      <c r="J325" s="165"/>
      <c r="K325" s="165"/>
      <c r="L325" s="165"/>
      <c r="M325" s="165"/>
    </row>
    <row r="326" spans="1:13" ht="15" customHeight="1" x14ac:dyDescent="0.3">
      <c r="A326" s="160" t="s">
        <v>414</v>
      </c>
      <c r="B326" s="160" t="s">
        <v>30</v>
      </c>
      <c r="C326" s="161">
        <v>42073</v>
      </c>
      <c r="D326" s="162">
        <v>-0.57999999999999996</v>
      </c>
      <c r="E326" s="162">
        <v>-0.74</v>
      </c>
      <c r="F326" s="165">
        <v>2015</v>
      </c>
      <c r="G326" s="165"/>
      <c r="H326" s="165"/>
      <c r="I326" s="165"/>
      <c r="J326" s="165"/>
      <c r="K326" s="165"/>
      <c r="L326" s="165"/>
      <c r="M326" s="165"/>
    </row>
    <row r="327" spans="1:13" ht="15" customHeight="1" x14ac:dyDescent="0.3">
      <c r="A327" s="160" t="s">
        <v>415</v>
      </c>
      <c r="B327" s="160" t="s">
        <v>30</v>
      </c>
      <c r="C327" s="161">
        <v>42082</v>
      </c>
      <c r="D327" s="162">
        <v>0.78</v>
      </c>
      <c r="E327" s="162">
        <v>0.51</v>
      </c>
      <c r="F327" s="165">
        <v>2015</v>
      </c>
      <c r="G327" s="165"/>
      <c r="H327" s="165"/>
      <c r="I327" s="165"/>
      <c r="J327" s="165"/>
      <c r="K327" s="165"/>
      <c r="L327" s="165"/>
      <c r="M327" s="165"/>
    </row>
    <row r="328" spans="1:13" ht="15" customHeight="1" x14ac:dyDescent="0.3">
      <c r="A328" s="160" t="s">
        <v>416</v>
      </c>
      <c r="B328" s="160" t="s">
        <v>30</v>
      </c>
      <c r="C328" s="161">
        <v>42095</v>
      </c>
      <c r="D328" s="162">
        <v>1.2</v>
      </c>
      <c r="E328" s="162">
        <v>1.59</v>
      </c>
      <c r="F328" s="165">
        <v>2015</v>
      </c>
      <c r="G328" s="165"/>
      <c r="H328" s="165"/>
      <c r="I328" s="165"/>
      <c r="J328" s="165"/>
      <c r="K328" s="165"/>
      <c r="L328" s="165"/>
      <c r="M328" s="165"/>
    </row>
    <row r="329" spans="1:13" ht="15" customHeight="1" x14ac:dyDescent="0.3">
      <c r="A329" s="160" t="s">
        <v>417</v>
      </c>
      <c r="B329" s="160" t="s">
        <v>30</v>
      </c>
      <c r="C329" s="161">
        <v>42125</v>
      </c>
      <c r="D329" s="162">
        <v>9.6300000000000008</v>
      </c>
      <c r="E329" s="162">
        <v>7.4</v>
      </c>
      <c r="F329" s="165">
        <v>2015</v>
      </c>
      <c r="G329" s="165"/>
      <c r="H329" s="165"/>
      <c r="I329" s="165"/>
      <c r="J329" s="165"/>
      <c r="K329" s="165"/>
      <c r="L329" s="165"/>
      <c r="M329" s="165"/>
    </row>
    <row r="330" spans="1:13" ht="15" customHeight="1" x14ac:dyDescent="0.3">
      <c r="A330" s="160" t="s">
        <v>418</v>
      </c>
      <c r="B330" s="160" t="s">
        <v>30</v>
      </c>
      <c r="C330" s="161">
        <v>42153</v>
      </c>
      <c r="D330" s="162">
        <v>15</v>
      </c>
      <c r="E330" s="162">
        <v>10.210000000000001</v>
      </c>
      <c r="F330" s="165">
        <v>2015</v>
      </c>
      <c r="G330" s="165"/>
      <c r="H330" s="165"/>
      <c r="I330" s="165"/>
      <c r="J330" s="165"/>
      <c r="K330" s="165"/>
      <c r="L330" s="165"/>
      <c r="M330" s="165"/>
    </row>
    <row r="331" spans="1:13" ht="15" customHeight="1" x14ac:dyDescent="0.3">
      <c r="A331" s="160" t="s">
        <v>420</v>
      </c>
      <c r="B331" s="160" t="s">
        <v>30</v>
      </c>
      <c r="C331" s="161">
        <v>42192</v>
      </c>
      <c r="D331" s="162">
        <v>21.31</v>
      </c>
      <c r="E331" s="162">
        <v>18.21</v>
      </c>
      <c r="F331" s="165">
        <v>2015</v>
      </c>
      <c r="G331" s="165"/>
      <c r="H331" s="165"/>
      <c r="I331" s="165"/>
      <c r="J331" s="165"/>
      <c r="K331" s="165"/>
      <c r="L331" s="165"/>
      <c r="M331" s="165"/>
    </row>
    <row r="332" spans="1:13" ht="15" customHeight="1" x14ac:dyDescent="0.3">
      <c r="A332" s="160" t="s">
        <v>421</v>
      </c>
      <c r="B332" s="160" t="s">
        <v>30</v>
      </c>
      <c r="C332" s="161">
        <v>42205</v>
      </c>
      <c r="D332" s="162">
        <v>21.66</v>
      </c>
      <c r="E332" s="162">
        <v>19.2</v>
      </c>
      <c r="F332" s="165">
        <v>2015</v>
      </c>
      <c r="G332" s="165"/>
      <c r="H332" s="165"/>
      <c r="I332" s="165"/>
      <c r="J332" s="165"/>
      <c r="K332" s="165"/>
      <c r="L332" s="165"/>
      <c r="M332" s="165"/>
    </row>
    <row r="333" spans="1:13" ht="15" customHeight="1" x14ac:dyDescent="0.3">
      <c r="A333" s="160" t="s">
        <v>422</v>
      </c>
      <c r="B333" s="160" t="s">
        <v>30</v>
      </c>
      <c r="C333" s="161">
        <v>42219</v>
      </c>
      <c r="D333" s="162">
        <v>21.86</v>
      </c>
      <c r="E333" s="162">
        <v>20.399999999999999</v>
      </c>
      <c r="F333" s="165">
        <v>2015</v>
      </c>
      <c r="G333" s="165"/>
      <c r="H333" s="165"/>
      <c r="I333" s="165"/>
      <c r="J333" s="165"/>
      <c r="K333" s="165"/>
      <c r="L333" s="165"/>
      <c r="M333" s="165"/>
    </row>
    <row r="334" spans="1:13" ht="15" customHeight="1" x14ac:dyDescent="0.3">
      <c r="A334" s="160" t="s">
        <v>423</v>
      </c>
      <c r="B334" s="160" t="s">
        <v>30</v>
      </c>
      <c r="C334" s="161">
        <v>42233</v>
      </c>
      <c r="D334" s="162">
        <v>23.23</v>
      </c>
      <c r="E334" s="162">
        <v>21.25</v>
      </c>
      <c r="F334" s="165">
        <v>2015</v>
      </c>
      <c r="G334" s="165"/>
      <c r="H334" s="165"/>
      <c r="I334" s="165"/>
      <c r="J334" s="165"/>
      <c r="K334" s="165"/>
      <c r="L334" s="165"/>
      <c r="M334" s="165"/>
    </row>
    <row r="335" spans="1:13" ht="15" customHeight="1" x14ac:dyDescent="0.3">
      <c r="A335" s="160" t="s">
        <v>424</v>
      </c>
      <c r="B335" s="160" t="s">
        <v>30</v>
      </c>
      <c r="C335" s="161">
        <v>42248</v>
      </c>
      <c r="D335" s="162">
        <v>24.32</v>
      </c>
      <c r="E335" s="162">
        <v>23.26</v>
      </c>
      <c r="F335" s="165">
        <v>2015</v>
      </c>
      <c r="G335" s="165"/>
      <c r="H335" s="165"/>
      <c r="I335" s="165"/>
      <c r="J335" s="165"/>
      <c r="K335" s="165"/>
      <c r="L335" s="165"/>
      <c r="M335" s="165"/>
    </row>
    <row r="336" spans="1:13" ht="15" customHeight="1" x14ac:dyDescent="0.3">
      <c r="A336" s="160" t="s">
        <v>425</v>
      </c>
      <c r="B336" s="160" t="s">
        <v>30</v>
      </c>
      <c r="C336" s="161">
        <v>42263</v>
      </c>
      <c r="D336" s="162">
        <v>23.44</v>
      </c>
      <c r="E336" s="162">
        <v>23.28</v>
      </c>
      <c r="F336" s="165">
        <v>2015</v>
      </c>
      <c r="G336" s="165"/>
      <c r="H336" s="165"/>
      <c r="I336" s="165"/>
      <c r="J336" s="165"/>
      <c r="K336" s="165"/>
      <c r="L336" s="165"/>
      <c r="M336" s="165"/>
    </row>
    <row r="337" spans="1:13" ht="15" customHeight="1" x14ac:dyDescent="0.3">
      <c r="A337" s="160" t="s">
        <v>426</v>
      </c>
      <c r="B337" s="160" t="s">
        <v>30</v>
      </c>
      <c r="C337" s="161">
        <v>42285</v>
      </c>
      <c r="D337" s="162">
        <v>18.190000000000001</v>
      </c>
      <c r="E337" s="162">
        <v>18.34</v>
      </c>
      <c r="F337" s="165">
        <v>2015</v>
      </c>
      <c r="G337" s="165"/>
      <c r="H337" s="165"/>
      <c r="I337" s="165"/>
      <c r="J337" s="165"/>
      <c r="K337" s="165"/>
      <c r="L337" s="165"/>
      <c r="M337" s="165"/>
    </row>
    <row r="338" spans="1:13" ht="15" customHeight="1" x14ac:dyDescent="0.3">
      <c r="A338" s="160" t="s">
        <v>427</v>
      </c>
      <c r="B338" s="160" t="s">
        <v>30</v>
      </c>
      <c r="C338" s="161">
        <v>42317</v>
      </c>
      <c r="D338" s="162">
        <v>14.82</v>
      </c>
      <c r="E338" s="162">
        <v>15.13</v>
      </c>
      <c r="F338" s="165">
        <v>2015</v>
      </c>
      <c r="G338" s="165"/>
      <c r="H338" s="165"/>
      <c r="I338" s="165"/>
      <c r="J338" s="165"/>
      <c r="K338" s="165"/>
      <c r="L338" s="165"/>
      <c r="M338" s="165"/>
    </row>
    <row r="339" spans="1:13" ht="15" customHeight="1" x14ac:dyDescent="0.3">
      <c r="A339" s="160" t="s">
        <v>428</v>
      </c>
      <c r="B339" s="160" t="s">
        <v>30</v>
      </c>
      <c r="C339" s="161">
        <v>42338</v>
      </c>
      <c r="D339" s="162">
        <v>10.36</v>
      </c>
      <c r="E339" s="162">
        <v>10.77</v>
      </c>
      <c r="F339" s="165">
        <v>2015</v>
      </c>
      <c r="G339" s="165"/>
      <c r="H339" s="165"/>
      <c r="I339" s="165"/>
      <c r="J339" s="165"/>
      <c r="K339" s="165"/>
      <c r="L339" s="165"/>
      <c r="M339" s="165"/>
    </row>
    <row r="340" spans="1:13" ht="15" customHeight="1" x14ac:dyDescent="0.3">
      <c r="A340" s="160" t="s">
        <v>429</v>
      </c>
      <c r="B340" s="160" t="s">
        <v>30</v>
      </c>
      <c r="C340" s="161">
        <v>42381</v>
      </c>
      <c r="D340" s="162">
        <v>5.75</v>
      </c>
      <c r="E340" s="162">
        <v>5.9</v>
      </c>
      <c r="F340" s="165">
        <v>2016</v>
      </c>
      <c r="G340" s="165"/>
      <c r="H340" s="165"/>
      <c r="I340" s="165"/>
      <c r="J340" s="165"/>
      <c r="K340" s="165"/>
      <c r="L340" s="165"/>
      <c r="M340" s="165"/>
    </row>
    <row r="341" spans="1:13" ht="15" customHeight="1" x14ac:dyDescent="0.3">
      <c r="A341" s="160" t="s">
        <v>430</v>
      </c>
      <c r="B341" s="160" t="s">
        <v>30</v>
      </c>
      <c r="C341" s="161">
        <v>42401</v>
      </c>
      <c r="D341" s="162">
        <v>3.33</v>
      </c>
      <c r="E341" s="162">
        <v>3.43</v>
      </c>
      <c r="F341" s="165">
        <v>2016</v>
      </c>
      <c r="G341" s="165"/>
      <c r="H341" s="165"/>
      <c r="I341" s="165"/>
      <c r="J341" s="165"/>
      <c r="K341" s="165"/>
      <c r="L341" s="165"/>
      <c r="M341" s="165"/>
    </row>
    <row r="342" spans="1:13" ht="15" customHeight="1" x14ac:dyDescent="0.3">
      <c r="A342" s="160" t="s">
        <v>431</v>
      </c>
      <c r="B342" s="160" t="s">
        <v>30</v>
      </c>
      <c r="C342" s="161">
        <v>42417</v>
      </c>
      <c r="D342" s="162">
        <v>1.89</v>
      </c>
      <c r="E342" s="162">
        <v>1.67</v>
      </c>
      <c r="F342" s="165">
        <v>2016</v>
      </c>
      <c r="G342" s="165"/>
      <c r="H342" s="165"/>
      <c r="I342" s="165"/>
      <c r="J342" s="165"/>
      <c r="K342" s="165"/>
      <c r="L342" s="165"/>
      <c r="M342" s="165"/>
    </row>
    <row r="343" spans="1:13" ht="15" customHeight="1" x14ac:dyDescent="0.3">
      <c r="A343" s="160" t="s">
        <v>432</v>
      </c>
      <c r="B343" s="160" t="s">
        <v>30</v>
      </c>
      <c r="C343" s="161">
        <v>42437</v>
      </c>
      <c r="D343" s="162">
        <v>4.1100000000000003</v>
      </c>
      <c r="E343" s="162">
        <v>3.58</v>
      </c>
      <c r="F343" s="165">
        <v>2016</v>
      </c>
      <c r="G343" s="165"/>
      <c r="H343" s="165"/>
      <c r="I343" s="165"/>
      <c r="J343" s="165"/>
      <c r="K343" s="165"/>
      <c r="L343" s="165"/>
      <c r="M343" s="165"/>
    </row>
    <row r="344" spans="1:13" ht="15" customHeight="1" x14ac:dyDescent="0.3">
      <c r="A344" s="160" t="s">
        <v>433</v>
      </c>
      <c r="B344" s="160" t="s">
        <v>30</v>
      </c>
      <c r="C344" s="161">
        <v>42452</v>
      </c>
      <c r="D344" s="162">
        <v>6.32</v>
      </c>
      <c r="E344" s="162">
        <v>5.96</v>
      </c>
      <c r="F344" s="165">
        <v>2016</v>
      </c>
      <c r="G344" s="165"/>
      <c r="H344" s="165"/>
      <c r="I344" s="165"/>
      <c r="J344" s="165"/>
      <c r="K344" s="165"/>
      <c r="L344" s="165"/>
      <c r="M344" s="165"/>
    </row>
    <row r="345" spans="1:13" ht="15" customHeight="1" x14ac:dyDescent="0.3">
      <c r="A345" s="160" t="s">
        <v>434</v>
      </c>
      <c r="B345" s="160" t="s">
        <v>30</v>
      </c>
      <c r="C345" s="161">
        <v>42464</v>
      </c>
      <c r="D345" s="162">
        <v>7.21</v>
      </c>
      <c r="E345" s="162">
        <v>6.86</v>
      </c>
      <c r="F345" s="165">
        <v>2016</v>
      </c>
      <c r="G345" s="165"/>
      <c r="H345" s="165"/>
      <c r="I345" s="165"/>
      <c r="J345" s="165"/>
      <c r="K345" s="165"/>
      <c r="L345" s="165"/>
      <c r="M345" s="165"/>
    </row>
    <row r="346" spans="1:13" ht="15" customHeight="1" x14ac:dyDescent="0.3">
      <c r="A346" s="160" t="s">
        <v>435</v>
      </c>
      <c r="B346" s="160" t="s">
        <v>30</v>
      </c>
      <c r="C346" s="161">
        <v>42502</v>
      </c>
      <c r="D346" s="163"/>
      <c r="E346" s="162">
        <v>11.65</v>
      </c>
      <c r="F346" s="165">
        <v>2016</v>
      </c>
      <c r="G346" s="165"/>
      <c r="H346" s="165"/>
      <c r="I346" s="165"/>
      <c r="J346" s="165"/>
      <c r="K346" s="165"/>
      <c r="L346" s="165"/>
      <c r="M346" s="165"/>
    </row>
    <row r="347" spans="1:13" ht="15" customHeight="1" x14ac:dyDescent="0.3">
      <c r="A347" s="160" t="s">
        <v>436</v>
      </c>
      <c r="B347" s="160" t="s">
        <v>30</v>
      </c>
      <c r="C347" s="161">
        <v>42531</v>
      </c>
      <c r="D347" s="162">
        <v>17.14</v>
      </c>
      <c r="E347" s="162">
        <v>15.25</v>
      </c>
      <c r="F347" s="165">
        <v>2016</v>
      </c>
      <c r="G347" s="165"/>
      <c r="H347" s="165"/>
      <c r="I347" s="165"/>
      <c r="J347" s="165"/>
      <c r="K347" s="165"/>
      <c r="L347" s="165"/>
      <c r="M347" s="165"/>
    </row>
    <row r="348" spans="1:13" ht="15" customHeight="1" x14ac:dyDescent="0.3">
      <c r="A348" s="160" t="s">
        <v>437</v>
      </c>
      <c r="B348" s="160" t="s">
        <v>30</v>
      </c>
      <c r="C348" s="161">
        <v>42541</v>
      </c>
      <c r="D348" s="162">
        <v>18.73</v>
      </c>
      <c r="E348" s="162">
        <v>15.74</v>
      </c>
      <c r="F348" s="165">
        <v>2016</v>
      </c>
      <c r="G348" s="165"/>
      <c r="H348" s="165"/>
      <c r="I348" s="165"/>
      <c r="J348" s="165"/>
      <c r="K348" s="165"/>
      <c r="L348" s="165"/>
      <c r="M348" s="165"/>
    </row>
    <row r="349" spans="1:13" ht="15" customHeight="1" x14ac:dyDescent="0.3">
      <c r="A349" s="160" t="s">
        <v>438</v>
      </c>
      <c r="B349" s="160" t="s">
        <v>30</v>
      </c>
      <c r="C349" s="161">
        <v>42557</v>
      </c>
      <c r="D349" s="162">
        <v>19.21</v>
      </c>
      <c r="E349" s="162">
        <v>17.63</v>
      </c>
      <c r="F349" s="165">
        <v>2016</v>
      </c>
      <c r="G349" s="165"/>
      <c r="H349" s="165"/>
      <c r="I349" s="165"/>
      <c r="J349" s="165"/>
      <c r="K349" s="165"/>
      <c r="L349" s="165"/>
      <c r="M349" s="165"/>
    </row>
    <row r="350" spans="1:13" ht="15" customHeight="1" x14ac:dyDescent="0.3">
      <c r="A350" s="160" t="s">
        <v>439</v>
      </c>
      <c r="B350" s="160" t="s">
        <v>30</v>
      </c>
      <c r="C350" s="161">
        <v>42570</v>
      </c>
      <c r="D350" s="162">
        <v>21.96</v>
      </c>
      <c r="E350" s="162">
        <v>18.59</v>
      </c>
      <c r="F350" s="165">
        <v>2016</v>
      </c>
      <c r="G350" s="165"/>
      <c r="H350" s="165"/>
      <c r="I350" s="165"/>
      <c r="J350" s="165"/>
      <c r="K350" s="165"/>
      <c r="L350" s="165"/>
      <c r="M350" s="165"/>
    </row>
    <row r="351" spans="1:13" ht="15" customHeight="1" x14ac:dyDescent="0.3">
      <c r="A351" s="160" t="s">
        <v>440</v>
      </c>
      <c r="B351" s="160" t="s">
        <v>30</v>
      </c>
      <c r="C351" s="161">
        <v>42585</v>
      </c>
      <c r="D351" s="162">
        <v>23.1</v>
      </c>
      <c r="E351" s="162">
        <v>22.98</v>
      </c>
      <c r="F351" s="165">
        <v>2016</v>
      </c>
      <c r="G351" s="165"/>
      <c r="H351" s="165"/>
      <c r="I351" s="165"/>
      <c r="J351" s="165"/>
      <c r="K351" s="165"/>
      <c r="L351" s="165"/>
      <c r="M351" s="165"/>
    </row>
    <row r="352" spans="1:13" ht="15" customHeight="1" x14ac:dyDescent="0.3">
      <c r="A352" s="160" t="s">
        <v>441</v>
      </c>
      <c r="B352" s="160" t="s">
        <v>30</v>
      </c>
      <c r="C352" s="161">
        <v>42600</v>
      </c>
      <c r="D352" s="162">
        <v>24.48</v>
      </c>
      <c r="E352" s="162">
        <v>22.11</v>
      </c>
      <c r="F352" s="165">
        <v>2016</v>
      </c>
      <c r="G352" s="165"/>
      <c r="H352" s="165"/>
      <c r="I352" s="165"/>
      <c r="J352" s="165"/>
      <c r="K352" s="165"/>
      <c r="L352" s="165"/>
      <c r="M352" s="165"/>
    </row>
    <row r="353" spans="1:13" ht="15" customHeight="1" x14ac:dyDescent="0.3">
      <c r="A353" s="160" t="s">
        <v>442</v>
      </c>
      <c r="B353" s="160" t="s">
        <v>30</v>
      </c>
      <c r="C353" s="161">
        <v>42612</v>
      </c>
      <c r="D353" s="162">
        <v>24.93</v>
      </c>
      <c r="E353" s="162">
        <v>23.57</v>
      </c>
      <c r="F353" s="165">
        <v>2016</v>
      </c>
      <c r="G353" s="165"/>
      <c r="H353" s="165"/>
      <c r="I353" s="165"/>
      <c r="J353" s="165"/>
      <c r="K353" s="165"/>
      <c r="L353" s="165"/>
      <c r="M353" s="165"/>
    </row>
    <row r="354" spans="1:13" ht="15" customHeight="1" x14ac:dyDescent="0.3">
      <c r="A354" s="160" t="s">
        <v>443</v>
      </c>
      <c r="B354" s="160" t="s">
        <v>30</v>
      </c>
      <c r="C354" s="161">
        <v>42626</v>
      </c>
      <c r="D354" s="162">
        <v>23.66</v>
      </c>
      <c r="E354" s="162">
        <v>23.57</v>
      </c>
      <c r="F354" s="165">
        <v>2016</v>
      </c>
      <c r="G354" s="165"/>
      <c r="H354" s="165"/>
      <c r="I354" s="165"/>
      <c r="J354" s="165"/>
      <c r="K354" s="165"/>
      <c r="L354" s="165"/>
      <c r="M354" s="165"/>
    </row>
    <row r="355" spans="1:13" ht="15" customHeight="1" x14ac:dyDescent="0.3">
      <c r="A355" s="160" t="s">
        <v>444</v>
      </c>
      <c r="B355" s="160" t="s">
        <v>30</v>
      </c>
      <c r="C355" s="161">
        <v>42648</v>
      </c>
      <c r="D355" s="162">
        <v>19.649999999999999</v>
      </c>
      <c r="E355" s="162">
        <v>19.420000000000002</v>
      </c>
      <c r="F355" s="165">
        <v>2016</v>
      </c>
      <c r="G355" s="165"/>
      <c r="H355" s="165"/>
      <c r="I355" s="165"/>
      <c r="J355" s="165"/>
      <c r="K355" s="165"/>
      <c r="L355" s="165"/>
      <c r="M355" s="165"/>
    </row>
    <row r="356" spans="1:13" ht="15" customHeight="1" x14ac:dyDescent="0.3">
      <c r="A356" s="160" t="s">
        <v>445</v>
      </c>
      <c r="B356" s="160" t="s">
        <v>30</v>
      </c>
      <c r="C356" s="161">
        <v>42683</v>
      </c>
      <c r="D356" s="162">
        <v>13.44</v>
      </c>
      <c r="E356" s="162">
        <v>13.83</v>
      </c>
      <c r="F356" s="165">
        <v>2016</v>
      </c>
      <c r="G356" s="165"/>
      <c r="H356" s="165"/>
      <c r="I356" s="165"/>
      <c r="J356" s="165"/>
      <c r="K356" s="165"/>
      <c r="L356" s="165"/>
      <c r="M356" s="165"/>
    </row>
    <row r="357" spans="1:13" ht="15" customHeight="1" x14ac:dyDescent="0.3">
      <c r="A357" s="160" t="s">
        <v>446</v>
      </c>
      <c r="B357" s="160" t="s">
        <v>30</v>
      </c>
      <c r="C357" s="161">
        <v>42709</v>
      </c>
      <c r="D357" s="162">
        <v>9.02</v>
      </c>
      <c r="E357" s="162">
        <v>9.8800000000000008</v>
      </c>
      <c r="F357" s="165">
        <v>2016</v>
      </c>
      <c r="G357" s="165"/>
      <c r="H357" s="165"/>
      <c r="I357" s="165"/>
      <c r="J357" s="165"/>
      <c r="K357" s="165"/>
      <c r="L357" s="165"/>
      <c r="M357" s="165"/>
    </row>
    <row r="358" spans="1:13" ht="15" customHeight="1" x14ac:dyDescent="0.3">
      <c r="A358" s="160" t="s">
        <v>447</v>
      </c>
      <c r="B358" s="160" t="s">
        <v>30</v>
      </c>
      <c r="C358" s="161">
        <v>42745</v>
      </c>
      <c r="D358" s="162">
        <v>2.5</v>
      </c>
      <c r="E358" s="162">
        <v>3.03</v>
      </c>
      <c r="F358" s="165">
        <v>2017</v>
      </c>
      <c r="G358" s="165"/>
      <c r="H358" s="165"/>
      <c r="I358" s="165"/>
      <c r="J358" s="165"/>
      <c r="K358" s="165"/>
      <c r="L358" s="165"/>
      <c r="M358" s="165"/>
    </row>
    <row r="359" spans="1:13" ht="15" customHeight="1" x14ac:dyDescent="0.3">
      <c r="A359" s="160" t="s">
        <v>448</v>
      </c>
      <c r="B359" s="160" t="s">
        <v>30</v>
      </c>
      <c r="C359" s="161">
        <v>42774</v>
      </c>
      <c r="D359" s="162">
        <v>3.26</v>
      </c>
      <c r="E359" s="162">
        <v>3.14</v>
      </c>
      <c r="F359" s="165">
        <v>2017</v>
      </c>
      <c r="G359" s="165"/>
      <c r="H359" s="165"/>
      <c r="I359" s="165"/>
      <c r="J359" s="165"/>
      <c r="K359" s="165"/>
      <c r="L359" s="165"/>
      <c r="M359" s="165"/>
    </row>
    <row r="360" spans="1:13" ht="15" customHeight="1" x14ac:dyDescent="0.3">
      <c r="A360" s="160" t="s">
        <v>449</v>
      </c>
      <c r="B360" s="160" t="s">
        <v>30</v>
      </c>
      <c r="C360" s="161">
        <v>42787</v>
      </c>
      <c r="D360" s="162">
        <v>3.36</v>
      </c>
      <c r="E360" s="162">
        <v>2.77</v>
      </c>
      <c r="F360" s="165">
        <v>2017</v>
      </c>
      <c r="G360" s="165"/>
      <c r="H360" s="165"/>
      <c r="I360" s="165"/>
      <c r="J360" s="165"/>
      <c r="K360" s="165"/>
      <c r="L360" s="165"/>
      <c r="M360" s="165"/>
    </row>
    <row r="361" spans="1:13" ht="15" customHeight="1" x14ac:dyDescent="0.3">
      <c r="A361" s="160" t="s">
        <v>450</v>
      </c>
      <c r="B361" s="160" t="s">
        <v>30</v>
      </c>
      <c r="C361" s="161">
        <v>42801</v>
      </c>
      <c r="D361" s="162">
        <v>3.99</v>
      </c>
      <c r="E361" s="162">
        <v>3.54</v>
      </c>
      <c r="F361" s="165">
        <v>2017</v>
      </c>
      <c r="G361" s="165"/>
      <c r="H361" s="165"/>
      <c r="I361" s="165"/>
      <c r="J361" s="165"/>
      <c r="K361" s="165"/>
      <c r="L361" s="165"/>
      <c r="M361" s="165"/>
    </row>
    <row r="362" spans="1:13" ht="15" customHeight="1" x14ac:dyDescent="0.3">
      <c r="A362" s="160" t="s">
        <v>451</v>
      </c>
      <c r="B362" s="160" t="s">
        <v>30</v>
      </c>
      <c r="C362" s="161">
        <v>42829</v>
      </c>
      <c r="D362" s="162">
        <v>5.54</v>
      </c>
      <c r="E362" s="162">
        <v>4.72</v>
      </c>
      <c r="F362" s="165">
        <v>2017</v>
      </c>
      <c r="G362" s="165"/>
      <c r="H362" s="165"/>
      <c r="I362" s="165"/>
      <c r="J362" s="165"/>
      <c r="K362" s="165"/>
      <c r="L362" s="165"/>
      <c r="M362" s="165"/>
    </row>
    <row r="363" spans="1:13" ht="15" customHeight="1" x14ac:dyDescent="0.3">
      <c r="A363" s="160" t="s">
        <v>452</v>
      </c>
      <c r="B363" s="160" t="s">
        <v>30</v>
      </c>
      <c r="C363" s="161">
        <v>42858</v>
      </c>
      <c r="D363" s="162">
        <v>11.95</v>
      </c>
      <c r="E363" s="162">
        <v>11.04</v>
      </c>
      <c r="F363" s="165">
        <v>2017</v>
      </c>
      <c r="G363" s="165"/>
      <c r="H363" s="165"/>
      <c r="I363" s="165"/>
      <c r="J363" s="165"/>
      <c r="K363" s="165"/>
      <c r="L363" s="165"/>
      <c r="M363" s="165"/>
    </row>
    <row r="364" spans="1:13" ht="15" customHeight="1" x14ac:dyDescent="0.3">
      <c r="A364" s="160" t="s">
        <v>453</v>
      </c>
      <c r="B364" s="160" t="s">
        <v>30</v>
      </c>
      <c r="C364" s="161">
        <v>42893</v>
      </c>
      <c r="D364" s="162">
        <v>15.94</v>
      </c>
      <c r="E364" s="162">
        <v>15.54</v>
      </c>
      <c r="F364" s="165">
        <v>2017</v>
      </c>
      <c r="G364" s="165"/>
      <c r="H364" s="165"/>
      <c r="I364" s="165"/>
      <c r="J364" s="165"/>
      <c r="K364" s="165"/>
      <c r="L364" s="165"/>
      <c r="M364" s="165"/>
    </row>
    <row r="365" spans="1:13" ht="15" customHeight="1" x14ac:dyDescent="0.3">
      <c r="A365" s="160" t="s">
        <v>454</v>
      </c>
      <c r="B365" s="160" t="s">
        <v>30</v>
      </c>
      <c r="C365" s="161">
        <v>42907</v>
      </c>
      <c r="D365" s="162">
        <v>18.88</v>
      </c>
      <c r="E365" s="162">
        <v>14.79</v>
      </c>
      <c r="F365" s="165">
        <v>2017</v>
      </c>
      <c r="G365" s="165"/>
      <c r="H365" s="165"/>
      <c r="I365" s="165"/>
      <c r="J365" s="165"/>
      <c r="K365" s="165"/>
      <c r="L365" s="165"/>
      <c r="M365" s="165"/>
    </row>
    <row r="366" spans="1:13" ht="15" customHeight="1" x14ac:dyDescent="0.3">
      <c r="A366" s="160" t="s">
        <v>455</v>
      </c>
      <c r="B366" s="160" t="s">
        <v>30</v>
      </c>
      <c r="C366" s="161">
        <v>42922</v>
      </c>
      <c r="D366" s="162">
        <v>20.3</v>
      </c>
      <c r="E366" s="162">
        <v>16.37</v>
      </c>
      <c r="F366" s="165">
        <v>2017</v>
      </c>
      <c r="G366" s="165"/>
      <c r="H366" s="165"/>
      <c r="I366" s="165"/>
      <c r="J366" s="165"/>
      <c r="K366" s="165"/>
      <c r="L366" s="165"/>
      <c r="M366" s="165"/>
    </row>
    <row r="367" spans="1:13" ht="15" customHeight="1" x14ac:dyDescent="0.3">
      <c r="A367" s="160" t="s">
        <v>456</v>
      </c>
      <c r="B367" s="160" t="s">
        <v>30</v>
      </c>
      <c r="C367" s="161">
        <v>42934</v>
      </c>
      <c r="D367" s="162">
        <v>21.46</v>
      </c>
      <c r="E367" s="162">
        <v>19.71</v>
      </c>
      <c r="F367" s="165">
        <v>2017</v>
      </c>
      <c r="G367" s="165"/>
      <c r="H367" s="165"/>
      <c r="I367" s="165"/>
      <c r="J367" s="165"/>
      <c r="K367" s="165"/>
      <c r="L367" s="165"/>
      <c r="M367" s="165"/>
    </row>
    <row r="368" spans="1:13" ht="15" customHeight="1" x14ac:dyDescent="0.3">
      <c r="A368" s="160" t="s">
        <v>457</v>
      </c>
      <c r="B368" s="160" t="s">
        <v>30</v>
      </c>
      <c r="C368" s="161">
        <v>42948</v>
      </c>
      <c r="D368" s="162">
        <v>23.46</v>
      </c>
      <c r="E368" s="162">
        <v>22.04</v>
      </c>
      <c r="F368" s="165">
        <v>2017</v>
      </c>
      <c r="G368" s="165"/>
      <c r="H368" s="165"/>
      <c r="I368" s="165"/>
      <c r="J368" s="165"/>
      <c r="K368" s="165"/>
      <c r="L368" s="165"/>
      <c r="M368" s="165"/>
    </row>
    <row r="369" spans="1:13" ht="15" customHeight="1" x14ac:dyDescent="0.3">
      <c r="A369" s="160" t="s">
        <v>458</v>
      </c>
      <c r="B369" s="160" t="s">
        <v>30</v>
      </c>
      <c r="C369" s="161">
        <v>42962</v>
      </c>
      <c r="D369" s="162">
        <v>22.89</v>
      </c>
      <c r="E369" s="162">
        <v>21.59</v>
      </c>
      <c r="F369" s="165">
        <v>2017</v>
      </c>
      <c r="G369" s="165"/>
      <c r="H369" s="165"/>
      <c r="I369" s="165"/>
      <c r="J369" s="165"/>
      <c r="K369" s="165"/>
      <c r="L369" s="165"/>
      <c r="M369" s="165"/>
    </row>
    <row r="370" spans="1:13" ht="15" customHeight="1" x14ac:dyDescent="0.3">
      <c r="A370" s="160" t="s">
        <v>459</v>
      </c>
      <c r="B370" s="160" t="s">
        <v>30</v>
      </c>
      <c r="C370" s="161">
        <v>42975</v>
      </c>
      <c r="D370" s="162">
        <v>22.9</v>
      </c>
      <c r="E370" s="162">
        <v>22.51</v>
      </c>
      <c r="F370" s="165">
        <v>2017</v>
      </c>
      <c r="G370" s="165"/>
      <c r="H370" s="165"/>
      <c r="I370" s="165"/>
      <c r="J370" s="165"/>
      <c r="K370" s="165"/>
      <c r="L370" s="165"/>
      <c r="M370" s="165"/>
    </row>
    <row r="371" spans="1:13" ht="15" customHeight="1" x14ac:dyDescent="0.3">
      <c r="A371" s="160" t="s">
        <v>460</v>
      </c>
      <c r="B371" s="160" t="s">
        <v>30</v>
      </c>
      <c r="C371" s="161">
        <v>43018</v>
      </c>
      <c r="D371" s="162">
        <v>21.93</v>
      </c>
      <c r="E371" s="162">
        <v>21.38</v>
      </c>
      <c r="F371" s="165">
        <v>2017</v>
      </c>
      <c r="G371" s="165"/>
      <c r="H371" s="165"/>
      <c r="I371" s="165"/>
      <c r="J371" s="165"/>
      <c r="K371" s="165"/>
      <c r="L371" s="165"/>
      <c r="M371" s="165"/>
    </row>
    <row r="372" spans="1:13" ht="15" customHeight="1" x14ac:dyDescent="0.3">
      <c r="A372" s="160" t="s">
        <v>461</v>
      </c>
      <c r="B372" s="160" t="s">
        <v>30</v>
      </c>
      <c r="C372" s="161">
        <v>43052</v>
      </c>
      <c r="D372" s="162">
        <v>12.64</v>
      </c>
      <c r="E372" s="162">
        <v>13.66</v>
      </c>
      <c r="F372" s="165">
        <v>2017</v>
      </c>
      <c r="G372" s="165"/>
      <c r="H372" s="165"/>
      <c r="I372" s="165"/>
      <c r="J372" s="165"/>
      <c r="K372" s="165"/>
      <c r="L372" s="165"/>
      <c r="M372" s="165"/>
    </row>
    <row r="373" spans="1:13" ht="15" customHeight="1" x14ac:dyDescent="0.3">
      <c r="A373" s="160" t="s">
        <v>462</v>
      </c>
      <c r="B373" s="160" t="s">
        <v>30</v>
      </c>
      <c r="C373" s="161">
        <v>43069</v>
      </c>
      <c r="D373" s="162">
        <v>9.92</v>
      </c>
      <c r="E373" s="162">
        <v>10.37</v>
      </c>
      <c r="F373" s="165">
        <v>2017</v>
      </c>
      <c r="G373" s="165"/>
      <c r="H373" s="165"/>
      <c r="I373" s="165"/>
      <c r="J373" s="165"/>
      <c r="K373" s="165"/>
      <c r="L373" s="165"/>
      <c r="M373" s="165"/>
    </row>
    <row r="374" spans="1:13" ht="15" customHeight="1" x14ac:dyDescent="0.3">
      <c r="A374" s="160" t="s">
        <v>463</v>
      </c>
      <c r="B374" s="160" t="s">
        <v>30</v>
      </c>
      <c r="C374" s="161">
        <v>43111</v>
      </c>
      <c r="D374" s="162">
        <v>0.16</v>
      </c>
      <c r="E374" s="162">
        <v>0.72</v>
      </c>
      <c r="F374" s="165">
        <v>2018</v>
      </c>
      <c r="G374" s="165"/>
      <c r="H374" s="165"/>
      <c r="I374" s="165"/>
      <c r="J374" s="165"/>
      <c r="K374" s="165"/>
      <c r="L374" s="165"/>
      <c r="M374" s="165"/>
    </row>
    <row r="375" spans="1:13" ht="15" customHeight="1" x14ac:dyDescent="0.3">
      <c r="A375" s="160" t="s">
        <v>464</v>
      </c>
      <c r="B375" s="160" t="s">
        <v>30</v>
      </c>
      <c r="C375" s="161">
        <v>43139</v>
      </c>
      <c r="D375" s="163"/>
      <c r="E375" s="163"/>
      <c r="F375" s="163">
        <v>2018</v>
      </c>
      <c r="G375" s="163"/>
      <c r="H375" s="163"/>
      <c r="I375" s="163"/>
      <c r="J375" s="163"/>
      <c r="K375" s="163"/>
      <c r="L375" s="163"/>
      <c r="M375" s="163"/>
    </row>
    <row r="376" spans="1:13" ht="15" customHeight="1" x14ac:dyDescent="0.3">
      <c r="A376" s="160" t="s">
        <v>465</v>
      </c>
      <c r="B376" s="160" t="s">
        <v>30</v>
      </c>
      <c r="C376" s="161">
        <v>43151</v>
      </c>
      <c r="D376" s="162">
        <v>2.4300000000000002</v>
      </c>
      <c r="E376" s="162">
        <v>1.82</v>
      </c>
      <c r="F376" s="165">
        <v>2018</v>
      </c>
      <c r="G376" s="165"/>
      <c r="H376" s="165"/>
      <c r="I376" s="165"/>
      <c r="J376" s="165"/>
      <c r="K376" s="165"/>
      <c r="L376" s="165"/>
      <c r="M376" s="165"/>
    </row>
    <row r="377" spans="1:13" ht="15" customHeight="1" x14ac:dyDescent="0.3">
      <c r="A377" s="160" t="s">
        <v>466</v>
      </c>
      <c r="B377" s="160" t="s">
        <v>30</v>
      </c>
      <c r="C377" s="161">
        <v>43178</v>
      </c>
      <c r="D377" s="162">
        <v>3.46</v>
      </c>
      <c r="E377" s="162">
        <v>3.23</v>
      </c>
      <c r="F377" s="165">
        <v>2018</v>
      </c>
      <c r="G377" s="165"/>
      <c r="H377" s="165"/>
      <c r="I377" s="165"/>
      <c r="J377" s="165"/>
      <c r="K377" s="165"/>
      <c r="L377" s="165"/>
      <c r="M377" s="165"/>
    </row>
    <row r="378" spans="1:13" ht="15" customHeight="1" x14ac:dyDescent="0.3">
      <c r="A378" s="160" t="s">
        <v>467</v>
      </c>
      <c r="B378" s="160" t="s">
        <v>30</v>
      </c>
      <c r="C378" s="161">
        <v>43200</v>
      </c>
      <c r="D378" s="162">
        <v>5.45</v>
      </c>
      <c r="E378" s="162">
        <v>4.72</v>
      </c>
      <c r="F378" s="165">
        <v>2018</v>
      </c>
      <c r="G378" s="165"/>
      <c r="H378" s="165"/>
      <c r="I378" s="165"/>
      <c r="J378" s="165"/>
      <c r="K378" s="165"/>
      <c r="L378" s="165"/>
      <c r="M378" s="165"/>
    </row>
    <row r="379" spans="1:13" ht="15" customHeight="1" x14ac:dyDescent="0.3">
      <c r="A379" s="160" t="s">
        <v>468</v>
      </c>
      <c r="B379" s="160" t="s">
        <v>30</v>
      </c>
      <c r="C379" s="161">
        <v>43222</v>
      </c>
      <c r="D379" s="162">
        <v>9.7799999999999994</v>
      </c>
      <c r="E379" s="162">
        <v>8.86</v>
      </c>
      <c r="F379" s="165">
        <v>2018</v>
      </c>
      <c r="G379" s="165"/>
      <c r="H379" s="165"/>
      <c r="I379" s="165"/>
      <c r="J379" s="165"/>
      <c r="K379" s="165"/>
      <c r="L379" s="165"/>
      <c r="M379" s="165"/>
    </row>
    <row r="380" spans="1:13" ht="15" customHeight="1" x14ac:dyDescent="0.3">
      <c r="A380" s="160" t="s">
        <v>469</v>
      </c>
      <c r="B380" s="160" t="s">
        <v>30</v>
      </c>
      <c r="C380" s="161">
        <v>43256</v>
      </c>
      <c r="D380" s="162">
        <v>17.07</v>
      </c>
      <c r="E380" s="162">
        <v>15.07</v>
      </c>
      <c r="F380" s="165">
        <v>2018</v>
      </c>
      <c r="G380" s="165"/>
      <c r="H380" s="165"/>
      <c r="I380" s="165"/>
      <c r="J380" s="165"/>
      <c r="K380" s="165"/>
      <c r="L380" s="165"/>
      <c r="M380" s="165"/>
    </row>
    <row r="381" spans="1:13" ht="15" customHeight="1" x14ac:dyDescent="0.3">
      <c r="A381" s="160" t="s">
        <v>470</v>
      </c>
      <c r="B381" s="160" t="s">
        <v>30</v>
      </c>
      <c r="C381" s="161">
        <v>43263</v>
      </c>
      <c r="D381" s="162">
        <v>17.28</v>
      </c>
      <c r="E381" s="162">
        <v>15.03</v>
      </c>
      <c r="F381" s="165">
        <v>2018</v>
      </c>
      <c r="G381" s="165"/>
      <c r="H381" s="165"/>
      <c r="I381" s="165"/>
      <c r="J381" s="165"/>
      <c r="K381" s="165"/>
      <c r="L381" s="165"/>
      <c r="M381" s="165"/>
    </row>
    <row r="382" spans="1:13" ht="15" customHeight="1" x14ac:dyDescent="0.3">
      <c r="A382" s="160" t="s">
        <v>471</v>
      </c>
      <c r="B382" s="160" t="s">
        <v>30</v>
      </c>
      <c r="C382" s="161">
        <v>43286</v>
      </c>
      <c r="D382" s="162">
        <v>21.68</v>
      </c>
      <c r="E382" s="162">
        <v>16.04</v>
      </c>
      <c r="F382" s="165">
        <v>2018</v>
      </c>
      <c r="G382" s="165"/>
      <c r="H382" s="165"/>
      <c r="I382" s="165"/>
      <c r="J382" s="165"/>
      <c r="K382" s="165"/>
      <c r="L382" s="165"/>
      <c r="M382" s="165"/>
    </row>
    <row r="383" spans="1:13" ht="15" customHeight="1" x14ac:dyDescent="0.3">
      <c r="A383" s="160" t="s">
        <v>472</v>
      </c>
      <c r="B383" s="160" t="s">
        <v>30</v>
      </c>
      <c r="C383" s="161">
        <v>43297</v>
      </c>
      <c r="D383" s="162">
        <v>20.38</v>
      </c>
      <c r="E383" s="162">
        <v>17.91</v>
      </c>
      <c r="F383" s="165">
        <v>2018</v>
      </c>
      <c r="G383" s="165"/>
      <c r="H383" s="165"/>
      <c r="I383" s="165"/>
      <c r="J383" s="165"/>
      <c r="K383" s="165"/>
      <c r="L383" s="165"/>
      <c r="M383" s="165"/>
    </row>
    <row r="384" spans="1:13" ht="15" customHeight="1" x14ac:dyDescent="0.3">
      <c r="A384" s="160" t="s">
        <v>473</v>
      </c>
      <c r="B384" s="160" t="s">
        <v>30</v>
      </c>
      <c r="C384" s="161">
        <v>43314</v>
      </c>
      <c r="D384" s="162">
        <v>23.42</v>
      </c>
      <c r="E384" s="162">
        <v>20.99</v>
      </c>
      <c r="F384" s="165">
        <v>2018</v>
      </c>
      <c r="G384" s="165"/>
      <c r="H384" s="165"/>
      <c r="I384" s="165"/>
      <c r="J384" s="165"/>
      <c r="K384" s="165"/>
      <c r="L384" s="165"/>
      <c r="M384" s="165"/>
    </row>
    <row r="385" spans="1:13" ht="15" customHeight="1" x14ac:dyDescent="0.3">
      <c r="A385" s="160" t="s">
        <v>474</v>
      </c>
      <c r="B385" s="160" t="s">
        <v>30</v>
      </c>
      <c r="C385" s="161">
        <v>43327</v>
      </c>
      <c r="D385" s="162">
        <v>23.63</v>
      </c>
      <c r="E385" s="162">
        <v>23.24</v>
      </c>
      <c r="F385" s="165">
        <v>2018</v>
      </c>
      <c r="G385" s="165"/>
      <c r="H385" s="165"/>
      <c r="I385" s="165"/>
      <c r="J385" s="165"/>
      <c r="K385" s="165"/>
      <c r="L385" s="165"/>
      <c r="M385" s="165"/>
    </row>
    <row r="386" spans="1:13" ht="15" customHeight="1" x14ac:dyDescent="0.3">
      <c r="A386" s="160" t="s">
        <v>475</v>
      </c>
      <c r="B386" s="160" t="s">
        <v>30</v>
      </c>
      <c r="C386" s="161">
        <v>43339</v>
      </c>
      <c r="D386" s="162">
        <v>24.11</v>
      </c>
      <c r="E386" s="162">
        <v>23.12</v>
      </c>
      <c r="F386" s="165">
        <v>2018</v>
      </c>
      <c r="G386" s="165"/>
      <c r="H386" s="165"/>
      <c r="I386" s="165"/>
      <c r="J386" s="165"/>
      <c r="K386" s="165"/>
      <c r="L386" s="165"/>
      <c r="M386" s="165"/>
    </row>
    <row r="387" spans="1:13" ht="15" customHeight="1" x14ac:dyDescent="0.3">
      <c r="A387" s="160" t="s">
        <v>476</v>
      </c>
      <c r="B387" s="160" t="s">
        <v>30</v>
      </c>
      <c r="C387" s="161">
        <v>43355</v>
      </c>
      <c r="D387" s="162">
        <v>22.59</v>
      </c>
      <c r="E387" s="162">
        <v>22.59</v>
      </c>
      <c r="F387" s="165">
        <v>2018</v>
      </c>
      <c r="G387" s="165"/>
      <c r="H387" s="165"/>
      <c r="I387" s="165"/>
      <c r="J387" s="165"/>
      <c r="K387" s="165"/>
      <c r="L387" s="165"/>
      <c r="M387" s="165"/>
    </row>
    <row r="388" spans="1:13" ht="15" customHeight="1" x14ac:dyDescent="0.3">
      <c r="A388" s="160" t="s">
        <v>477</v>
      </c>
      <c r="B388" s="160" t="s">
        <v>30</v>
      </c>
      <c r="C388" s="161">
        <v>43376</v>
      </c>
      <c r="D388" s="162">
        <v>21.4</v>
      </c>
      <c r="E388" s="162">
        <v>21.04</v>
      </c>
      <c r="F388" s="165">
        <v>2018</v>
      </c>
      <c r="G388" s="165"/>
      <c r="H388" s="165"/>
      <c r="I388" s="165"/>
      <c r="J388" s="165"/>
      <c r="K388" s="165"/>
      <c r="L388" s="165"/>
      <c r="M388" s="165"/>
    </row>
    <row r="389" spans="1:13" ht="15" customHeight="1" x14ac:dyDescent="0.3">
      <c r="A389" s="160" t="s">
        <v>478</v>
      </c>
      <c r="B389" s="160" t="s">
        <v>30</v>
      </c>
      <c r="C389" s="161">
        <v>43410</v>
      </c>
      <c r="D389" s="162">
        <v>13.84</v>
      </c>
      <c r="E389" s="162">
        <v>14.07</v>
      </c>
      <c r="F389" s="165">
        <v>2018</v>
      </c>
      <c r="G389" s="165"/>
      <c r="H389" s="165"/>
      <c r="I389" s="165"/>
      <c r="J389" s="165"/>
      <c r="K389" s="165"/>
      <c r="L389" s="165"/>
      <c r="M389" s="165"/>
    </row>
    <row r="390" spans="1:13" ht="15" customHeight="1" x14ac:dyDescent="0.3">
      <c r="A390" s="160" t="s">
        <v>479</v>
      </c>
      <c r="B390" s="160" t="s">
        <v>30</v>
      </c>
      <c r="C390" s="161">
        <v>43437</v>
      </c>
      <c r="D390" s="162">
        <v>7.63</v>
      </c>
      <c r="E390" s="162">
        <v>7.72</v>
      </c>
      <c r="F390" s="165">
        <v>2018</v>
      </c>
      <c r="G390" s="165"/>
      <c r="H390" s="165"/>
      <c r="I390" s="165"/>
      <c r="J390" s="165"/>
      <c r="K390" s="165"/>
      <c r="L390" s="165"/>
      <c r="M390" s="165"/>
    </row>
    <row r="391" spans="1:13" ht="15" customHeight="1" x14ac:dyDescent="0.3">
      <c r="A391" s="160" t="s">
        <v>6</v>
      </c>
      <c r="B391" s="160" t="s">
        <v>30</v>
      </c>
      <c r="C391" s="161">
        <v>43468</v>
      </c>
      <c r="D391" s="162">
        <v>5.42</v>
      </c>
      <c r="E391" s="162">
        <v>5.59</v>
      </c>
      <c r="F391" s="165">
        <v>2019</v>
      </c>
      <c r="G391" s="165"/>
      <c r="H391" s="165"/>
      <c r="I391" s="165"/>
      <c r="J391" s="165"/>
      <c r="K391" s="165"/>
      <c r="L391" s="165"/>
      <c r="M391" s="165"/>
    </row>
    <row r="392" spans="1:13" ht="15" customHeight="1" x14ac:dyDescent="0.3">
      <c r="A392" s="160" t="s">
        <v>7</v>
      </c>
      <c r="B392" s="160" t="s">
        <v>30</v>
      </c>
      <c r="C392" s="161">
        <v>43503</v>
      </c>
      <c r="D392" s="162">
        <v>1.44</v>
      </c>
      <c r="E392" s="162">
        <v>1.45</v>
      </c>
      <c r="F392" s="165">
        <v>2019</v>
      </c>
      <c r="G392" s="165"/>
      <c r="H392" s="165"/>
      <c r="I392" s="165"/>
      <c r="J392" s="165"/>
      <c r="K392" s="165"/>
      <c r="L392" s="165"/>
      <c r="M392" s="165"/>
    </row>
    <row r="393" spans="1:13" ht="15" customHeight="1" x14ac:dyDescent="0.3">
      <c r="A393" s="160" t="s">
        <v>8</v>
      </c>
      <c r="B393" s="160" t="s">
        <v>30</v>
      </c>
      <c r="C393" s="161">
        <v>43517</v>
      </c>
      <c r="D393" s="162">
        <v>1.65</v>
      </c>
      <c r="E393" s="162">
        <v>1.61</v>
      </c>
      <c r="F393" s="165">
        <v>2019</v>
      </c>
      <c r="G393" s="165"/>
      <c r="H393" s="165"/>
      <c r="I393" s="165"/>
      <c r="J393" s="165"/>
      <c r="K393" s="165"/>
      <c r="L393" s="165"/>
      <c r="M393" s="165"/>
    </row>
    <row r="394" spans="1:13" ht="15" customHeight="1" x14ac:dyDescent="0.3">
      <c r="A394" s="160" t="s">
        <v>9</v>
      </c>
      <c r="B394" s="160" t="s">
        <v>30</v>
      </c>
      <c r="C394" s="161">
        <v>43529</v>
      </c>
      <c r="D394" s="162">
        <v>1.82</v>
      </c>
      <c r="E394" s="162">
        <v>1.78</v>
      </c>
      <c r="F394" s="165">
        <v>2019</v>
      </c>
      <c r="G394" s="165"/>
      <c r="H394" s="165"/>
      <c r="I394" s="165"/>
      <c r="J394" s="165"/>
      <c r="K394" s="165"/>
      <c r="L394" s="165"/>
      <c r="M394" s="165"/>
    </row>
    <row r="395" spans="1:13" ht="15" customHeight="1" x14ac:dyDescent="0.3">
      <c r="A395" s="160" t="s">
        <v>10</v>
      </c>
      <c r="B395" s="160" t="s">
        <v>30</v>
      </c>
      <c r="C395" s="161">
        <v>43558</v>
      </c>
      <c r="D395" s="162">
        <v>5.36</v>
      </c>
      <c r="E395" s="162">
        <v>4.25</v>
      </c>
      <c r="F395" s="165">
        <v>2019</v>
      </c>
      <c r="G395" s="165"/>
      <c r="H395" s="165"/>
      <c r="I395" s="165"/>
      <c r="J395" s="165"/>
      <c r="K395" s="165"/>
      <c r="L395" s="165"/>
      <c r="M395" s="165"/>
    </row>
    <row r="396" spans="1:13" ht="15" customHeight="1" x14ac:dyDescent="0.3">
      <c r="A396" s="160" t="s">
        <v>11</v>
      </c>
      <c r="B396" s="160" t="s">
        <v>30</v>
      </c>
      <c r="C396" s="161">
        <v>43592</v>
      </c>
      <c r="D396" s="162">
        <v>11.99</v>
      </c>
      <c r="E396" s="162">
        <v>11.23</v>
      </c>
      <c r="F396" s="165">
        <v>2019</v>
      </c>
      <c r="G396" s="165"/>
      <c r="H396" s="165"/>
      <c r="I396" s="165"/>
      <c r="J396" s="165"/>
      <c r="K396" s="165"/>
      <c r="L396" s="165"/>
      <c r="M396" s="165"/>
    </row>
    <row r="397" spans="1:13" ht="15" customHeight="1" x14ac:dyDescent="0.3">
      <c r="A397" s="160" t="s">
        <v>12</v>
      </c>
      <c r="B397" s="160" t="s">
        <v>30</v>
      </c>
      <c r="C397" s="161">
        <v>43615</v>
      </c>
      <c r="D397" s="162">
        <v>15.52</v>
      </c>
      <c r="E397" s="162">
        <v>11.83</v>
      </c>
      <c r="F397" s="165">
        <v>2019</v>
      </c>
      <c r="G397" s="165"/>
      <c r="H397" s="165"/>
      <c r="I397" s="165"/>
      <c r="J397" s="165"/>
      <c r="K397" s="165"/>
      <c r="L397" s="165"/>
      <c r="M397" s="165"/>
    </row>
    <row r="398" spans="1:13" ht="15" customHeight="1" x14ac:dyDescent="0.3">
      <c r="A398" s="160" t="s">
        <v>13</v>
      </c>
      <c r="B398" s="160" t="s">
        <v>30</v>
      </c>
      <c r="C398" s="161">
        <v>43628</v>
      </c>
      <c r="D398" s="162">
        <v>17.100000000000001</v>
      </c>
      <c r="E398" s="162">
        <v>16.010000000000002</v>
      </c>
      <c r="F398" s="165">
        <v>2019</v>
      </c>
      <c r="G398" s="165"/>
      <c r="H398" s="165"/>
      <c r="I398" s="165"/>
      <c r="J398" s="165"/>
      <c r="K398" s="165"/>
      <c r="L398" s="165"/>
      <c r="M398" s="165"/>
    </row>
    <row r="399" spans="1:13" ht="15" customHeight="1" x14ac:dyDescent="0.3">
      <c r="A399" s="160" t="s">
        <v>14</v>
      </c>
      <c r="B399" s="160" t="s">
        <v>30</v>
      </c>
      <c r="C399" s="161">
        <v>43648</v>
      </c>
      <c r="D399" s="162">
        <v>17.82</v>
      </c>
      <c r="E399" s="162">
        <v>15.27</v>
      </c>
      <c r="F399" s="165">
        <v>2019</v>
      </c>
      <c r="G399" s="165"/>
      <c r="H399" s="165"/>
      <c r="I399" s="165"/>
      <c r="J399" s="165"/>
      <c r="K399" s="165"/>
      <c r="L399" s="165"/>
      <c r="M399" s="165"/>
    </row>
    <row r="400" spans="1:13" ht="15" customHeight="1" x14ac:dyDescent="0.3">
      <c r="A400" s="160" t="s">
        <v>15</v>
      </c>
      <c r="B400" s="160" t="s">
        <v>30</v>
      </c>
      <c r="C400" s="161">
        <v>43661</v>
      </c>
      <c r="D400" s="162">
        <v>20.34</v>
      </c>
      <c r="E400" s="162">
        <v>17.350000000000001</v>
      </c>
      <c r="F400" s="165">
        <v>2019</v>
      </c>
      <c r="G400" s="165"/>
      <c r="H400" s="165"/>
      <c r="I400" s="165"/>
      <c r="J400" s="165"/>
      <c r="K400" s="165"/>
      <c r="L400" s="165"/>
      <c r="M400" s="165"/>
    </row>
    <row r="401" spans="1:13" ht="15" customHeight="1" x14ac:dyDescent="0.3">
      <c r="A401" s="160" t="s">
        <v>16</v>
      </c>
      <c r="B401" s="160" t="s">
        <v>30</v>
      </c>
      <c r="C401" s="161">
        <v>43676</v>
      </c>
      <c r="D401" s="162">
        <v>23.1</v>
      </c>
      <c r="E401" s="162">
        <v>18.559999999999999</v>
      </c>
      <c r="F401" s="165">
        <v>2019</v>
      </c>
      <c r="G401" s="165"/>
      <c r="H401" s="165"/>
      <c r="I401" s="165"/>
      <c r="J401" s="165"/>
      <c r="K401" s="165"/>
      <c r="L401" s="165"/>
      <c r="M401" s="165"/>
    </row>
    <row r="402" spans="1:13" ht="15" customHeight="1" x14ac:dyDescent="0.3">
      <c r="A402" s="160" t="s">
        <v>17</v>
      </c>
      <c r="B402" s="160" t="s">
        <v>30</v>
      </c>
      <c r="C402" s="161">
        <v>43689</v>
      </c>
      <c r="D402" s="162">
        <v>22.25</v>
      </c>
      <c r="E402" s="162">
        <v>20.59</v>
      </c>
      <c r="F402" s="165">
        <v>2019</v>
      </c>
      <c r="G402" s="165"/>
      <c r="H402" s="165"/>
      <c r="I402" s="165"/>
      <c r="J402" s="165"/>
      <c r="K402" s="165"/>
      <c r="L402" s="165"/>
      <c r="M402" s="165"/>
    </row>
    <row r="403" spans="1:13" ht="15" customHeight="1" x14ac:dyDescent="0.3">
      <c r="A403" s="160" t="s">
        <v>18</v>
      </c>
      <c r="B403" s="160" t="s">
        <v>30</v>
      </c>
      <c r="C403" s="161">
        <v>43705</v>
      </c>
      <c r="D403" s="162">
        <v>22.88</v>
      </c>
      <c r="E403" s="162">
        <v>22.81</v>
      </c>
      <c r="F403" s="165">
        <v>2019</v>
      </c>
      <c r="G403" s="165"/>
      <c r="H403" s="165"/>
      <c r="I403" s="165"/>
      <c r="J403" s="165"/>
      <c r="K403" s="165"/>
      <c r="L403" s="165"/>
      <c r="M403" s="165"/>
    </row>
    <row r="404" spans="1:13" ht="15" customHeight="1" x14ac:dyDescent="0.3">
      <c r="A404" s="160" t="s">
        <v>19</v>
      </c>
      <c r="B404" s="160" t="s">
        <v>30</v>
      </c>
      <c r="C404" s="161">
        <v>43718</v>
      </c>
      <c r="D404" s="162">
        <v>22.2</v>
      </c>
      <c r="E404" s="162">
        <v>22.19</v>
      </c>
      <c r="F404" s="165">
        <v>2019</v>
      </c>
      <c r="G404" s="165"/>
      <c r="H404" s="165"/>
      <c r="I404" s="165"/>
      <c r="J404" s="165"/>
      <c r="K404" s="165"/>
      <c r="L404" s="165"/>
      <c r="M404" s="165"/>
    </row>
    <row r="405" spans="1:13" ht="15" customHeight="1" x14ac:dyDescent="0.3">
      <c r="A405" s="160" t="s">
        <v>39</v>
      </c>
      <c r="B405" s="160" t="s">
        <v>30</v>
      </c>
      <c r="C405" s="161">
        <v>43739</v>
      </c>
      <c r="D405" s="162">
        <v>21.25</v>
      </c>
      <c r="E405" s="162">
        <v>21.23</v>
      </c>
      <c r="F405" s="165">
        <v>2019</v>
      </c>
      <c r="G405" s="165"/>
      <c r="H405" s="165"/>
      <c r="I405" s="165"/>
      <c r="J405" s="165"/>
      <c r="K405" s="165"/>
      <c r="L405" s="165"/>
      <c r="M405" s="165"/>
    </row>
    <row r="406" spans="1:13" ht="15" customHeight="1" x14ac:dyDescent="0.3">
      <c r="A406" s="160" t="s">
        <v>40</v>
      </c>
      <c r="B406" s="160" t="s">
        <v>30</v>
      </c>
      <c r="C406" s="161">
        <v>43774</v>
      </c>
      <c r="D406" s="162">
        <v>14.67</v>
      </c>
      <c r="E406" s="162">
        <v>15.43</v>
      </c>
      <c r="F406" s="165">
        <v>2019</v>
      </c>
      <c r="G406" s="165"/>
      <c r="H406" s="165"/>
      <c r="I406" s="165"/>
      <c r="J406" s="165"/>
      <c r="K406" s="165"/>
      <c r="L406" s="165"/>
      <c r="M406" s="165"/>
    </row>
    <row r="407" spans="1:13" ht="15" customHeight="1" x14ac:dyDescent="0.3">
      <c r="A407" s="160" t="s">
        <v>41</v>
      </c>
      <c r="B407" s="160" t="s">
        <v>30</v>
      </c>
      <c r="C407" s="161">
        <v>43805</v>
      </c>
      <c r="D407" s="162">
        <v>6.27</v>
      </c>
      <c r="E407" s="162">
        <v>6.94</v>
      </c>
      <c r="F407" s="165">
        <v>2019</v>
      </c>
      <c r="G407" s="165"/>
      <c r="H407" s="165"/>
      <c r="I407" s="165"/>
      <c r="J407" s="165"/>
      <c r="K407" s="165"/>
      <c r="L407" s="165"/>
      <c r="M407" s="165"/>
    </row>
    <row r="408" spans="1:13" ht="15" customHeight="1" x14ac:dyDescent="0.3">
      <c r="A408" s="160" t="s">
        <v>502</v>
      </c>
      <c r="B408" s="160" t="s">
        <v>30</v>
      </c>
      <c r="C408" s="161">
        <v>43839</v>
      </c>
      <c r="D408" s="162">
        <v>4.25</v>
      </c>
      <c r="E408" s="162">
        <v>4.3</v>
      </c>
      <c r="F408" s="165">
        <v>2020</v>
      </c>
      <c r="G408" s="165"/>
      <c r="H408" s="165"/>
      <c r="I408" s="165"/>
      <c r="J408" s="165"/>
      <c r="K408" s="165"/>
      <c r="L408" s="165"/>
      <c r="M408" s="165"/>
    </row>
    <row r="409" spans="1:13" ht="15" customHeight="1" x14ac:dyDescent="0.3">
      <c r="A409" s="160" t="s">
        <v>503</v>
      </c>
      <c r="B409" s="160" t="s">
        <v>30</v>
      </c>
      <c r="C409" s="161">
        <v>43864</v>
      </c>
      <c r="D409" s="163"/>
      <c r="E409" s="163"/>
      <c r="F409" s="163">
        <v>2020</v>
      </c>
      <c r="G409" s="163"/>
      <c r="H409" s="163"/>
      <c r="I409" s="163"/>
      <c r="J409" s="163"/>
      <c r="K409" s="163"/>
      <c r="L409" s="163"/>
      <c r="M409" s="163"/>
    </row>
    <row r="410" spans="1:13" ht="15" customHeight="1" x14ac:dyDescent="0.3">
      <c r="A410" s="160" t="s">
        <v>504</v>
      </c>
      <c r="B410" s="160" t="s">
        <v>30</v>
      </c>
      <c r="C410" s="161">
        <v>43900</v>
      </c>
      <c r="D410" s="162">
        <v>4.9800000000000004</v>
      </c>
      <c r="E410" s="162">
        <v>4.74</v>
      </c>
      <c r="F410" s="165">
        <v>2020</v>
      </c>
      <c r="G410" s="165"/>
      <c r="H410" s="165"/>
      <c r="I410" s="165"/>
      <c r="J410" s="165"/>
      <c r="K410" s="165"/>
      <c r="L410" s="165"/>
      <c r="M410" s="165"/>
    </row>
    <row r="411" spans="1:13" ht="15" customHeight="1" x14ac:dyDescent="0.3">
      <c r="A411" s="160" t="s">
        <v>510</v>
      </c>
      <c r="B411" s="160" t="s">
        <v>30</v>
      </c>
      <c r="C411" s="161">
        <v>43999</v>
      </c>
      <c r="D411" s="162">
        <v>18.41</v>
      </c>
      <c r="E411" s="162">
        <v>14.37</v>
      </c>
      <c r="F411" s="165">
        <v>2020</v>
      </c>
      <c r="G411" s="165"/>
      <c r="H411" s="165"/>
      <c r="I411" s="165"/>
      <c r="J411" s="165"/>
      <c r="K411" s="165"/>
      <c r="L411" s="165"/>
      <c r="M411" s="165"/>
    </row>
    <row r="412" spans="1:13" ht="15" customHeight="1" x14ac:dyDescent="0.3">
      <c r="A412" s="160" t="s">
        <v>505</v>
      </c>
      <c r="B412" s="160" t="s">
        <v>30</v>
      </c>
      <c r="C412" s="161">
        <v>44019</v>
      </c>
      <c r="D412" s="162">
        <v>21.21</v>
      </c>
      <c r="E412" s="162">
        <v>17.670000000000002</v>
      </c>
      <c r="F412" s="165">
        <v>2020</v>
      </c>
      <c r="G412" s="165"/>
      <c r="H412" s="165"/>
      <c r="I412" s="165"/>
      <c r="J412" s="165"/>
      <c r="K412" s="165"/>
      <c r="L412" s="165"/>
      <c r="M412" s="165"/>
    </row>
    <row r="413" spans="1:13" ht="15" customHeight="1" x14ac:dyDescent="0.3">
      <c r="A413" s="160" t="s">
        <v>511</v>
      </c>
      <c r="B413" s="160" t="s">
        <v>30</v>
      </c>
      <c r="C413" s="161">
        <v>44032</v>
      </c>
      <c r="D413" s="162">
        <v>22.59</v>
      </c>
      <c r="E413" s="162">
        <v>19.16</v>
      </c>
      <c r="F413" s="165">
        <v>2020</v>
      </c>
      <c r="G413" s="165"/>
      <c r="H413" s="165"/>
      <c r="I413" s="165"/>
      <c r="J413" s="165"/>
      <c r="K413" s="165"/>
      <c r="L413" s="165"/>
      <c r="M413" s="165"/>
    </row>
    <row r="414" spans="1:13" ht="15" customHeight="1" x14ac:dyDescent="0.3">
      <c r="A414" s="160" t="s">
        <v>506</v>
      </c>
      <c r="B414" s="160" t="s">
        <v>30</v>
      </c>
      <c r="C414" s="161">
        <v>44055</v>
      </c>
      <c r="D414" s="162">
        <v>24.5</v>
      </c>
      <c r="E414" s="162">
        <v>21.58</v>
      </c>
      <c r="F414" s="165">
        <v>2020</v>
      </c>
      <c r="G414" s="165"/>
      <c r="H414" s="165"/>
      <c r="I414" s="165"/>
      <c r="J414" s="165"/>
      <c r="K414" s="165"/>
      <c r="L414" s="165"/>
      <c r="M414" s="165"/>
    </row>
    <row r="415" spans="1:13" ht="15" customHeight="1" x14ac:dyDescent="0.3">
      <c r="A415" s="160" t="s">
        <v>512</v>
      </c>
      <c r="B415" s="160" t="s">
        <v>30</v>
      </c>
      <c r="C415" s="161">
        <v>44075</v>
      </c>
      <c r="D415" s="162">
        <v>23.38</v>
      </c>
      <c r="E415" s="162">
        <v>23.15</v>
      </c>
      <c r="F415" s="165">
        <v>2020</v>
      </c>
      <c r="G415" s="165"/>
      <c r="H415" s="165"/>
      <c r="I415" s="165"/>
      <c r="J415" s="165"/>
      <c r="K415" s="165"/>
      <c r="L415" s="165"/>
      <c r="M415" s="165"/>
    </row>
    <row r="416" spans="1:13" ht="15" customHeight="1" x14ac:dyDescent="0.3">
      <c r="A416" s="160" t="s">
        <v>507</v>
      </c>
      <c r="B416" s="160" t="s">
        <v>30</v>
      </c>
      <c r="C416" s="161">
        <v>44083</v>
      </c>
      <c r="D416" s="162">
        <v>23.86</v>
      </c>
      <c r="E416" s="162">
        <v>23.26</v>
      </c>
      <c r="F416" s="165">
        <v>2020</v>
      </c>
      <c r="G416" s="165"/>
      <c r="H416" s="165"/>
      <c r="I416" s="165"/>
      <c r="J416" s="165"/>
      <c r="K416" s="165"/>
      <c r="L416" s="165"/>
      <c r="M416" s="165"/>
    </row>
    <row r="417" spans="1:13" ht="15" customHeight="1" x14ac:dyDescent="0.3">
      <c r="A417" s="160" t="s">
        <v>508</v>
      </c>
      <c r="B417" s="160" t="s">
        <v>30</v>
      </c>
      <c r="C417" s="161">
        <v>44118</v>
      </c>
      <c r="D417" s="162">
        <v>17.98</v>
      </c>
      <c r="E417" s="162">
        <v>17.93</v>
      </c>
      <c r="F417" s="165">
        <v>2020</v>
      </c>
      <c r="G417" s="165"/>
      <c r="H417" s="165"/>
      <c r="I417" s="165"/>
      <c r="J417" s="165"/>
      <c r="K417" s="165"/>
      <c r="L417" s="165"/>
      <c r="M417" s="165"/>
    </row>
    <row r="418" spans="1:13" ht="15" customHeight="1" x14ac:dyDescent="0.3">
      <c r="A418" s="160" t="s">
        <v>509</v>
      </c>
      <c r="B418" s="160" t="s">
        <v>30</v>
      </c>
      <c r="C418" s="161">
        <v>44141</v>
      </c>
      <c r="D418" s="162">
        <v>13.65</v>
      </c>
      <c r="E418" s="162">
        <v>14.02</v>
      </c>
      <c r="F418" s="165">
        <v>2020</v>
      </c>
      <c r="G418" s="165"/>
      <c r="H418" s="165"/>
      <c r="I418" s="165"/>
      <c r="J418" s="165"/>
      <c r="K418" s="165"/>
      <c r="L418" s="165"/>
      <c r="M418" s="165"/>
    </row>
    <row r="419" spans="1:13" ht="15" customHeight="1" x14ac:dyDescent="0.3">
      <c r="A419" s="160" t="s">
        <v>522</v>
      </c>
      <c r="B419" s="160" t="s">
        <v>30</v>
      </c>
      <c r="C419" s="161">
        <v>44265</v>
      </c>
      <c r="D419" s="162">
        <v>3.22</v>
      </c>
      <c r="E419" s="162">
        <v>2.4700000000000002</v>
      </c>
      <c r="F419" s="165">
        <v>2021</v>
      </c>
      <c r="G419" s="165"/>
      <c r="H419" s="165"/>
      <c r="I419" s="165"/>
      <c r="J419" s="165"/>
      <c r="K419" s="165"/>
      <c r="L419" s="165"/>
      <c r="M419" s="165"/>
    </row>
    <row r="420" spans="1:13" ht="15" customHeight="1" x14ac:dyDescent="0.3">
      <c r="A420" s="160" t="s">
        <v>523</v>
      </c>
      <c r="B420" s="160" t="s">
        <v>30</v>
      </c>
      <c r="C420" s="161">
        <v>44293</v>
      </c>
      <c r="D420" s="162">
        <v>7.87</v>
      </c>
      <c r="E420" s="162">
        <v>6.51</v>
      </c>
      <c r="F420" s="165">
        <v>2021</v>
      </c>
      <c r="G420" s="165"/>
      <c r="H420" s="165"/>
      <c r="I420" s="165"/>
      <c r="J420" s="165"/>
      <c r="K420" s="165"/>
      <c r="L420" s="165"/>
      <c r="M420" s="165"/>
    </row>
    <row r="421" spans="1:13" ht="15" customHeight="1" x14ac:dyDescent="0.3">
      <c r="A421" s="160" t="s">
        <v>524</v>
      </c>
      <c r="B421" s="160" t="s">
        <v>30</v>
      </c>
      <c r="C421" s="161">
        <v>44321</v>
      </c>
      <c r="D421" s="162">
        <v>10.87</v>
      </c>
      <c r="E421" s="162">
        <v>9.94</v>
      </c>
      <c r="F421" s="165">
        <v>2021</v>
      </c>
      <c r="G421" s="165"/>
      <c r="H421" s="165"/>
      <c r="I421" s="165"/>
      <c r="J421" s="165"/>
      <c r="K421" s="165"/>
      <c r="L421" s="165"/>
      <c r="M421" s="165"/>
    </row>
    <row r="422" spans="1:13" ht="15" customHeight="1" x14ac:dyDescent="0.3">
      <c r="A422" s="160" t="s">
        <v>525</v>
      </c>
      <c r="B422" s="160" t="s">
        <v>30</v>
      </c>
      <c r="C422" s="161">
        <v>44355</v>
      </c>
      <c r="D422" s="162">
        <v>15.75</v>
      </c>
      <c r="E422" s="162">
        <v>13.62</v>
      </c>
      <c r="F422" s="165">
        <v>2021</v>
      </c>
      <c r="G422" s="165"/>
      <c r="H422" s="165"/>
      <c r="I422" s="165"/>
      <c r="J422" s="165"/>
      <c r="K422" s="165"/>
      <c r="L422" s="165"/>
      <c r="M422" s="165"/>
    </row>
    <row r="423" spans="1:13" ht="15" customHeight="1" x14ac:dyDescent="0.3">
      <c r="A423" s="160" t="s">
        <v>526</v>
      </c>
      <c r="B423" s="160" t="s">
        <v>30</v>
      </c>
      <c r="C423" s="161">
        <v>44369</v>
      </c>
      <c r="D423" s="162">
        <v>18.23</v>
      </c>
      <c r="E423" s="162">
        <v>14.92</v>
      </c>
      <c r="F423" s="165">
        <v>2021</v>
      </c>
      <c r="G423" s="165"/>
      <c r="H423" s="165"/>
      <c r="I423" s="165"/>
      <c r="J423" s="165"/>
      <c r="K423" s="165"/>
      <c r="L423" s="165"/>
      <c r="M423" s="165"/>
    </row>
    <row r="424" spans="1:13" ht="15" customHeight="1" x14ac:dyDescent="0.3">
      <c r="A424" s="160" t="s">
        <v>527</v>
      </c>
      <c r="B424" s="160" t="s">
        <v>30</v>
      </c>
      <c r="C424" s="161">
        <v>44385</v>
      </c>
      <c r="D424" s="162">
        <v>22.29</v>
      </c>
      <c r="E424" s="162">
        <v>18.170000000000002</v>
      </c>
      <c r="F424" s="165">
        <v>2021</v>
      </c>
      <c r="G424" s="165"/>
      <c r="H424" s="165"/>
      <c r="I424" s="165"/>
      <c r="J424" s="165"/>
      <c r="K424" s="165"/>
      <c r="L424" s="165"/>
      <c r="M424" s="165"/>
    </row>
    <row r="425" spans="1:13" ht="15" customHeight="1" x14ac:dyDescent="0.3">
      <c r="A425" s="160" t="s">
        <v>528</v>
      </c>
      <c r="B425" s="160" t="s">
        <v>30</v>
      </c>
      <c r="C425" s="161">
        <v>44396</v>
      </c>
      <c r="D425" s="162">
        <v>23.44</v>
      </c>
      <c r="E425" s="162">
        <v>19.39</v>
      </c>
      <c r="F425" s="165">
        <v>2021</v>
      </c>
      <c r="G425" s="165"/>
      <c r="H425" s="165"/>
      <c r="I425" s="165"/>
      <c r="J425" s="165"/>
      <c r="K425" s="165"/>
      <c r="L425" s="165"/>
      <c r="M425" s="165"/>
    </row>
    <row r="426" spans="1:13" ht="15" customHeight="1" x14ac:dyDescent="0.3">
      <c r="A426" s="160" t="s">
        <v>529</v>
      </c>
      <c r="B426" s="160" t="s">
        <v>30</v>
      </c>
      <c r="C426" s="161">
        <v>44411</v>
      </c>
      <c r="D426" s="162">
        <v>21.76</v>
      </c>
      <c r="E426" s="162">
        <v>19.95</v>
      </c>
      <c r="F426" s="165">
        <v>2021</v>
      </c>
      <c r="G426" s="165"/>
      <c r="H426" s="165"/>
      <c r="I426" s="165"/>
      <c r="J426" s="165"/>
      <c r="K426" s="165"/>
      <c r="L426" s="165"/>
      <c r="M426" s="165"/>
    </row>
    <row r="427" spans="1:13" ht="15" customHeight="1" x14ac:dyDescent="0.3">
      <c r="A427" s="160" t="s">
        <v>530</v>
      </c>
      <c r="B427" s="160" t="s">
        <v>30</v>
      </c>
      <c r="C427" s="161">
        <v>44424</v>
      </c>
      <c r="D427" s="162">
        <v>23.76</v>
      </c>
      <c r="E427" s="162">
        <v>22.21</v>
      </c>
      <c r="F427" s="165">
        <v>2021</v>
      </c>
      <c r="G427" s="165"/>
      <c r="H427" s="165"/>
      <c r="I427" s="165"/>
      <c r="J427" s="165"/>
      <c r="K427" s="165"/>
      <c r="L427" s="165"/>
      <c r="M427" s="165"/>
    </row>
    <row r="428" spans="1:13" ht="15" customHeight="1" x14ac:dyDescent="0.3">
      <c r="A428" s="160" t="s">
        <v>531</v>
      </c>
      <c r="B428" s="160" t="s">
        <v>30</v>
      </c>
      <c r="C428" s="161">
        <v>44439</v>
      </c>
      <c r="D428" s="162">
        <v>23.98</v>
      </c>
      <c r="E428" s="162">
        <v>23.14</v>
      </c>
      <c r="F428" s="165">
        <v>2021</v>
      </c>
      <c r="G428" s="165"/>
      <c r="H428" s="165"/>
      <c r="I428" s="165"/>
      <c r="J428" s="165"/>
      <c r="K428" s="165"/>
      <c r="L428" s="165"/>
      <c r="M428" s="165"/>
    </row>
    <row r="429" spans="1:13" ht="15" customHeight="1" x14ac:dyDescent="0.3">
      <c r="A429" s="160" t="s">
        <v>532</v>
      </c>
      <c r="B429" s="160" t="s">
        <v>30</v>
      </c>
      <c r="C429" s="161">
        <v>44452</v>
      </c>
      <c r="D429" s="162">
        <v>25.08</v>
      </c>
      <c r="E429" s="162">
        <v>22.58</v>
      </c>
      <c r="F429" s="165">
        <v>2021</v>
      </c>
      <c r="G429" s="165"/>
      <c r="H429" s="165"/>
      <c r="I429" s="165"/>
      <c r="J429" s="165"/>
      <c r="K429" s="165"/>
      <c r="L429" s="165"/>
      <c r="M429" s="165"/>
    </row>
    <row r="430" spans="1:13" ht="15" customHeight="1" x14ac:dyDescent="0.3">
      <c r="A430" s="160" t="s">
        <v>533</v>
      </c>
      <c r="B430" s="160" t="s">
        <v>30</v>
      </c>
      <c r="C430" s="161">
        <v>44474</v>
      </c>
      <c r="D430" s="162">
        <v>21.03</v>
      </c>
      <c r="E430" s="162">
        <v>21.22</v>
      </c>
      <c r="F430" s="165">
        <v>2021</v>
      </c>
      <c r="G430" s="165"/>
      <c r="H430" s="165"/>
      <c r="I430" s="165"/>
      <c r="J430" s="165"/>
      <c r="K430" s="165"/>
      <c r="L430" s="165"/>
      <c r="M430" s="165"/>
    </row>
    <row r="431" spans="1:13" ht="15" customHeight="1" x14ac:dyDescent="0.3">
      <c r="A431" s="160" t="s">
        <v>534</v>
      </c>
      <c r="B431" s="160" t="s">
        <v>30</v>
      </c>
      <c r="C431" s="161">
        <v>44508</v>
      </c>
      <c r="D431" s="162">
        <v>14.49</v>
      </c>
      <c r="E431" s="162">
        <v>14.67</v>
      </c>
      <c r="F431" s="165">
        <v>2021</v>
      </c>
      <c r="G431" s="165"/>
      <c r="H431" s="165"/>
      <c r="I431" s="165"/>
      <c r="J431" s="165"/>
      <c r="K431" s="165"/>
      <c r="L431" s="165"/>
      <c r="M431" s="165"/>
    </row>
    <row r="432" spans="1:13" ht="15" customHeight="1" x14ac:dyDescent="0.3">
      <c r="A432" s="160" t="s">
        <v>535</v>
      </c>
      <c r="B432" s="160" t="s">
        <v>30</v>
      </c>
      <c r="C432" s="161">
        <v>44537</v>
      </c>
      <c r="D432" s="162">
        <v>9.44</v>
      </c>
      <c r="E432" s="162">
        <v>9.5</v>
      </c>
      <c r="F432" s="165">
        <v>2021</v>
      </c>
      <c r="G432" s="165"/>
      <c r="H432" s="165"/>
      <c r="I432" s="165"/>
      <c r="J432" s="165"/>
      <c r="K432" s="165"/>
      <c r="L432" s="165"/>
      <c r="M432" s="165"/>
    </row>
    <row r="433" spans="1:13" ht="15" customHeight="1" x14ac:dyDescent="0.3">
      <c r="A433" s="160" t="s">
        <v>539</v>
      </c>
      <c r="B433" s="160" t="s">
        <v>30</v>
      </c>
      <c r="C433" s="161">
        <v>44594</v>
      </c>
      <c r="D433" s="162">
        <v>1.07</v>
      </c>
      <c r="E433" s="162">
        <v>1.04</v>
      </c>
      <c r="F433" s="165">
        <v>2022</v>
      </c>
      <c r="G433" s="165"/>
      <c r="H433" s="165"/>
      <c r="I433" s="165"/>
      <c r="J433" s="165"/>
      <c r="K433" s="165"/>
      <c r="L433" s="165"/>
      <c r="M433" s="165"/>
    </row>
    <row r="434" spans="1:13" ht="15" customHeight="1" x14ac:dyDescent="0.3">
      <c r="A434" s="160" t="s">
        <v>540</v>
      </c>
      <c r="B434" s="160" t="s">
        <v>30</v>
      </c>
      <c r="C434" s="161">
        <v>44607</v>
      </c>
      <c r="D434" s="162">
        <v>1.9</v>
      </c>
      <c r="E434" s="162">
        <v>1.74</v>
      </c>
      <c r="F434" s="165">
        <v>2022</v>
      </c>
      <c r="G434" s="165"/>
      <c r="H434" s="165"/>
      <c r="I434" s="165"/>
      <c r="J434" s="165"/>
      <c r="K434" s="165"/>
      <c r="L434" s="165"/>
      <c r="M434" s="165"/>
    </row>
    <row r="435" spans="1:13" ht="15" customHeight="1" x14ac:dyDescent="0.3">
      <c r="A435" s="160" t="s">
        <v>541</v>
      </c>
      <c r="B435" s="160" t="s">
        <v>30</v>
      </c>
      <c r="C435" s="161">
        <v>44623</v>
      </c>
      <c r="D435" s="162">
        <v>3.27</v>
      </c>
      <c r="E435" s="162">
        <v>2.9</v>
      </c>
      <c r="F435" s="165">
        <v>2022</v>
      </c>
      <c r="G435" s="165"/>
      <c r="H435" s="165"/>
      <c r="I435" s="165"/>
      <c r="J435" s="165"/>
      <c r="K435" s="165"/>
      <c r="L435" s="165"/>
      <c r="M435" s="165"/>
    </row>
    <row r="436" spans="1:13" ht="15" customHeight="1" x14ac:dyDescent="0.3">
      <c r="A436" s="160" t="s">
        <v>542</v>
      </c>
      <c r="B436" s="160" t="s">
        <v>30</v>
      </c>
      <c r="C436" s="161">
        <v>44656</v>
      </c>
      <c r="D436" s="162">
        <v>6.03</v>
      </c>
      <c r="E436" s="162">
        <v>5.54</v>
      </c>
      <c r="F436" s="165">
        <v>2022</v>
      </c>
      <c r="G436" s="165"/>
      <c r="H436" s="165"/>
      <c r="I436" s="165"/>
      <c r="J436" s="165"/>
      <c r="K436" s="165"/>
      <c r="L436" s="165"/>
      <c r="M436" s="165"/>
    </row>
    <row r="437" spans="1:13" ht="15" customHeight="1" x14ac:dyDescent="0.3">
      <c r="A437" s="160" t="s">
        <v>543</v>
      </c>
      <c r="B437" s="160" t="s">
        <v>30</v>
      </c>
      <c r="C437" s="161">
        <v>44686</v>
      </c>
      <c r="D437" s="162">
        <v>10.94</v>
      </c>
      <c r="E437" s="162">
        <v>10.11</v>
      </c>
      <c r="F437" s="165">
        <v>2022</v>
      </c>
      <c r="G437" s="165"/>
      <c r="H437" s="165"/>
      <c r="I437" s="165"/>
      <c r="J437" s="165"/>
      <c r="K437" s="165"/>
      <c r="L437" s="165"/>
      <c r="M437" s="165"/>
    </row>
    <row r="438" spans="1:13" ht="15" customHeight="1" x14ac:dyDescent="0.3">
      <c r="A438" s="160" t="s">
        <v>544</v>
      </c>
      <c r="B438" s="160" t="s">
        <v>30</v>
      </c>
      <c r="C438" s="161">
        <v>44715</v>
      </c>
      <c r="D438" s="162">
        <v>16.579999999999998</v>
      </c>
      <c r="E438" s="162">
        <v>14.47</v>
      </c>
      <c r="F438" s="165">
        <v>2022</v>
      </c>
      <c r="G438" s="165"/>
      <c r="H438" s="165"/>
      <c r="I438" s="165"/>
      <c r="J438" s="165"/>
      <c r="K438" s="165"/>
      <c r="L438" s="165"/>
      <c r="M438" s="165"/>
    </row>
    <row r="439" spans="1:13" ht="15" customHeight="1" x14ac:dyDescent="0.3">
      <c r="A439" s="160" t="s">
        <v>545</v>
      </c>
      <c r="B439" s="160" t="s">
        <v>30</v>
      </c>
      <c r="C439" s="161">
        <v>44726</v>
      </c>
      <c r="D439" s="162">
        <v>15.83</v>
      </c>
      <c r="E439" s="162">
        <v>13.54</v>
      </c>
      <c r="F439" s="165">
        <v>2022</v>
      </c>
      <c r="G439" s="165"/>
      <c r="H439" s="165"/>
      <c r="I439" s="165"/>
      <c r="J439" s="165"/>
      <c r="K439" s="165"/>
      <c r="L439" s="165"/>
      <c r="M439" s="165"/>
    </row>
    <row r="440" spans="1:13" ht="15" customHeight="1" x14ac:dyDescent="0.3">
      <c r="A440" s="160" t="s">
        <v>546</v>
      </c>
      <c r="B440" s="160" t="s">
        <v>30</v>
      </c>
      <c r="C440" s="161">
        <v>44749</v>
      </c>
      <c r="D440" s="162">
        <v>19.3</v>
      </c>
      <c r="E440" s="162">
        <v>16.28</v>
      </c>
      <c r="F440" s="165">
        <v>2022</v>
      </c>
      <c r="G440" s="165"/>
      <c r="H440" s="165"/>
      <c r="I440" s="165"/>
      <c r="J440" s="165"/>
      <c r="K440" s="165"/>
      <c r="L440" s="165"/>
      <c r="M440" s="165"/>
    </row>
    <row r="441" spans="1:13" ht="15" customHeight="1" x14ac:dyDescent="0.3">
      <c r="A441" s="160" t="s">
        <v>547</v>
      </c>
      <c r="B441" s="160" t="s">
        <v>30</v>
      </c>
      <c r="C441" s="161">
        <v>44761</v>
      </c>
      <c r="D441" s="162">
        <v>22.62</v>
      </c>
      <c r="E441" s="162">
        <v>19.53</v>
      </c>
      <c r="F441" s="165">
        <v>2022</v>
      </c>
      <c r="G441" s="165"/>
      <c r="H441" s="165"/>
      <c r="I441" s="165"/>
      <c r="J441" s="165"/>
      <c r="K441" s="165"/>
      <c r="L441" s="165"/>
      <c r="M441" s="165"/>
    </row>
    <row r="442" spans="1:13" ht="15" customHeight="1" x14ac:dyDescent="0.3">
      <c r="A442" s="160" t="s">
        <v>548</v>
      </c>
      <c r="B442" s="160" t="s">
        <v>30</v>
      </c>
      <c r="C442" s="161">
        <v>44775</v>
      </c>
      <c r="D442" s="162">
        <v>21.88</v>
      </c>
      <c r="E442" s="162">
        <v>19.78</v>
      </c>
      <c r="F442" s="165">
        <v>2022</v>
      </c>
      <c r="G442" s="165"/>
      <c r="H442" s="165"/>
      <c r="I442" s="165"/>
      <c r="J442" s="165"/>
      <c r="K442" s="165"/>
      <c r="L442" s="165"/>
      <c r="M442" s="165"/>
    </row>
    <row r="443" spans="1:13" ht="15" customHeight="1" x14ac:dyDescent="0.3">
      <c r="A443" s="160" t="s">
        <v>549</v>
      </c>
      <c r="B443" s="160" t="s">
        <v>30</v>
      </c>
      <c r="C443" s="161">
        <v>44790</v>
      </c>
      <c r="D443" s="162">
        <v>23.06</v>
      </c>
      <c r="E443" s="162">
        <v>22.53</v>
      </c>
      <c r="F443" s="165">
        <v>2022</v>
      </c>
      <c r="G443" s="165"/>
      <c r="H443" s="165"/>
      <c r="I443" s="165"/>
      <c r="J443" s="165"/>
      <c r="K443" s="165"/>
      <c r="L443" s="165"/>
      <c r="M443" s="165"/>
    </row>
    <row r="444" spans="1:13" ht="15" customHeight="1" x14ac:dyDescent="0.3">
      <c r="A444" s="160" t="s">
        <v>550</v>
      </c>
      <c r="B444" s="160" t="s">
        <v>30</v>
      </c>
      <c r="C444" s="161">
        <v>44805</v>
      </c>
      <c r="D444" s="162">
        <v>24.35</v>
      </c>
      <c r="E444" s="162">
        <v>23.38</v>
      </c>
      <c r="F444" s="165">
        <v>2022</v>
      </c>
      <c r="G444" s="165"/>
      <c r="H444" s="165"/>
      <c r="I444" s="165"/>
      <c r="J444" s="165"/>
      <c r="K444" s="165"/>
      <c r="L444" s="165"/>
      <c r="M444" s="165"/>
    </row>
    <row r="445" spans="1:13" ht="15" customHeight="1" x14ac:dyDescent="0.3">
      <c r="A445" s="160" t="s">
        <v>551</v>
      </c>
      <c r="B445" s="160" t="s">
        <v>30</v>
      </c>
      <c r="C445" s="161">
        <v>44817</v>
      </c>
      <c r="D445" s="162">
        <v>23.66</v>
      </c>
      <c r="E445" s="162">
        <v>23.39</v>
      </c>
      <c r="F445" s="165">
        <v>2022</v>
      </c>
      <c r="G445" s="165"/>
      <c r="H445" s="165"/>
      <c r="I445" s="165"/>
      <c r="J445" s="165"/>
      <c r="K445" s="165"/>
      <c r="L445" s="165"/>
      <c r="M445" s="165"/>
    </row>
    <row r="446" spans="1:13" ht="15" customHeight="1" x14ac:dyDescent="0.3">
      <c r="A446" s="160" t="s">
        <v>552</v>
      </c>
      <c r="B446" s="160" t="s">
        <v>30</v>
      </c>
      <c r="C446" s="161">
        <v>44845</v>
      </c>
      <c r="D446" s="162">
        <v>17.03</v>
      </c>
      <c r="E446" s="162">
        <v>17.18</v>
      </c>
      <c r="F446" s="165">
        <v>2022</v>
      </c>
      <c r="G446" s="165"/>
      <c r="H446" s="165"/>
      <c r="I446" s="165"/>
      <c r="J446" s="165"/>
      <c r="K446" s="165"/>
      <c r="L446" s="165"/>
      <c r="M446" s="165"/>
    </row>
    <row r="447" spans="1:13" ht="15" customHeight="1" x14ac:dyDescent="0.3">
      <c r="A447" s="160" t="s">
        <v>553</v>
      </c>
      <c r="B447" s="160" t="s">
        <v>30</v>
      </c>
      <c r="C447" s="161">
        <v>44874</v>
      </c>
      <c r="D447" s="162">
        <v>15.23</v>
      </c>
      <c r="E447" s="162">
        <v>15.51</v>
      </c>
      <c r="F447" s="165">
        <v>2022</v>
      </c>
      <c r="G447" s="165"/>
      <c r="H447" s="165"/>
      <c r="I447" s="165"/>
      <c r="J447" s="165"/>
      <c r="K447" s="165"/>
      <c r="L447" s="165"/>
      <c r="M447" s="165"/>
    </row>
    <row r="448" spans="1:13" ht="15" customHeight="1" x14ac:dyDescent="0.3">
      <c r="A448" s="160" t="s">
        <v>556</v>
      </c>
      <c r="B448" s="160" t="s">
        <v>30</v>
      </c>
      <c r="C448" s="161">
        <v>44900</v>
      </c>
      <c r="D448" s="162">
        <v>9.1199999999999992</v>
      </c>
      <c r="E448" s="162">
        <v>9.5299999999999994</v>
      </c>
      <c r="F448" s="165">
        <v>2022</v>
      </c>
      <c r="G448" s="165"/>
      <c r="H448" s="165"/>
      <c r="I448" s="165"/>
      <c r="J448" s="165"/>
      <c r="K448" s="165"/>
      <c r="L448" s="165"/>
      <c r="M448" s="165"/>
    </row>
    <row r="449" spans="1:13" ht="15" customHeight="1" x14ac:dyDescent="0.3">
      <c r="A449" s="160" t="s">
        <v>557</v>
      </c>
      <c r="B449" s="160" t="s">
        <v>30</v>
      </c>
      <c r="C449" s="161">
        <v>44931</v>
      </c>
      <c r="D449" s="162">
        <v>5.76</v>
      </c>
      <c r="E449" s="162">
        <v>5.35</v>
      </c>
      <c r="F449" s="165">
        <v>2023</v>
      </c>
      <c r="G449" s="165"/>
      <c r="H449" s="165"/>
      <c r="I449" s="165"/>
      <c r="J449" s="165"/>
      <c r="K449" s="165"/>
      <c r="L449" s="165"/>
      <c r="M449" s="165"/>
    </row>
    <row r="450" spans="1:13" ht="15" customHeight="1" x14ac:dyDescent="0.3">
      <c r="A450" s="160" t="s">
        <v>558</v>
      </c>
      <c r="B450" s="160" t="s">
        <v>30</v>
      </c>
      <c r="C450" s="161">
        <v>44964</v>
      </c>
      <c r="D450" s="162">
        <v>3.17</v>
      </c>
      <c r="E450" s="162">
        <v>3.39</v>
      </c>
      <c r="F450" s="165">
        <v>2023</v>
      </c>
      <c r="G450" s="165"/>
      <c r="H450" s="165"/>
      <c r="I450" s="165"/>
      <c r="J450" s="165"/>
      <c r="K450" s="165"/>
      <c r="L450" s="165"/>
      <c r="M450" s="165"/>
    </row>
    <row r="451" spans="1:13" ht="15" customHeight="1" x14ac:dyDescent="0.3">
      <c r="A451" s="160" t="s">
        <v>559</v>
      </c>
      <c r="B451" s="160" t="s">
        <v>30</v>
      </c>
      <c r="C451" s="161">
        <v>45034</v>
      </c>
      <c r="D451" s="162">
        <v>10.72</v>
      </c>
      <c r="E451" s="162">
        <v>10.46</v>
      </c>
      <c r="F451" s="165">
        <v>2023</v>
      </c>
      <c r="G451" s="165"/>
      <c r="H451" s="165"/>
      <c r="I451" s="165"/>
      <c r="J451" s="165"/>
      <c r="K451" s="165"/>
      <c r="L451" s="165"/>
      <c r="M451" s="165"/>
    </row>
    <row r="452" spans="1:13" ht="15" customHeight="1" x14ac:dyDescent="0.3">
      <c r="A452" s="160" t="s">
        <v>560</v>
      </c>
      <c r="B452" s="160" t="s">
        <v>30</v>
      </c>
      <c r="C452" s="161">
        <v>45050</v>
      </c>
      <c r="D452" s="162">
        <v>11.7</v>
      </c>
      <c r="E452" s="162">
        <v>10.78</v>
      </c>
      <c r="F452" s="165">
        <v>2023</v>
      </c>
      <c r="G452" s="165"/>
      <c r="H452" s="165"/>
      <c r="I452" s="165"/>
      <c r="J452" s="165"/>
      <c r="K452" s="165"/>
      <c r="L452" s="165"/>
      <c r="M452" s="165"/>
    </row>
    <row r="453" spans="1:13" ht="15" customHeight="1" x14ac:dyDescent="0.3">
      <c r="A453" s="160" t="s">
        <v>561</v>
      </c>
      <c r="B453" s="160" t="s">
        <v>30</v>
      </c>
      <c r="C453" s="161">
        <v>45078</v>
      </c>
      <c r="D453" s="162">
        <v>17.48</v>
      </c>
      <c r="E453" s="162">
        <v>15.61</v>
      </c>
      <c r="F453" s="165">
        <v>2023</v>
      </c>
      <c r="G453" s="165"/>
      <c r="H453" s="165"/>
      <c r="I453" s="165"/>
      <c r="J453" s="165"/>
      <c r="K453" s="165"/>
      <c r="L453" s="165"/>
      <c r="M453" s="165"/>
    </row>
    <row r="454" spans="1:13" ht="15" customHeight="1" x14ac:dyDescent="0.3">
      <c r="A454" s="160" t="s">
        <v>562</v>
      </c>
      <c r="B454" s="160" t="s">
        <v>30</v>
      </c>
      <c r="C454" s="161">
        <v>45100</v>
      </c>
      <c r="D454" s="162">
        <v>18.73</v>
      </c>
      <c r="E454" s="162">
        <v>17.54</v>
      </c>
      <c r="F454" s="165">
        <v>2023</v>
      </c>
      <c r="G454" s="165"/>
      <c r="H454" s="165"/>
      <c r="I454" s="165"/>
      <c r="J454" s="165"/>
      <c r="K454" s="165"/>
      <c r="L454" s="165"/>
      <c r="M454" s="165"/>
    </row>
    <row r="455" spans="1:13" ht="15" customHeight="1" x14ac:dyDescent="0.3">
      <c r="A455" s="160" t="s">
        <v>563</v>
      </c>
      <c r="B455" s="160" t="s">
        <v>30</v>
      </c>
      <c r="C455" s="161">
        <v>45117</v>
      </c>
      <c r="D455" s="162">
        <v>22.57</v>
      </c>
      <c r="E455" s="162">
        <v>19.079999999999998</v>
      </c>
      <c r="F455" s="165">
        <v>2023</v>
      </c>
      <c r="G455" s="165"/>
      <c r="H455" s="165"/>
      <c r="I455" s="165"/>
      <c r="J455" s="165"/>
      <c r="K455" s="165"/>
      <c r="L455" s="165"/>
      <c r="M455" s="165"/>
    </row>
    <row r="456" spans="1:13" ht="15" customHeight="1" x14ac:dyDescent="0.3">
      <c r="A456" s="160" t="s">
        <v>564</v>
      </c>
      <c r="B456" s="160" t="s">
        <v>30</v>
      </c>
      <c r="C456" s="161">
        <v>45124</v>
      </c>
      <c r="D456" s="162">
        <v>23.26</v>
      </c>
      <c r="E456" s="162">
        <v>19.41</v>
      </c>
      <c r="F456" s="165">
        <v>2023</v>
      </c>
      <c r="G456" s="165"/>
      <c r="H456" s="165"/>
      <c r="I456" s="165"/>
      <c r="J456" s="165"/>
      <c r="K456" s="165"/>
      <c r="L456" s="165"/>
      <c r="M456" s="165"/>
    </row>
    <row r="457" spans="1:13" ht="15" customHeight="1" x14ac:dyDescent="0.3">
      <c r="A457" s="160" t="s">
        <v>565</v>
      </c>
      <c r="B457" s="160" t="s">
        <v>30</v>
      </c>
      <c r="C457" s="161">
        <v>45140</v>
      </c>
      <c r="D457" s="162">
        <v>22.65</v>
      </c>
      <c r="E457" s="162">
        <v>20.89</v>
      </c>
      <c r="F457" s="165">
        <v>2023</v>
      </c>
      <c r="G457" s="165"/>
      <c r="H457" s="165"/>
      <c r="I457" s="165"/>
      <c r="J457" s="165"/>
      <c r="K457" s="165"/>
      <c r="L457" s="165"/>
      <c r="M457" s="165"/>
    </row>
    <row r="458" spans="1:13" ht="15" customHeight="1" x14ac:dyDescent="0.3">
      <c r="A458" s="160" t="s">
        <v>566</v>
      </c>
      <c r="B458" s="160" t="s">
        <v>30</v>
      </c>
      <c r="C458" s="161">
        <v>45152</v>
      </c>
      <c r="D458" s="162">
        <v>23.08</v>
      </c>
      <c r="E458" s="162">
        <v>21.56</v>
      </c>
      <c r="F458" s="165">
        <v>2023</v>
      </c>
      <c r="G458" s="165"/>
      <c r="H458" s="165"/>
      <c r="I458" s="165"/>
      <c r="J458" s="165"/>
      <c r="K458" s="165"/>
      <c r="L458" s="165"/>
      <c r="M458" s="165"/>
    </row>
    <row r="459" spans="1:13" ht="15" customHeight="1" x14ac:dyDescent="0.3">
      <c r="A459" s="160" t="s">
        <v>567</v>
      </c>
      <c r="B459" s="160" t="s">
        <v>30</v>
      </c>
      <c r="C459" s="161">
        <v>45176</v>
      </c>
      <c r="D459" s="162">
        <v>24.98</v>
      </c>
      <c r="E459" s="162">
        <v>22.72</v>
      </c>
      <c r="F459" s="165">
        <v>2023</v>
      </c>
      <c r="G459" s="165"/>
      <c r="H459" s="165"/>
      <c r="I459" s="165"/>
      <c r="J459" s="165"/>
      <c r="K459" s="165"/>
      <c r="L459" s="165"/>
      <c r="M459" s="165"/>
    </row>
    <row r="460" spans="1:13" ht="15" customHeight="1" x14ac:dyDescent="0.3">
      <c r="A460" s="160" t="s">
        <v>568</v>
      </c>
      <c r="B460" s="160" t="s">
        <v>30</v>
      </c>
      <c r="C460" s="161">
        <v>45209</v>
      </c>
      <c r="D460" s="162">
        <v>18.309999999999999</v>
      </c>
      <c r="E460" s="162">
        <v>18.98</v>
      </c>
      <c r="F460" s="165">
        <v>2023</v>
      </c>
      <c r="G460" s="165"/>
      <c r="H460" s="165"/>
      <c r="I460" s="165"/>
      <c r="J460" s="165"/>
      <c r="K460" s="165"/>
      <c r="L460" s="165"/>
      <c r="M460" s="165"/>
    </row>
    <row r="461" spans="1:13" ht="15" customHeight="1" x14ac:dyDescent="0.3">
      <c r="A461" s="160" t="s">
        <v>569</v>
      </c>
      <c r="B461" s="160" t="s">
        <v>30</v>
      </c>
      <c r="C461" s="161">
        <v>45238</v>
      </c>
      <c r="D461" s="162">
        <v>14.29</v>
      </c>
      <c r="E461" s="162">
        <v>14.64</v>
      </c>
      <c r="F461" s="165">
        <v>2023</v>
      </c>
      <c r="G461" s="165"/>
      <c r="H461" s="165"/>
      <c r="I461" s="165"/>
      <c r="J461" s="165"/>
      <c r="K461" s="165"/>
      <c r="L461" s="165"/>
      <c r="M461" s="165"/>
    </row>
    <row r="462" spans="1:13" ht="15" customHeight="1" x14ac:dyDescent="0.3">
      <c r="A462" s="160" t="s">
        <v>570</v>
      </c>
      <c r="B462" s="160" t="s">
        <v>30</v>
      </c>
      <c r="C462" s="161">
        <v>45266</v>
      </c>
      <c r="D462" s="162">
        <v>8.65</v>
      </c>
      <c r="E462" s="162">
        <v>9.5399999999999991</v>
      </c>
      <c r="F462" s="165">
        <v>2023</v>
      </c>
      <c r="G462" s="165"/>
      <c r="H462" s="165"/>
      <c r="I462" s="165"/>
      <c r="J462" s="165"/>
      <c r="K462" s="165"/>
      <c r="L462" s="165"/>
      <c r="M462" s="165"/>
    </row>
    <row r="463" spans="1:13" ht="15" customHeight="1" x14ac:dyDescent="0.3">
      <c r="A463" s="160" t="s">
        <v>571</v>
      </c>
      <c r="B463" s="160" t="s">
        <v>30</v>
      </c>
      <c r="C463" s="161">
        <v>45299</v>
      </c>
      <c r="D463" s="162">
        <v>5.94</v>
      </c>
      <c r="E463" s="162">
        <v>5.96</v>
      </c>
      <c r="F463" s="165">
        <v>2024</v>
      </c>
      <c r="G463" s="165"/>
      <c r="H463" s="165"/>
      <c r="I463" s="165"/>
      <c r="J463" s="165"/>
      <c r="K463" s="165"/>
      <c r="L463" s="165"/>
      <c r="M463" s="165"/>
    </row>
    <row r="464" spans="1:13" ht="15" customHeight="1" x14ac:dyDescent="0.3">
      <c r="A464" s="160" t="s">
        <v>572</v>
      </c>
      <c r="B464" s="160" t="s">
        <v>30</v>
      </c>
      <c r="C464" s="161">
        <v>45328</v>
      </c>
      <c r="D464" s="162">
        <v>3.95</v>
      </c>
      <c r="E464" s="162">
        <v>3.95</v>
      </c>
      <c r="F464" s="165">
        <v>2024</v>
      </c>
      <c r="G464" s="165"/>
      <c r="H464" s="165"/>
      <c r="I464" s="165"/>
      <c r="J464" s="165"/>
      <c r="K464" s="165"/>
      <c r="L464" s="165"/>
      <c r="M464" s="165"/>
    </row>
    <row r="465" spans="1:13" ht="15" customHeight="1" x14ac:dyDescent="0.3">
      <c r="A465" s="160" t="s">
        <v>573</v>
      </c>
      <c r="B465" s="160" t="s">
        <v>30</v>
      </c>
      <c r="C465" s="161">
        <v>45344</v>
      </c>
      <c r="D465" s="162">
        <v>3.64</v>
      </c>
      <c r="E465" s="162">
        <v>3.56</v>
      </c>
      <c r="F465" s="165">
        <v>2024</v>
      </c>
      <c r="G465" s="165"/>
      <c r="H465" s="165"/>
      <c r="I465" s="165"/>
      <c r="J465" s="165"/>
      <c r="K465" s="165"/>
      <c r="L465" s="165"/>
      <c r="M465" s="165"/>
    </row>
    <row r="466" spans="1:13" ht="15" customHeight="1" x14ac:dyDescent="0.3">
      <c r="A466" s="160" t="s">
        <v>574</v>
      </c>
      <c r="B466" s="160" t="s">
        <v>30</v>
      </c>
      <c r="C466" s="161">
        <v>45357</v>
      </c>
      <c r="D466" s="162">
        <v>5.24</v>
      </c>
      <c r="E466" s="162">
        <v>4.3600000000000003</v>
      </c>
      <c r="F466" s="165">
        <v>2024</v>
      </c>
      <c r="G466" s="165"/>
      <c r="H466" s="165"/>
      <c r="I466" s="165"/>
      <c r="J466" s="165"/>
      <c r="K466" s="165"/>
      <c r="L466" s="165"/>
      <c r="M466" s="165"/>
    </row>
    <row r="467" spans="1:13" ht="15" customHeight="1" x14ac:dyDescent="0.3">
      <c r="A467" s="160" t="s">
        <v>575</v>
      </c>
      <c r="B467" s="160" t="s">
        <v>30</v>
      </c>
      <c r="C467" s="161">
        <v>45369</v>
      </c>
      <c r="D467" s="162">
        <v>7.19</v>
      </c>
      <c r="E467" s="162">
        <v>5.13</v>
      </c>
      <c r="F467" s="165">
        <v>2024</v>
      </c>
      <c r="G467" s="165"/>
      <c r="H467" s="165"/>
      <c r="I467" s="165"/>
      <c r="J467" s="165"/>
      <c r="K467" s="165"/>
      <c r="L467" s="165"/>
      <c r="M467" s="165"/>
    </row>
    <row r="468" spans="1:13" ht="15" customHeight="1" x14ac:dyDescent="0.3">
      <c r="A468" s="160" t="s">
        <v>576</v>
      </c>
      <c r="B468" s="160" t="s">
        <v>30</v>
      </c>
      <c r="C468" s="161">
        <v>45390</v>
      </c>
      <c r="D468" s="162">
        <v>7.39</v>
      </c>
      <c r="E468" s="162">
        <v>6.86</v>
      </c>
      <c r="F468" s="165">
        <v>2024</v>
      </c>
      <c r="G468" s="165"/>
      <c r="H468" s="165"/>
      <c r="I468" s="165"/>
      <c r="J468" s="165"/>
      <c r="K468" s="165"/>
      <c r="L468" s="165"/>
      <c r="M468" s="165"/>
    </row>
    <row r="469" spans="1:13" ht="15" customHeight="1" x14ac:dyDescent="0.3">
      <c r="A469" s="160" t="s">
        <v>577</v>
      </c>
      <c r="B469" s="160" t="s">
        <v>30</v>
      </c>
      <c r="C469" s="161">
        <v>45415</v>
      </c>
      <c r="D469" s="162">
        <v>12.6</v>
      </c>
      <c r="E469" s="162">
        <v>10.7</v>
      </c>
      <c r="F469" s="165">
        <v>2024</v>
      </c>
      <c r="G469" s="165"/>
      <c r="H469" s="165"/>
      <c r="I469" s="165"/>
      <c r="J469" s="165"/>
      <c r="K469" s="165"/>
      <c r="L469" s="165"/>
      <c r="M469" s="165"/>
    </row>
    <row r="470" spans="1:13" ht="15" customHeight="1" x14ac:dyDescent="0.3">
      <c r="A470" s="160" t="s">
        <v>578</v>
      </c>
      <c r="B470" s="160" t="s">
        <v>30</v>
      </c>
      <c r="C470" s="161">
        <v>45447</v>
      </c>
      <c r="D470" s="162">
        <v>16.73</v>
      </c>
      <c r="E470" s="162">
        <v>12.72</v>
      </c>
      <c r="F470" s="165">
        <v>2024</v>
      </c>
      <c r="G470" s="165"/>
      <c r="H470" s="165"/>
      <c r="I470" s="165"/>
      <c r="J470" s="165"/>
      <c r="K470" s="165"/>
      <c r="L470" s="165"/>
      <c r="M470" s="165"/>
    </row>
    <row r="471" spans="1:13" ht="15" customHeight="1" x14ac:dyDescent="0.3">
      <c r="A471" s="160" t="s">
        <v>579</v>
      </c>
      <c r="B471" s="160" t="s">
        <v>30</v>
      </c>
      <c r="C471" s="161">
        <v>45460</v>
      </c>
      <c r="D471" s="162">
        <v>18.12</v>
      </c>
      <c r="E471" s="162">
        <v>13.46</v>
      </c>
      <c r="F471" s="165">
        <v>2024</v>
      </c>
      <c r="G471" s="165"/>
      <c r="H471" s="165"/>
      <c r="I471" s="165"/>
      <c r="J471" s="165"/>
      <c r="K471" s="165"/>
      <c r="L471" s="165"/>
      <c r="M471" s="165"/>
    </row>
    <row r="472" spans="1:13" ht="15" customHeight="1" x14ac:dyDescent="0.3">
      <c r="A472" s="160" t="s">
        <v>580</v>
      </c>
      <c r="B472" s="160" t="s">
        <v>30</v>
      </c>
      <c r="C472" s="161">
        <v>45475</v>
      </c>
      <c r="D472" s="162">
        <v>19.350000000000001</v>
      </c>
      <c r="E472" s="162">
        <v>16.64</v>
      </c>
      <c r="F472" s="165">
        <v>2024</v>
      </c>
      <c r="G472" s="165"/>
      <c r="H472" s="165"/>
      <c r="I472" s="165"/>
      <c r="J472" s="165"/>
      <c r="K472" s="165"/>
      <c r="L472" s="165"/>
      <c r="M472" s="165"/>
    </row>
    <row r="473" spans="1:13" ht="15" customHeight="1" x14ac:dyDescent="0.3">
      <c r="A473" s="160" t="s">
        <v>581</v>
      </c>
      <c r="B473" s="160" t="s">
        <v>30</v>
      </c>
      <c r="C473" s="161">
        <v>45489</v>
      </c>
      <c r="D473" s="162">
        <v>21.74</v>
      </c>
      <c r="E473" s="162">
        <v>17.52</v>
      </c>
      <c r="F473" s="165">
        <v>2024</v>
      </c>
      <c r="G473" s="165"/>
      <c r="H473" s="165"/>
      <c r="I473" s="165"/>
      <c r="J473" s="165"/>
      <c r="K473" s="165"/>
      <c r="L473" s="165"/>
      <c r="M473" s="165"/>
    </row>
    <row r="474" spans="1:13" ht="15" customHeight="1" x14ac:dyDescent="0.3">
      <c r="A474" s="160" t="s">
        <v>582</v>
      </c>
      <c r="B474" s="160" t="s">
        <v>30</v>
      </c>
      <c r="C474" s="161">
        <v>45504</v>
      </c>
      <c r="D474" s="162">
        <v>23.22</v>
      </c>
      <c r="E474" s="162">
        <v>20.49</v>
      </c>
      <c r="F474" s="165">
        <v>2024</v>
      </c>
      <c r="G474" s="165"/>
      <c r="H474" s="165"/>
      <c r="I474" s="165"/>
      <c r="J474" s="165"/>
      <c r="K474" s="165"/>
      <c r="L474" s="165"/>
      <c r="M474" s="165"/>
    </row>
    <row r="475" spans="1:13" ht="15" customHeight="1" x14ac:dyDescent="0.3">
      <c r="A475" s="160" t="s">
        <v>583</v>
      </c>
      <c r="B475" s="160" t="s">
        <v>30</v>
      </c>
      <c r="C475" s="161">
        <v>45516</v>
      </c>
      <c r="D475" s="162">
        <v>23.67</v>
      </c>
      <c r="E475" s="162">
        <v>22.08</v>
      </c>
      <c r="F475" s="165">
        <v>2024</v>
      </c>
      <c r="G475" s="165"/>
      <c r="H475" s="165"/>
      <c r="I475" s="165"/>
      <c r="J475" s="165"/>
      <c r="K475" s="165"/>
      <c r="L475" s="165"/>
      <c r="M475" s="165"/>
    </row>
    <row r="476" spans="1:13" ht="15" customHeight="1" x14ac:dyDescent="0.3">
      <c r="A476" s="160" t="s">
        <v>584</v>
      </c>
      <c r="B476" s="160" t="s">
        <v>30</v>
      </c>
      <c r="C476" s="161">
        <v>45531</v>
      </c>
      <c r="D476" s="162">
        <v>23.41</v>
      </c>
      <c r="E476" s="162">
        <v>22.27</v>
      </c>
      <c r="F476" s="165">
        <v>2024</v>
      </c>
      <c r="G476" s="165"/>
      <c r="H476" s="165"/>
      <c r="I476" s="165"/>
      <c r="J476" s="165"/>
      <c r="K476" s="165"/>
      <c r="L476" s="165"/>
      <c r="M476" s="165"/>
    </row>
    <row r="477" spans="1:13" ht="15" customHeight="1" x14ac:dyDescent="0.3">
      <c r="A477" s="160" t="s">
        <v>585</v>
      </c>
      <c r="B477" s="160" t="s">
        <v>30</v>
      </c>
      <c r="C477" s="161">
        <v>45568</v>
      </c>
      <c r="D477" s="162">
        <v>20.27</v>
      </c>
      <c r="E477" s="162">
        <v>20.239999999999998</v>
      </c>
      <c r="F477" s="165">
        <v>2024</v>
      </c>
      <c r="G477" s="165"/>
      <c r="H477" s="165"/>
      <c r="I477" s="165"/>
      <c r="J477" s="165"/>
      <c r="K477" s="165"/>
      <c r="L477" s="165"/>
      <c r="M477" s="165"/>
    </row>
    <row r="478" spans="1:13" ht="15" customHeight="1" x14ac:dyDescent="0.3">
      <c r="A478" s="160" t="s">
        <v>601</v>
      </c>
      <c r="B478" s="160" t="s">
        <v>30</v>
      </c>
      <c r="C478" s="34">
        <v>45687</v>
      </c>
      <c r="D478">
        <v>1.54</v>
      </c>
      <c r="E478">
        <v>1.62</v>
      </c>
      <c r="F478" s="157">
        <v>2025</v>
      </c>
      <c r="G478" s="157"/>
      <c r="H478" s="157"/>
      <c r="I478" s="157"/>
      <c r="J478" s="157"/>
      <c r="K478" s="157"/>
      <c r="L478" s="157"/>
      <c r="M478" s="157"/>
    </row>
    <row r="479" spans="1:13" ht="15" customHeight="1" x14ac:dyDescent="0.3">
      <c r="A479" s="160" t="s">
        <v>593</v>
      </c>
      <c r="B479" s="160" t="s">
        <v>30</v>
      </c>
      <c r="C479" s="34">
        <v>45727</v>
      </c>
      <c r="D479">
        <v>3.77</v>
      </c>
      <c r="E479">
        <v>2.89</v>
      </c>
      <c r="F479" s="157">
        <v>2025</v>
      </c>
      <c r="G479" s="157"/>
      <c r="H479" s="157"/>
      <c r="I479" s="157"/>
      <c r="J479" s="157"/>
      <c r="K479" s="157"/>
      <c r="L479" s="157"/>
      <c r="M479" s="157"/>
    </row>
    <row r="480" spans="1:13" ht="15" customHeight="1" x14ac:dyDescent="0.3">
      <c r="A480" s="160" t="s">
        <v>594</v>
      </c>
      <c r="B480" s="160" t="s">
        <v>30</v>
      </c>
      <c r="C480" s="34">
        <v>45748</v>
      </c>
      <c r="D480">
        <v>7.07</v>
      </c>
      <c r="E480">
        <v>6.56</v>
      </c>
      <c r="F480" s="157">
        <v>2025</v>
      </c>
      <c r="G480" s="157"/>
      <c r="H480" s="157"/>
      <c r="I480" s="157"/>
      <c r="J480" s="157"/>
      <c r="K480" s="157"/>
      <c r="L480" s="157"/>
      <c r="M480" s="157"/>
    </row>
    <row r="481" spans="1:6" ht="15" customHeight="1" x14ac:dyDescent="0.3">
      <c r="A481" s="160" t="s">
        <v>595</v>
      </c>
      <c r="B481" s="160" t="s">
        <v>30</v>
      </c>
      <c r="C481" s="34">
        <v>45783</v>
      </c>
      <c r="D481">
        <v>12.58</v>
      </c>
      <c r="E481">
        <v>10.64</v>
      </c>
      <c r="F481" s="157">
        <v>2025</v>
      </c>
    </row>
    <row r="482" spans="1:6" ht="15" customHeight="1" x14ac:dyDescent="0.3">
      <c r="A482" s="160" t="s">
        <v>596</v>
      </c>
      <c r="B482" s="160" t="s">
        <v>30</v>
      </c>
      <c r="C482" s="34">
        <v>45811</v>
      </c>
      <c r="D482">
        <v>16.27</v>
      </c>
      <c r="E482">
        <v>14.81</v>
      </c>
      <c r="F482" s="157">
        <v>2025</v>
      </c>
    </row>
    <row r="483" spans="1:6" ht="15" customHeight="1" x14ac:dyDescent="0.3">
      <c r="A483" s="160" t="s">
        <v>597</v>
      </c>
      <c r="B483" s="160" t="s">
        <v>30</v>
      </c>
      <c r="C483" s="34">
        <v>45839</v>
      </c>
      <c r="D483">
        <v>22.81</v>
      </c>
      <c r="E483">
        <v>19.11</v>
      </c>
      <c r="F483" s="157">
        <v>2025</v>
      </c>
    </row>
    <row r="484" spans="1:6" ht="15" customHeight="1" x14ac:dyDescent="0.3">
      <c r="A484" s="160" t="s">
        <v>598</v>
      </c>
      <c r="B484" s="160" t="s">
        <v>30</v>
      </c>
      <c r="C484" s="34">
        <v>45852</v>
      </c>
      <c r="D484">
        <v>24.11</v>
      </c>
      <c r="E484">
        <v>18.11</v>
      </c>
      <c r="F484" s="157">
        <v>2025</v>
      </c>
    </row>
    <row r="485" spans="1:6" ht="15" customHeight="1" x14ac:dyDescent="0.3">
      <c r="A485" s="160" t="s">
        <v>599</v>
      </c>
      <c r="B485" s="160" t="s">
        <v>30</v>
      </c>
      <c r="C485" s="34">
        <v>45868</v>
      </c>
      <c r="D485">
        <v>23.25</v>
      </c>
      <c r="E485">
        <v>20.190000000000001</v>
      </c>
      <c r="F485" s="157">
        <v>2025</v>
      </c>
    </row>
    <row r="486" spans="1:6" ht="15" customHeight="1" x14ac:dyDescent="0.3">
      <c r="A486" s="160" t="s">
        <v>600</v>
      </c>
      <c r="B486" s="160" t="s">
        <v>30</v>
      </c>
      <c r="C486" s="34">
        <v>45880</v>
      </c>
      <c r="D486">
        <v>23.85</v>
      </c>
      <c r="E486">
        <v>22.73</v>
      </c>
      <c r="F486" s="157">
        <v>2025</v>
      </c>
    </row>
    <row r="487" spans="1:6" ht="15" customHeight="1" x14ac:dyDescent="0.3">
      <c r="A487" s="205" t="s">
        <v>603</v>
      </c>
      <c r="B487" s="160" t="s">
        <v>30</v>
      </c>
      <c r="C487" s="34">
        <v>45896</v>
      </c>
      <c r="D487">
        <v>22.68</v>
      </c>
      <c r="E487">
        <v>22.27</v>
      </c>
      <c r="F487" s="157">
        <v>2025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34"/>
  <sheetViews>
    <sheetView workbookViewId="0">
      <pane ySplit="1" topLeftCell="A520" activePane="bottomLeft" state="frozen"/>
      <selection pane="bottomLeft" activeCell="F526" sqref="F526:F534"/>
    </sheetView>
  </sheetViews>
  <sheetFormatPr defaultRowHeight="15" customHeight="1" x14ac:dyDescent="0.3"/>
  <cols>
    <col min="1" max="1" width="11.33203125" customWidth="1"/>
    <col min="3" max="3" width="13.33203125" customWidth="1"/>
    <col min="6" max="7" width="13.33203125" style="173" customWidth="1"/>
    <col min="8" max="8" width="12.5546875" style="173" bestFit="1" customWidth="1"/>
    <col min="9" max="9" width="17" style="173" bestFit="1" customWidth="1"/>
    <col min="10" max="10" width="16.88671875" style="173" bestFit="1" customWidth="1"/>
    <col min="11" max="11" width="16.88671875" style="173" customWidth="1"/>
    <col min="12" max="12" width="10.5546875" style="173" bestFit="1" customWidth="1"/>
    <col min="13" max="13" width="16.44140625" style="173" bestFit="1" customWidth="1"/>
    <col min="14" max="14" width="14.88671875" style="176" customWidth="1"/>
  </cols>
  <sheetData>
    <row r="1" spans="1:14" ht="15" customHeight="1" x14ac:dyDescent="0.3">
      <c r="A1" s="166" t="s">
        <v>1</v>
      </c>
      <c r="B1" s="166" t="s">
        <v>2</v>
      </c>
      <c r="C1" s="166" t="s">
        <v>3</v>
      </c>
      <c r="D1" s="166" t="s">
        <v>4</v>
      </c>
      <c r="E1" s="166" t="s">
        <v>5</v>
      </c>
      <c r="F1" s="171" t="s">
        <v>480</v>
      </c>
      <c r="G1" s="171"/>
      <c r="H1" s="171"/>
      <c r="I1" s="171"/>
      <c r="J1" s="171"/>
      <c r="K1" s="171"/>
      <c r="L1" s="171"/>
      <c r="M1" s="171"/>
      <c r="N1" s="174"/>
    </row>
    <row r="2" spans="1:14" ht="14.4" x14ac:dyDescent="0.3">
      <c r="A2" s="167" t="s">
        <v>43</v>
      </c>
      <c r="B2" s="167" t="s">
        <v>29</v>
      </c>
      <c r="C2" s="168">
        <v>33290</v>
      </c>
      <c r="D2" s="169"/>
      <c r="E2" s="170">
        <v>2.4106000000000001</v>
      </c>
      <c r="F2" s="172">
        <v>1991</v>
      </c>
      <c r="G2" s="172"/>
      <c r="H2" s="47" t="s">
        <v>515</v>
      </c>
      <c r="I2" t="s">
        <v>518</v>
      </c>
      <c r="J2" t="s">
        <v>519</v>
      </c>
      <c r="K2"/>
      <c r="L2" t="s">
        <v>480</v>
      </c>
      <c r="M2" t="s">
        <v>589</v>
      </c>
      <c r="N2" s="175" t="s">
        <v>590</v>
      </c>
    </row>
    <row r="3" spans="1:14" ht="14.4" x14ac:dyDescent="0.3">
      <c r="A3" s="167" t="s">
        <v>44</v>
      </c>
      <c r="B3" s="167" t="s">
        <v>29</v>
      </c>
      <c r="C3" s="168">
        <v>33323</v>
      </c>
      <c r="D3" s="170">
        <v>4.9800000000000004</v>
      </c>
      <c r="E3" s="170">
        <v>4.5479000000000003</v>
      </c>
      <c r="F3" s="172">
        <v>1991</v>
      </c>
      <c r="G3" s="172"/>
      <c r="H3" s="9">
        <v>1991</v>
      </c>
      <c r="I3">
        <v>14.703724999999999</v>
      </c>
      <c r="J3">
        <v>15.776087499999999</v>
      </c>
      <c r="K3"/>
      <c r="L3">
        <v>1991</v>
      </c>
      <c r="M3">
        <v>14.703724999999999</v>
      </c>
      <c r="N3" s="175">
        <v>15.776087499999999</v>
      </c>
    </row>
    <row r="4" spans="1:14" ht="14.4" x14ac:dyDescent="0.3">
      <c r="A4" s="167" t="s">
        <v>45</v>
      </c>
      <c r="B4" s="167" t="s">
        <v>29</v>
      </c>
      <c r="C4" s="168">
        <v>33331</v>
      </c>
      <c r="D4" s="170">
        <v>5.7895000000000003</v>
      </c>
      <c r="E4" s="169"/>
      <c r="F4" s="172">
        <v>1991</v>
      </c>
      <c r="G4" s="172"/>
      <c r="H4" s="9">
        <v>1992</v>
      </c>
      <c r="I4">
        <v>11.798190000000002</v>
      </c>
      <c r="J4">
        <v>12.384462500000001</v>
      </c>
      <c r="K4"/>
      <c r="L4">
        <v>1992</v>
      </c>
      <c r="M4">
        <v>11.798190000000002</v>
      </c>
      <c r="N4" s="175">
        <v>12.384462500000001</v>
      </c>
    </row>
    <row r="5" spans="1:14" ht="14.4" x14ac:dyDescent="0.3">
      <c r="A5" s="167" t="s">
        <v>46</v>
      </c>
      <c r="B5" s="167" t="s">
        <v>29</v>
      </c>
      <c r="C5" s="168">
        <v>33360</v>
      </c>
      <c r="D5" s="169"/>
      <c r="E5" s="169"/>
      <c r="F5" s="172">
        <v>1991</v>
      </c>
      <c r="G5" s="172"/>
      <c r="H5" s="9">
        <v>1993</v>
      </c>
      <c r="I5">
        <v>11.055509999999998</v>
      </c>
      <c r="J5">
        <v>14.872737500000001</v>
      </c>
      <c r="K5"/>
      <c r="L5">
        <v>1993</v>
      </c>
      <c r="M5">
        <v>11.055509999999998</v>
      </c>
      <c r="N5" s="175">
        <v>14.872737500000001</v>
      </c>
    </row>
    <row r="6" spans="1:14" ht="14.4" x14ac:dyDescent="0.3">
      <c r="A6" s="167" t="s">
        <v>47</v>
      </c>
      <c r="B6" s="167" t="s">
        <v>29</v>
      </c>
      <c r="C6" s="168">
        <v>33394</v>
      </c>
      <c r="D6" s="170">
        <v>18.557200000000002</v>
      </c>
      <c r="E6" s="170">
        <v>17.075099999999999</v>
      </c>
      <c r="F6" s="172">
        <v>1991</v>
      </c>
      <c r="G6" s="172"/>
      <c r="H6" s="9">
        <v>1994</v>
      </c>
      <c r="I6">
        <v>9.9066666666666663</v>
      </c>
      <c r="J6">
        <v>13.266666666666667</v>
      </c>
      <c r="K6"/>
      <c r="L6">
        <v>1994</v>
      </c>
      <c r="M6">
        <v>9.9066666666666663</v>
      </c>
      <c r="N6" s="175">
        <v>13.266666666666667</v>
      </c>
    </row>
    <row r="7" spans="1:14" ht="14.4" x14ac:dyDescent="0.3">
      <c r="A7" s="167" t="s">
        <v>48</v>
      </c>
      <c r="B7" s="167" t="s">
        <v>29</v>
      </c>
      <c r="C7" s="168">
        <v>33428</v>
      </c>
      <c r="D7" s="170">
        <v>21.735299999999999</v>
      </c>
      <c r="E7" s="170">
        <v>19.57</v>
      </c>
      <c r="F7" s="172">
        <v>1991</v>
      </c>
      <c r="G7" s="172"/>
      <c r="H7" s="9">
        <v>1995</v>
      </c>
      <c r="I7">
        <v>12.737026666666669</v>
      </c>
      <c r="J7">
        <v>14.091706666666665</v>
      </c>
      <c r="K7"/>
      <c r="L7">
        <v>1995</v>
      </c>
      <c r="M7">
        <v>12.737026666666669</v>
      </c>
      <c r="N7" s="175">
        <v>14.091706666666665</v>
      </c>
    </row>
    <row r="8" spans="1:14" ht="14.4" x14ac:dyDescent="0.3">
      <c r="A8" s="167" t="s">
        <v>49</v>
      </c>
      <c r="B8" s="167" t="s">
        <v>29</v>
      </c>
      <c r="C8" s="168">
        <v>33462</v>
      </c>
      <c r="D8" s="170">
        <v>22.646799999999999</v>
      </c>
      <c r="E8" s="170">
        <v>21.273900000000001</v>
      </c>
      <c r="F8" s="172">
        <v>1991</v>
      </c>
      <c r="G8" s="172"/>
      <c r="H8" s="9">
        <v>1996</v>
      </c>
      <c r="I8">
        <v>13.106923076923078</v>
      </c>
      <c r="J8">
        <v>15.213571428571429</v>
      </c>
      <c r="K8"/>
      <c r="L8">
        <v>1996</v>
      </c>
      <c r="M8">
        <v>13.106923076923078</v>
      </c>
      <c r="N8" s="175">
        <v>15.213571428571429</v>
      </c>
    </row>
    <row r="9" spans="1:14" ht="14.4" x14ac:dyDescent="0.3">
      <c r="A9" s="167" t="s">
        <v>50</v>
      </c>
      <c r="B9" s="167" t="s">
        <v>29</v>
      </c>
      <c r="C9" s="168">
        <v>33487</v>
      </c>
      <c r="D9" s="170">
        <v>22.465599999999998</v>
      </c>
      <c r="E9" s="170">
        <v>22.385999999999999</v>
      </c>
      <c r="F9" s="172">
        <v>1991</v>
      </c>
      <c r="G9" s="172"/>
      <c r="H9" s="9">
        <v>1997</v>
      </c>
      <c r="I9">
        <v>12.369166666666667</v>
      </c>
      <c r="J9">
        <v>14.523999999999999</v>
      </c>
      <c r="K9"/>
      <c r="L9">
        <v>1997</v>
      </c>
      <c r="M9">
        <v>12.369166666666667</v>
      </c>
      <c r="N9" s="175">
        <v>14.523999999999999</v>
      </c>
    </row>
    <row r="10" spans="1:14" ht="14.4" x14ac:dyDescent="0.3">
      <c r="A10" s="167" t="s">
        <v>51</v>
      </c>
      <c r="B10" s="167" t="s">
        <v>29</v>
      </c>
      <c r="C10" s="168">
        <v>33513</v>
      </c>
      <c r="D10" s="170">
        <v>19.5565</v>
      </c>
      <c r="E10" s="170">
        <v>19.596299999999999</v>
      </c>
      <c r="F10" s="172">
        <v>1991</v>
      </c>
      <c r="G10" s="172"/>
      <c r="H10" s="9">
        <v>1998</v>
      </c>
      <c r="I10">
        <v>12.834375</v>
      </c>
      <c r="J10">
        <v>14.497777777777779</v>
      </c>
      <c r="K10"/>
      <c r="L10">
        <v>1998</v>
      </c>
      <c r="M10">
        <v>12.834375</v>
      </c>
      <c r="N10" s="175">
        <v>14.497777777777779</v>
      </c>
    </row>
    <row r="11" spans="1:14" ht="14.4" x14ac:dyDescent="0.3">
      <c r="A11" s="167" t="s">
        <v>52</v>
      </c>
      <c r="B11" s="167" t="s">
        <v>29</v>
      </c>
      <c r="C11" s="168">
        <v>33556</v>
      </c>
      <c r="D11" s="170">
        <v>10.4778</v>
      </c>
      <c r="E11" s="170">
        <v>10.77</v>
      </c>
      <c r="F11" s="172">
        <v>1991</v>
      </c>
      <c r="G11" s="172"/>
      <c r="H11" s="9">
        <v>1999</v>
      </c>
      <c r="I11">
        <v>12.009411764705883</v>
      </c>
      <c r="J11">
        <v>13.708823529411763</v>
      </c>
      <c r="K11"/>
      <c r="L11">
        <v>1999</v>
      </c>
      <c r="M11">
        <v>12.009411764705883</v>
      </c>
      <c r="N11" s="175">
        <v>13.708823529411763</v>
      </c>
    </row>
    <row r="12" spans="1:14" ht="14.4" x14ac:dyDescent="0.3">
      <c r="A12" s="167" t="s">
        <v>53</v>
      </c>
      <c r="B12" s="167" t="s">
        <v>29</v>
      </c>
      <c r="C12" s="168">
        <v>33611</v>
      </c>
      <c r="D12" s="170">
        <v>4.4394</v>
      </c>
      <c r="E12" s="170">
        <v>4.5061999999999998</v>
      </c>
      <c r="F12" s="172">
        <v>1992</v>
      </c>
      <c r="G12" s="172"/>
      <c r="H12" s="9">
        <v>2000</v>
      </c>
      <c r="I12">
        <v>11.48294117647059</v>
      </c>
      <c r="J12">
        <v>12.570000000000002</v>
      </c>
      <c r="K12"/>
      <c r="L12">
        <v>2000</v>
      </c>
      <c r="M12">
        <v>11.48294117647059</v>
      </c>
      <c r="N12" s="175">
        <v>12.570000000000002</v>
      </c>
    </row>
    <row r="13" spans="1:14" ht="14.4" x14ac:dyDescent="0.3">
      <c r="A13" s="167" t="s">
        <v>54</v>
      </c>
      <c r="B13" s="167" t="s">
        <v>29</v>
      </c>
      <c r="C13" s="168">
        <v>33640</v>
      </c>
      <c r="D13" s="170">
        <v>1.5304</v>
      </c>
      <c r="E13" s="170">
        <v>1.9635</v>
      </c>
      <c r="F13" s="172">
        <v>1992</v>
      </c>
      <c r="G13" s="172"/>
      <c r="H13" s="9">
        <v>2001</v>
      </c>
      <c r="I13">
        <v>12.731428571428571</v>
      </c>
      <c r="J13">
        <v>14.648666666666667</v>
      </c>
      <c r="K13"/>
      <c r="L13">
        <v>2001</v>
      </c>
      <c r="M13">
        <v>12.731428571428571</v>
      </c>
      <c r="N13" s="175">
        <v>14.648666666666667</v>
      </c>
    </row>
    <row r="14" spans="1:14" ht="14.4" x14ac:dyDescent="0.3">
      <c r="A14" s="167" t="s">
        <v>55</v>
      </c>
      <c r="B14" s="167" t="s">
        <v>29</v>
      </c>
      <c r="C14" s="168">
        <v>33730</v>
      </c>
      <c r="D14" s="169"/>
      <c r="E14" s="170">
        <v>8.4094999999999995</v>
      </c>
      <c r="F14" s="172">
        <v>1992</v>
      </c>
      <c r="G14" s="172"/>
      <c r="H14" s="9">
        <v>2002</v>
      </c>
      <c r="I14">
        <v>12.230588235294119</v>
      </c>
      <c r="J14">
        <v>13.669411764705883</v>
      </c>
      <c r="K14"/>
      <c r="L14">
        <v>2002</v>
      </c>
      <c r="M14">
        <v>12.230588235294119</v>
      </c>
      <c r="N14" s="175">
        <v>13.669411764705883</v>
      </c>
    </row>
    <row r="15" spans="1:14" ht="14.4" x14ac:dyDescent="0.3">
      <c r="A15" s="167" t="s">
        <v>56</v>
      </c>
      <c r="B15" s="167" t="s">
        <v>29</v>
      </c>
      <c r="C15" s="168">
        <v>33758</v>
      </c>
      <c r="D15" s="170">
        <v>15.8651</v>
      </c>
      <c r="E15" s="170">
        <v>12.571999999999999</v>
      </c>
      <c r="F15" s="172">
        <v>1992</v>
      </c>
      <c r="G15" s="172"/>
      <c r="H15" s="9">
        <v>2003</v>
      </c>
      <c r="I15">
        <v>11.037333333333333</v>
      </c>
      <c r="J15">
        <v>12.57066666666667</v>
      </c>
      <c r="K15"/>
      <c r="L15">
        <v>2003</v>
      </c>
      <c r="M15">
        <v>11.037333333333333</v>
      </c>
      <c r="N15" s="175">
        <v>12.57066666666667</v>
      </c>
    </row>
    <row r="16" spans="1:14" ht="14.4" x14ac:dyDescent="0.3">
      <c r="A16" s="167" t="s">
        <v>57</v>
      </c>
      <c r="B16" s="167" t="s">
        <v>29</v>
      </c>
      <c r="C16" s="168">
        <v>33794</v>
      </c>
      <c r="D16" s="169"/>
      <c r="E16" s="170">
        <v>15.1859</v>
      </c>
      <c r="F16" s="172">
        <v>1992</v>
      </c>
      <c r="G16" s="172"/>
      <c r="H16" s="9">
        <v>2004</v>
      </c>
      <c r="I16">
        <v>11.062666666666665</v>
      </c>
      <c r="J16">
        <v>12.694000000000001</v>
      </c>
      <c r="K16"/>
      <c r="L16">
        <v>2004</v>
      </c>
      <c r="M16">
        <v>11.062666666666665</v>
      </c>
      <c r="N16" s="175">
        <v>12.694000000000001</v>
      </c>
    </row>
    <row r="17" spans="1:14" ht="14.4" x14ac:dyDescent="0.3">
      <c r="A17" s="167" t="s">
        <v>58</v>
      </c>
      <c r="B17" s="167" t="s">
        <v>29</v>
      </c>
      <c r="C17" s="168">
        <v>33822</v>
      </c>
      <c r="D17" s="170">
        <v>20.889399999999998</v>
      </c>
      <c r="E17" s="170">
        <v>18.967700000000001</v>
      </c>
      <c r="F17" s="172">
        <v>1992</v>
      </c>
      <c r="G17" s="172"/>
      <c r="H17" s="9">
        <v>2005</v>
      </c>
      <c r="I17">
        <v>11.907333333333334</v>
      </c>
      <c r="J17">
        <v>13.465</v>
      </c>
      <c r="K17"/>
      <c r="L17">
        <v>2005</v>
      </c>
      <c r="M17">
        <v>11.907333333333334</v>
      </c>
      <c r="N17" s="175">
        <v>13.465</v>
      </c>
    </row>
    <row r="18" spans="1:14" ht="14.4" x14ac:dyDescent="0.3">
      <c r="A18" s="167" t="s">
        <v>59</v>
      </c>
      <c r="B18" s="167" t="s">
        <v>29</v>
      </c>
      <c r="C18" s="168">
        <v>33849</v>
      </c>
      <c r="D18" s="170">
        <v>21.212299999999999</v>
      </c>
      <c r="E18" s="170">
        <v>20.958300000000001</v>
      </c>
      <c r="F18" s="172">
        <v>1992</v>
      </c>
      <c r="G18" s="172"/>
      <c r="H18" s="9">
        <v>2006</v>
      </c>
      <c r="I18">
        <v>14.553636363636365</v>
      </c>
      <c r="J18">
        <v>16.257272727272728</v>
      </c>
      <c r="K18"/>
      <c r="L18">
        <v>2006</v>
      </c>
      <c r="M18">
        <v>14.553636363636365</v>
      </c>
      <c r="N18" s="175">
        <v>16.257272727272728</v>
      </c>
    </row>
    <row r="19" spans="1:14" ht="14.4" x14ac:dyDescent="0.3">
      <c r="A19" s="167" t="s">
        <v>60</v>
      </c>
      <c r="B19" s="167" t="s">
        <v>29</v>
      </c>
      <c r="C19" s="168">
        <v>33884</v>
      </c>
      <c r="D19" s="170">
        <v>17.075900000000001</v>
      </c>
      <c r="E19" s="170">
        <v>16.9663</v>
      </c>
      <c r="F19" s="172">
        <v>1992</v>
      </c>
      <c r="G19" s="172"/>
      <c r="H19" s="9">
        <v>2007</v>
      </c>
      <c r="I19">
        <v>12.258235294117648</v>
      </c>
      <c r="J19">
        <v>13.341874999999998</v>
      </c>
      <c r="K19"/>
      <c r="L19">
        <v>2007</v>
      </c>
      <c r="M19">
        <v>12.258235294117648</v>
      </c>
      <c r="N19" s="175">
        <v>13.341874999999998</v>
      </c>
    </row>
    <row r="20" spans="1:14" ht="14.4" x14ac:dyDescent="0.3">
      <c r="A20" s="167" t="s">
        <v>61</v>
      </c>
      <c r="B20" s="167" t="s">
        <v>29</v>
      </c>
      <c r="C20" s="168">
        <v>33913</v>
      </c>
      <c r="D20" s="170">
        <v>12.4175</v>
      </c>
      <c r="E20" s="170">
        <v>12.610900000000001</v>
      </c>
      <c r="F20" s="172">
        <v>1992</v>
      </c>
      <c r="G20" s="172"/>
      <c r="H20" s="9">
        <v>2008</v>
      </c>
      <c r="I20">
        <v>11.960555555555553</v>
      </c>
      <c r="J20">
        <v>13.412222222222223</v>
      </c>
      <c r="K20"/>
      <c r="L20">
        <v>2008</v>
      </c>
      <c r="M20">
        <v>11.960555555555553</v>
      </c>
      <c r="N20" s="175">
        <v>13.412222222222223</v>
      </c>
    </row>
    <row r="21" spans="1:14" ht="14.4" x14ac:dyDescent="0.3">
      <c r="A21" s="167" t="s">
        <v>62</v>
      </c>
      <c r="B21" s="167" t="s">
        <v>29</v>
      </c>
      <c r="C21" s="168">
        <v>33953</v>
      </c>
      <c r="D21" s="170">
        <v>5.6456999999999997</v>
      </c>
      <c r="E21" s="170">
        <v>5.8415999999999997</v>
      </c>
      <c r="F21" s="172">
        <v>1992</v>
      </c>
      <c r="G21" s="172"/>
      <c r="H21" s="9">
        <v>2009</v>
      </c>
      <c r="I21">
        <v>11.186470588235293</v>
      </c>
      <c r="J21">
        <v>12.431764705882353</v>
      </c>
      <c r="K21"/>
      <c r="L21">
        <v>2009</v>
      </c>
      <c r="M21">
        <v>11.186470588235293</v>
      </c>
      <c r="N21" s="175">
        <v>12.431764705882353</v>
      </c>
    </row>
    <row r="22" spans="1:14" ht="14.4" x14ac:dyDescent="0.3">
      <c r="A22" s="167" t="s">
        <v>63</v>
      </c>
      <c r="B22" s="167" t="s">
        <v>29</v>
      </c>
      <c r="C22" s="168">
        <v>33984</v>
      </c>
      <c r="D22" s="170">
        <v>3.1535000000000002</v>
      </c>
      <c r="E22" s="170">
        <v>3.2606999999999999</v>
      </c>
      <c r="F22" s="172">
        <v>1993</v>
      </c>
      <c r="G22" s="172"/>
      <c r="H22" s="9">
        <v>2010</v>
      </c>
      <c r="I22">
        <v>12.143125</v>
      </c>
      <c r="J22">
        <v>13.575625000000002</v>
      </c>
      <c r="K22"/>
      <c r="L22">
        <v>2010</v>
      </c>
      <c r="M22">
        <v>12.143125</v>
      </c>
      <c r="N22" s="175">
        <v>13.575625000000002</v>
      </c>
    </row>
    <row r="23" spans="1:14" ht="14.4" x14ac:dyDescent="0.3">
      <c r="A23" s="167" t="s">
        <v>64</v>
      </c>
      <c r="B23" s="167" t="s">
        <v>29</v>
      </c>
      <c r="C23" s="168">
        <v>34010</v>
      </c>
      <c r="D23" s="169"/>
      <c r="E23" s="170">
        <v>1.3391999999999999</v>
      </c>
      <c r="F23" s="172">
        <v>1993</v>
      </c>
      <c r="G23" s="172"/>
      <c r="H23" s="9">
        <v>2011</v>
      </c>
      <c r="I23">
        <v>11.062000000000001</v>
      </c>
      <c r="J23">
        <v>12.823333333333332</v>
      </c>
      <c r="K23"/>
      <c r="L23">
        <v>2011</v>
      </c>
      <c r="M23">
        <v>11.062000000000001</v>
      </c>
      <c r="N23" s="175">
        <v>12.823333333333332</v>
      </c>
    </row>
    <row r="24" spans="1:14" ht="14.4" x14ac:dyDescent="0.3">
      <c r="A24" s="167" t="s">
        <v>65</v>
      </c>
      <c r="B24" s="167" t="s">
        <v>29</v>
      </c>
      <c r="C24" s="168">
        <v>34038</v>
      </c>
      <c r="D24" s="169"/>
      <c r="E24" s="170">
        <v>1.1581999999999999</v>
      </c>
      <c r="F24" s="172">
        <v>1993</v>
      </c>
      <c r="G24" s="172"/>
      <c r="H24" s="9">
        <v>2012</v>
      </c>
      <c r="I24">
        <v>13.354444444444445</v>
      </c>
      <c r="J24">
        <v>14.496666666666666</v>
      </c>
      <c r="K24"/>
      <c r="L24">
        <v>2012</v>
      </c>
      <c r="M24">
        <v>13.354444444444445</v>
      </c>
      <c r="N24" s="175">
        <v>14.496666666666666</v>
      </c>
    </row>
    <row r="25" spans="1:14" ht="14.4" x14ac:dyDescent="0.3">
      <c r="A25" s="167" t="s">
        <v>66</v>
      </c>
      <c r="B25" s="167" t="s">
        <v>29</v>
      </c>
      <c r="C25" s="168">
        <v>34096</v>
      </c>
      <c r="D25" s="170">
        <v>12.421099999999999</v>
      </c>
      <c r="E25" s="170">
        <v>10.262600000000001</v>
      </c>
      <c r="F25" s="172">
        <v>1993</v>
      </c>
      <c r="G25" s="172"/>
      <c r="H25" s="9">
        <v>2013</v>
      </c>
      <c r="I25">
        <v>12.841764705882353</v>
      </c>
      <c r="J25">
        <v>14.32529411764706</v>
      </c>
      <c r="K25"/>
      <c r="L25">
        <v>2013</v>
      </c>
      <c r="M25">
        <v>12.841764705882353</v>
      </c>
      <c r="N25" s="175">
        <v>14.32529411764706</v>
      </c>
    </row>
    <row r="26" spans="1:14" ht="14.4" x14ac:dyDescent="0.3">
      <c r="A26" s="167" t="s">
        <v>67</v>
      </c>
      <c r="B26" s="167" t="s">
        <v>29</v>
      </c>
      <c r="C26" s="168">
        <v>34122</v>
      </c>
      <c r="D26" s="170">
        <v>13.3461</v>
      </c>
      <c r="E26" s="170">
        <v>11.8904</v>
      </c>
      <c r="F26" s="172">
        <v>1993</v>
      </c>
      <c r="G26" s="172"/>
      <c r="H26" s="9">
        <v>2014</v>
      </c>
      <c r="I26">
        <v>11.744117647058824</v>
      </c>
      <c r="J26">
        <v>13.157058823529415</v>
      </c>
      <c r="K26"/>
      <c r="L26">
        <v>2014</v>
      </c>
      <c r="M26">
        <v>11.744117647058824</v>
      </c>
      <c r="N26" s="175">
        <v>13.157058823529415</v>
      </c>
    </row>
    <row r="27" spans="1:14" ht="14.4" x14ac:dyDescent="0.3">
      <c r="A27" s="167" t="s">
        <v>68</v>
      </c>
      <c r="B27" s="167" t="s">
        <v>29</v>
      </c>
      <c r="C27" s="168">
        <v>34158</v>
      </c>
      <c r="D27" s="170">
        <v>21.220099999999999</v>
      </c>
      <c r="E27" s="170">
        <v>17.0547</v>
      </c>
      <c r="F27" s="172">
        <v>1993</v>
      </c>
      <c r="G27" s="172"/>
      <c r="H27" s="9">
        <v>2015</v>
      </c>
      <c r="I27">
        <v>11.761875</v>
      </c>
      <c r="J27">
        <v>13.169375</v>
      </c>
      <c r="K27"/>
      <c r="L27">
        <v>2015</v>
      </c>
      <c r="M27">
        <v>11.761875</v>
      </c>
      <c r="N27" s="175">
        <v>13.169375</v>
      </c>
    </row>
    <row r="28" spans="1:14" ht="14.4" x14ac:dyDescent="0.3">
      <c r="A28" s="167" t="s">
        <v>69</v>
      </c>
      <c r="B28" s="167" t="s">
        <v>29</v>
      </c>
      <c r="C28" s="168">
        <v>34184</v>
      </c>
      <c r="D28" s="170">
        <v>21.356000000000002</v>
      </c>
      <c r="E28" s="170">
        <v>18.5989</v>
      </c>
      <c r="F28" s="172">
        <v>1993</v>
      </c>
      <c r="G28" s="172"/>
      <c r="H28" s="9">
        <v>2016</v>
      </c>
      <c r="I28">
        <v>13.036470588235295</v>
      </c>
      <c r="J28">
        <v>14.799375</v>
      </c>
      <c r="K28"/>
      <c r="L28">
        <v>2016</v>
      </c>
      <c r="M28">
        <v>13.036470588235295</v>
      </c>
      <c r="N28" s="175">
        <v>14.799375</v>
      </c>
    </row>
    <row r="29" spans="1:14" ht="14.4" x14ac:dyDescent="0.3">
      <c r="A29" s="167" t="s">
        <v>70</v>
      </c>
      <c r="B29" s="167" t="s">
        <v>29</v>
      </c>
      <c r="C29" s="168">
        <v>34220</v>
      </c>
      <c r="D29" s="170">
        <v>22.9312</v>
      </c>
      <c r="E29" s="170">
        <v>22.267299999999999</v>
      </c>
      <c r="F29" s="172">
        <v>1993</v>
      </c>
      <c r="G29" s="172"/>
      <c r="H29" s="9">
        <v>2017</v>
      </c>
      <c r="I29">
        <v>12.811250000000003</v>
      </c>
      <c r="J29">
        <v>13.949374999999998</v>
      </c>
      <c r="K29"/>
      <c r="L29">
        <v>2017</v>
      </c>
      <c r="M29">
        <v>12.811250000000003</v>
      </c>
      <c r="N29" s="175">
        <v>13.949374999999998</v>
      </c>
    </row>
    <row r="30" spans="1:14" ht="14.4" x14ac:dyDescent="0.3">
      <c r="A30" s="167" t="s">
        <v>71</v>
      </c>
      <c r="B30" s="167" t="s">
        <v>29</v>
      </c>
      <c r="C30" s="168">
        <v>34248</v>
      </c>
      <c r="D30" s="170">
        <v>17.649899999999999</v>
      </c>
      <c r="E30" s="170">
        <v>17.842300000000002</v>
      </c>
      <c r="F30" s="172">
        <v>1993</v>
      </c>
      <c r="G30" s="172"/>
      <c r="H30" s="9">
        <v>2018</v>
      </c>
      <c r="I30">
        <v>12.560588235294118</v>
      </c>
      <c r="J30">
        <v>14.070588235294117</v>
      </c>
      <c r="K30"/>
      <c r="L30">
        <v>2018</v>
      </c>
      <c r="M30">
        <v>12.560588235294118</v>
      </c>
      <c r="N30" s="175">
        <v>14.070588235294117</v>
      </c>
    </row>
    <row r="31" spans="1:14" ht="14.4" x14ac:dyDescent="0.3">
      <c r="A31" s="167" t="s">
        <v>72</v>
      </c>
      <c r="B31" s="167" t="s">
        <v>29</v>
      </c>
      <c r="C31" s="168">
        <v>34320</v>
      </c>
      <c r="D31" s="170">
        <v>6.9039999999999999</v>
      </c>
      <c r="E31" s="170">
        <v>6.8807999999999998</v>
      </c>
      <c r="F31" s="172">
        <v>1993</v>
      </c>
      <c r="G31" s="172"/>
      <c r="H31" s="9">
        <v>2019</v>
      </c>
      <c r="I31">
        <v>12.491764705882352</v>
      </c>
      <c r="J31">
        <v>13.788823529411763</v>
      </c>
      <c r="K31"/>
      <c r="L31">
        <v>2019</v>
      </c>
      <c r="M31">
        <v>12.491764705882352</v>
      </c>
      <c r="N31" s="175">
        <v>13.788823529411763</v>
      </c>
    </row>
    <row r="32" spans="1:14" ht="14.4" x14ac:dyDescent="0.3">
      <c r="A32" s="167" t="s">
        <v>73</v>
      </c>
      <c r="B32" s="167" t="s">
        <v>29</v>
      </c>
      <c r="C32" s="168">
        <v>34348</v>
      </c>
      <c r="D32" s="170">
        <v>0.98</v>
      </c>
      <c r="E32" s="170">
        <v>1.51</v>
      </c>
      <c r="F32" s="172">
        <v>1994</v>
      </c>
      <c r="G32" s="172"/>
      <c r="H32" s="9">
        <v>2020</v>
      </c>
      <c r="I32">
        <v>15.781000000000001</v>
      </c>
      <c r="J32">
        <v>17.837</v>
      </c>
      <c r="K32"/>
      <c r="L32">
        <v>2020</v>
      </c>
      <c r="M32">
        <v>15.781000000000001</v>
      </c>
      <c r="N32" s="175">
        <v>17.837</v>
      </c>
    </row>
    <row r="33" spans="1:14" ht="14.4" x14ac:dyDescent="0.3">
      <c r="A33" s="167" t="s">
        <v>74</v>
      </c>
      <c r="B33" s="167" t="s">
        <v>29</v>
      </c>
      <c r="C33" s="168">
        <v>34372</v>
      </c>
      <c r="D33" s="170">
        <v>-0.71</v>
      </c>
      <c r="E33" s="170">
        <v>-0.54</v>
      </c>
      <c r="F33" s="172">
        <v>1994</v>
      </c>
      <c r="G33" s="172"/>
      <c r="H33" s="9">
        <v>2021</v>
      </c>
      <c r="I33">
        <v>15.302142857142856</v>
      </c>
      <c r="J33">
        <v>17.337142857142855</v>
      </c>
      <c r="K33"/>
      <c r="L33">
        <v>2021</v>
      </c>
      <c r="M33">
        <v>15.302142857142856</v>
      </c>
      <c r="N33" s="175">
        <v>17.337142857142855</v>
      </c>
    </row>
    <row r="34" spans="1:14" ht="14.4" x14ac:dyDescent="0.3">
      <c r="A34" s="167" t="s">
        <v>75</v>
      </c>
      <c r="B34" s="167" t="s">
        <v>29</v>
      </c>
      <c r="C34" s="168">
        <v>34401</v>
      </c>
      <c r="D34" s="170">
        <v>0.28000000000000003</v>
      </c>
      <c r="E34" s="170">
        <v>-0.52</v>
      </c>
      <c r="F34" s="172">
        <v>1994</v>
      </c>
      <c r="G34" s="172"/>
      <c r="H34" s="9">
        <v>2022</v>
      </c>
      <c r="I34">
        <v>13.53125</v>
      </c>
      <c r="J34">
        <v>14.709375</v>
      </c>
      <c r="K34"/>
      <c r="L34">
        <v>2022</v>
      </c>
      <c r="M34">
        <v>13.53125</v>
      </c>
      <c r="N34" s="175">
        <v>14.709375</v>
      </c>
    </row>
    <row r="35" spans="1:14" ht="14.4" x14ac:dyDescent="0.3">
      <c r="A35" s="167" t="s">
        <v>76</v>
      </c>
      <c r="B35" s="167" t="s">
        <v>29</v>
      </c>
      <c r="C35" s="168">
        <v>34430</v>
      </c>
      <c r="D35" s="170">
        <v>5.0999999999999996</v>
      </c>
      <c r="E35" s="170">
        <v>2.46</v>
      </c>
      <c r="F35" s="172">
        <v>1994</v>
      </c>
      <c r="G35" s="172"/>
      <c r="H35" s="9">
        <v>2023</v>
      </c>
      <c r="I35">
        <v>14.849999999999998</v>
      </c>
      <c r="J35">
        <v>16.175000000000001</v>
      </c>
      <c r="K35"/>
      <c r="L35">
        <v>2023</v>
      </c>
      <c r="M35">
        <v>14.849999999999998</v>
      </c>
      <c r="N35" s="175">
        <v>16.175000000000001</v>
      </c>
    </row>
    <row r="36" spans="1:14" ht="14.4" x14ac:dyDescent="0.3">
      <c r="A36" s="167" t="s">
        <v>77</v>
      </c>
      <c r="B36" s="167" t="s">
        <v>29</v>
      </c>
      <c r="C36" s="168">
        <v>34458</v>
      </c>
      <c r="D36" s="170">
        <v>9.8000000000000007</v>
      </c>
      <c r="E36" s="170">
        <v>7.3</v>
      </c>
      <c r="F36" s="172">
        <v>1994</v>
      </c>
      <c r="G36" s="172"/>
      <c r="H36" s="9">
        <v>2024</v>
      </c>
      <c r="I36">
        <v>12.208666666666666</v>
      </c>
      <c r="J36">
        <v>14.012</v>
      </c>
      <c r="K36"/>
      <c r="L36">
        <v>2024</v>
      </c>
      <c r="M36">
        <v>12.208666666666666</v>
      </c>
      <c r="N36" s="175">
        <v>14.012</v>
      </c>
    </row>
    <row r="37" spans="1:14" ht="14.4" x14ac:dyDescent="0.3">
      <c r="A37" s="167" t="s">
        <v>78</v>
      </c>
      <c r="B37" s="167" t="s">
        <v>29</v>
      </c>
      <c r="C37" s="168">
        <v>34487</v>
      </c>
      <c r="D37" s="170">
        <v>14.2</v>
      </c>
      <c r="E37" s="170">
        <v>10.88</v>
      </c>
      <c r="F37" s="172">
        <v>1994</v>
      </c>
      <c r="G37" s="172"/>
      <c r="H37" s="9" t="s">
        <v>516</v>
      </c>
      <c r="I37"/>
      <c r="J37"/>
      <c r="K37"/>
      <c r="L37" t="s">
        <v>516</v>
      </c>
      <c r="M37"/>
      <c r="N37" s="175"/>
    </row>
    <row r="38" spans="1:14" ht="14.4" x14ac:dyDescent="0.3">
      <c r="A38" s="167" t="s">
        <v>79</v>
      </c>
      <c r="B38" s="167" t="s">
        <v>29</v>
      </c>
      <c r="C38" s="168">
        <v>34507</v>
      </c>
      <c r="D38" s="170">
        <v>20.170000000000002</v>
      </c>
      <c r="E38" s="169"/>
      <c r="F38" s="172">
        <v>1994</v>
      </c>
      <c r="G38" s="172"/>
      <c r="H38" s="9" t="s">
        <v>517</v>
      </c>
      <c r="I38">
        <v>12.47750436507936</v>
      </c>
      <c r="J38">
        <v>14.068859763313613</v>
      </c>
      <c r="K38"/>
      <c r="L38" t="s">
        <v>517</v>
      </c>
      <c r="M38">
        <v>12.47750436507936</v>
      </c>
      <c r="N38" s="175">
        <v>14.068859763313613</v>
      </c>
    </row>
    <row r="39" spans="1:14" ht="15" customHeight="1" x14ac:dyDescent="0.3">
      <c r="A39" s="167" t="s">
        <v>80</v>
      </c>
      <c r="B39" s="167" t="s">
        <v>29</v>
      </c>
      <c r="C39" s="168">
        <v>34520</v>
      </c>
      <c r="D39" s="170">
        <v>20.28</v>
      </c>
      <c r="E39" s="170">
        <v>15.52</v>
      </c>
      <c r="F39" s="172">
        <v>1994</v>
      </c>
      <c r="G39" s="172"/>
      <c r="H39" s="172"/>
      <c r="I39" s="172"/>
      <c r="J39" s="172"/>
      <c r="K39" s="172"/>
      <c r="L39" s="172"/>
      <c r="M39" s="172"/>
      <c r="N39" s="175"/>
    </row>
    <row r="40" spans="1:14" ht="15" customHeight="1" x14ac:dyDescent="0.3">
      <c r="A40" s="167" t="s">
        <v>81</v>
      </c>
      <c r="B40" s="167" t="s">
        <v>29</v>
      </c>
      <c r="C40" s="168">
        <v>34535</v>
      </c>
      <c r="D40" s="170">
        <v>21.7</v>
      </c>
      <c r="E40" s="169"/>
      <c r="F40" s="172">
        <v>1994</v>
      </c>
      <c r="G40" s="172"/>
      <c r="H40" s="172"/>
      <c r="I40" s="172"/>
      <c r="J40" s="172"/>
      <c r="K40" s="172"/>
      <c r="L40" s="172"/>
      <c r="M40" s="172"/>
      <c r="N40" s="175"/>
    </row>
    <row r="41" spans="1:14" ht="15" customHeight="1" x14ac:dyDescent="0.3">
      <c r="A41" s="167" t="s">
        <v>82</v>
      </c>
      <c r="B41" s="167" t="s">
        <v>29</v>
      </c>
      <c r="C41" s="168">
        <v>34548</v>
      </c>
      <c r="D41" s="170">
        <v>22.5</v>
      </c>
      <c r="E41" s="170">
        <v>18.53</v>
      </c>
      <c r="F41" s="172">
        <v>1994</v>
      </c>
      <c r="G41" s="172"/>
      <c r="H41" s="172"/>
      <c r="I41" s="172"/>
      <c r="J41" s="172"/>
      <c r="K41" s="172"/>
      <c r="L41" s="172"/>
      <c r="M41" s="172"/>
      <c r="N41" s="175"/>
    </row>
    <row r="42" spans="1:14" ht="15" customHeight="1" x14ac:dyDescent="0.3">
      <c r="A42" s="167" t="s">
        <v>83</v>
      </c>
      <c r="B42" s="167" t="s">
        <v>29</v>
      </c>
      <c r="C42" s="168">
        <v>34562</v>
      </c>
      <c r="D42" s="170">
        <v>21.31</v>
      </c>
      <c r="E42" s="169"/>
      <c r="F42" s="172">
        <v>1994</v>
      </c>
      <c r="G42" s="172"/>
      <c r="H42" s="172"/>
      <c r="I42" s="172"/>
      <c r="J42" s="172"/>
      <c r="K42" s="172"/>
      <c r="L42" s="172"/>
      <c r="M42" s="172"/>
      <c r="N42" s="175"/>
    </row>
    <row r="43" spans="1:14" ht="15" customHeight="1" x14ac:dyDescent="0.3">
      <c r="A43" s="167" t="s">
        <v>84</v>
      </c>
      <c r="B43" s="167" t="s">
        <v>29</v>
      </c>
      <c r="C43" s="168">
        <v>34576</v>
      </c>
      <c r="D43" s="170">
        <v>21.83</v>
      </c>
      <c r="E43" s="170">
        <v>21.28</v>
      </c>
      <c r="F43" s="172">
        <v>1994</v>
      </c>
      <c r="G43" s="172"/>
      <c r="H43" s="172"/>
      <c r="I43" s="172"/>
      <c r="J43" s="172"/>
      <c r="K43" s="172"/>
      <c r="L43" s="172"/>
      <c r="M43" s="172"/>
      <c r="N43" s="175"/>
    </row>
    <row r="44" spans="1:14" ht="15" customHeight="1" x14ac:dyDescent="0.3">
      <c r="A44" s="167" t="s">
        <v>86</v>
      </c>
      <c r="B44" s="167" t="s">
        <v>29</v>
      </c>
      <c r="C44" s="168">
        <v>34612</v>
      </c>
      <c r="D44" s="170">
        <v>18.12</v>
      </c>
      <c r="E44" s="170">
        <v>18.27</v>
      </c>
      <c r="F44" s="172">
        <v>1994</v>
      </c>
      <c r="G44" s="172"/>
      <c r="H44" s="172"/>
      <c r="I44" s="172"/>
      <c r="J44" s="172"/>
      <c r="K44" s="172"/>
      <c r="L44" s="172"/>
      <c r="M44" s="172"/>
      <c r="N44" s="175"/>
    </row>
    <row r="45" spans="1:14" ht="15" customHeight="1" x14ac:dyDescent="0.3">
      <c r="A45" s="167" t="s">
        <v>87</v>
      </c>
      <c r="B45" s="167" t="s">
        <v>29</v>
      </c>
      <c r="C45" s="168">
        <v>34648</v>
      </c>
      <c r="D45" s="170">
        <v>14.27</v>
      </c>
      <c r="E45" s="170">
        <v>14.53</v>
      </c>
      <c r="F45" s="172">
        <v>1994</v>
      </c>
      <c r="G45" s="172"/>
      <c r="H45" s="172"/>
      <c r="I45" s="172"/>
      <c r="J45" s="172"/>
      <c r="K45" s="172"/>
      <c r="L45" s="172"/>
      <c r="M45" s="172"/>
      <c r="N45" s="175"/>
    </row>
    <row r="46" spans="1:14" ht="15" customHeight="1" x14ac:dyDescent="0.3">
      <c r="A46" s="167" t="s">
        <v>88</v>
      </c>
      <c r="B46" s="167" t="s">
        <v>29</v>
      </c>
      <c r="C46" s="168">
        <v>34674</v>
      </c>
      <c r="D46" s="170">
        <v>9.17</v>
      </c>
      <c r="E46" s="170">
        <v>9.66</v>
      </c>
      <c r="F46" s="172">
        <v>1994</v>
      </c>
      <c r="G46" s="172"/>
      <c r="H46" s="172"/>
      <c r="I46" s="172"/>
      <c r="J46" s="172"/>
      <c r="K46" s="172"/>
      <c r="L46" s="172"/>
      <c r="M46" s="172"/>
      <c r="N46" s="175"/>
    </row>
    <row r="47" spans="1:14" ht="15" customHeight="1" x14ac:dyDescent="0.3">
      <c r="A47" s="167" t="s">
        <v>89</v>
      </c>
      <c r="B47" s="167" t="s">
        <v>29</v>
      </c>
      <c r="C47" s="168">
        <v>34708</v>
      </c>
      <c r="D47" s="170">
        <v>3.47</v>
      </c>
      <c r="E47" s="170">
        <v>4.05</v>
      </c>
      <c r="F47" s="172">
        <v>1995</v>
      </c>
      <c r="G47" s="172"/>
      <c r="H47" s="172"/>
      <c r="I47" s="172"/>
      <c r="J47" s="172"/>
      <c r="K47" s="172"/>
      <c r="L47" s="172"/>
      <c r="M47" s="172"/>
      <c r="N47" s="175"/>
    </row>
    <row r="48" spans="1:14" ht="15" customHeight="1" x14ac:dyDescent="0.3">
      <c r="A48" s="167" t="s">
        <v>90</v>
      </c>
      <c r="B48" s="167" t="s">
        <v>29</v>
      </c>
      <c r="C48" s="168">
        <v>34744</v>
      </c>
      <c r="D48" s="170">
        <v>0.82</v>
      </c>
      <c r="E48" s="170">
        <v>1.2</v>
      </c>
      <c r="F48" s="172">
        <v>1995</v>
      </c>
      <c r="G48" s="172"/>
      <c r="H48" s="172"/>
      <c r="I48" s="172"/>
      <c r="J48" s="172"/>
      <c r="K48" s="172"/>
      <c r="L48" s="172"/>
      <c r="M48" s="172"/>
      <c r="N48" s="175"/>
    </row>
    <row r="49" spans="1:14" ht="15" customHeight="1" x14ac:dyDescent="0.3">
      <c r="A49" s="167" t="s">
        <v>91</v>
      </c>
      <c r="B49" s="167" t="s">
        <v>29</v>
      </c>
      <c r="C49" s="168">
        <v>34768</v>
      </c>
      <c r="D49" s="170">
        <v>2.59</v>
      </c>
      <c r="E49" s="170">
        <v>2.37</v>
      </c>
      <c r="F49" s="172">
        <v>1995</v>
      </c>
      <c r="G49" s="172"/>
      <c r="H49" s="172"/>
      <c r="I49" s="172"/>
      <c r="J49" s="172"/>
      <c r="K49" s="172"/>
      <c r="L49" s="172"/>
      <c r="M49" s="172"/>
      <c r="N49" s="175"/>
    </row>
    <row r="50" spans="1:14" ht="15" customHeight="1" x14ac:dyDescent="0.3">
      <c r="A50" s="167" t="s">
        <v>92</v>
      </c>
      <c r="B50" s="167" t="s">
        <v>29</v>
      </c>
      <c r="C50" s="168">
        <v>34796</v>
      </c>
      <c r="D50" s="170">
        <v>5.89</v>
      </c>
      <c r="E50" s="170">
        <v>4.7699999999999996</v>
      </c>
      <c r="F50" s="172">
        <v>1995</v>
      </c>
      <c r="G50" s="172"/>
      <c r="H50" s="172"/>
      <c r="I50" s="172"/>
      <c r="J50" s="172"/>
      <c r="K50" s="172"/>
      <c r="L50" s="172"/>
      <c r="M50" s="172"/>
      <c r="N50" s="175"/>
    </row>
    <row r="51" spans="1:14" ht="15" customHeight="1" x14ac:dyDescent="0.3">
      <c r="A51" s="167" t="s">
        <v>93</v>
      </c>
      <c r="B51" s="167" t="s">
        <v>29</v>
      </c>
      <c r="C51" s="168">
        <v>34831</v>
      </c>
      <c r="D51" s="170">
        <v>10.57</v>
      </c>
      <c r="E51" s="170">
        <v>10.095800000000001</v>
      </c>
      <c r="F51" s="172">
        <v>1995</v>
      </c>
      <c r="G51" s="172"/>
      <c r="H51" s="172"/>
      <c r="I51" s="172"/>
      <c r="J51" s="172"/>
      <c r="K51" s="172"/>
      <c r="L51" s="172"/>
      <c r="M51" s="172"/>
      <c r="N51" s="175"/>
    </row>
    <row r="52" spans="1:14" ht="15" customHeight="1" x14ac:dyDescent="0.3">
      <c r="A52" s="167" t="s">
        <v>94</v>
      </c>
      <c r="B52" s="167" t="s">
        <v>29</v>
      </c>
      <c r="C52" s="168">
        <v>34856</v>
      </c>
      <c r="D52" s="170">
        <v>15.98</v>
      </c>
      <c r="E52" s="170">
        <v>11.28</v>
      </c>
      <c r="F52" s="172">
        <v>1995</v>
      </c>
      <c r="G52" s="172"/>
      <c r="H52" s="172"/>
      <c r="I52" s="172"/>
      <c r="J52" s="172"/>
      <c r="K52" s="172"/>
      <c r="L52" s="172"/>
      <c r="M52" s="172"/>
      <c r="N52" s="175"/>
    </row>
    <row r="53" spans="1:14" ht="15" customHeight="1" x14ac:dyDescent="0.3">
      <c r="A53" s="167" t="s">
        <v>95</v>
      </c>
      <c r="B53" s="167" t="s">
        <v>29</v>
      </c>
      <c r="C53" s="168">
        <v>34876</v>
      </c>
      <c r="D53" s="170">
        <v>18.77</v>
      </c>
      <c r="E53" s="170">
        <v>17.29</v>
      </c>
      <c r="F53" s="172">
        <v>1995</v>
      </c>
      <c r="G53" s="172"/>
      <c r="H53" s="172"/>
      <c r="I53" s="172"/>
      <c r="J53" s="172"/>
      <c r="K53" s="172"/>
      <c r="L53" s="172"/>
      <c r="M53" s="172"/>
      <c r="N53" s="175"/>
    </row>
    <row r="54" spans="1:14" ht="15" customHeight="1" x14ac:dyDescent="0.3">
      <c r="A54" s="167" t="s">
        <v>96</v>
      </c>
      <c r="B54" s="167" t="s">
        <v>29</v>
      </c>
      <c r="C54" s="168">
        <v>34887</v>
      </c>
      <c r="D54" s="170">
        <v>21.26</v>
      </c>
      <c r="E54" s="170">
        <v>16.96</v>
      </c>
      <c r="F54" s="172">
        <v>1995</v>
      </c>
      <c r="G54" s="172"/>
      <c r="H54" s="172"/>
      <c r="I54" s="172"/>
      <c r="J54" s="172"/>
      <c r="K54" s="172"/>
      <c r="L54" s="172"/>
      <c r="M54" s="172"/>
      <c r="N54" s="175"/>
    </row>
    <row r="55" spans="1:14" ht="15" customHeight="1" x14ac:dyDescent="0.3">
      <c r="A55" s="167" t="s">
        <v>97</v>
      </c>
      <c r="B55" s="167" t="s">
        <v>29</v>
      </c>
      <c r="C55" s="168">
        <v>34898</v>
      </c>
      <c r="D55" s="170">
        <v>22.15</v>
      </c>
      <c r="E55" s="170">
        <v>18.59</v>
      </c>
      <c r="F55" s="172">
        <v>1995</v>
      </c>
      <c r="G55" s="172"/>
      <c r="H55" s="172"/>
      <c r="I55" s="172"/>
      <c r="J55" s="172"/>
      <c r="K55" s="172"/>
      <c r="L55" s="172"/>
      <c r="M55" s="172"/>
      <c r="N55" s="175"/>
    </row>
    <row r="56" spans="1:14" ht="15" customHeight="1" x14ac:dyDescent="0.3">
      <c r="A56" s="167" t="s">
        <v>98</v>
      </c>
      <c r="B56" s="167" t="s">
        <v>29</v>
      </c>
      <c r="C56" s="168">
        <v>34915</v>
      </c>
      <c r="D56" s="170">
        <v>24.17</v>
      </c>
      <c r="E56" s="170">
        <v>19.100000000000001</v>
      </c>
      <c r="F56" s="172">
        <v>1995</v>
      </c>
      <c r="G56" s="172"/>
      <c r="H56" s="172"/>
      <c r="I56" s="172"/>
      <c r="J56" s="172"/>
      <c r="K56" s="172"/>
      <c r="L56" s="172"/>
      <c r="M56" s="172"/>
      <c r="N56" s="175"/>
    </row>
    <row r="57" spans="1:14" ht="15" customHeight="1" x14ac:dyDescent="0.3">
      <c r="A57" s="167" t="s">
        <v>99</v>
      </c>
      <c r="B57" s="167" t="s">
        <v>29</v>
      </c>
      <c r="C57" s="168">
        <v>34925</v>
      </c>
      <c r="D57" s="170">
        <v>23.96</v>
      </c>
      <c r="E57" s="170">
        <v>22.17</v>
      </c>
      <c r="F57" s="172">
        <v>1995</v>
      </c>
      <c r="G57" s="172"/>
      <c r="H57" s="172"/>
      <c r="I57" s="172"/>
      <c r="J57" s="172"/>
      <c r="K57" s="172"/>
      <c r="L57" s="172"/>
      <c r="M57" s="172"/>
      <c r="N57" s="175"/>
    </row>
    <row r="58" spans="1:14" ht="15" customHeight="1" x14ac:dyDescent="0.3">
      <c r="A58" s="167" t="s">
        <v>100</v>
      </c>
      <c r="B58" s="167" t="s">
        <v>29</v>
      </c>
      <c r="C58" s="168">
        <v>34947</v>
      </c>
      <c r="D58" s="170">
        <v>23.35</v>
      </c>
      <c r="E58" s="170">
        <v>22.8</v>
      </c>
      <c r="F58" s="172">
        <v>1995</v>
      </c>
      <c r="G58" s="172"/>
      <c r="H58" s="172"/>
      <c r="I58" s="172"/>
      <c r="J58" s="172"/>
      <c r="K58" s="172"/>
      <c r="L58" s="172"/>
      <c r="M58" s="172"/>
      <c r="N58" s="175"/>
    </row>
    <row r="59" spans="1:14" ht="15" customHeight="1" x14ac:dyDescent="0.3">
      <c r="A59" s="167" t="s">
        <v>101</v>
      </c>
      <c r="B59" s="167" t="s">
        <v>29</v>
      </c>
      <c r="C59" s="168">
        <v>34977</v>
      </c>
      <c r="D59" s="170">
        <v>19.355599999999999</v>
      </c>
      <c r="E59" s="170">
        <v>19.809999999999999</v>
      </c>
      <c r="F59" s="172">
        <v>1995</v>
      </c>
      <c r="G59" s="172"/>
      <c r="H59" s="172"/>
      <c r="I59" s="172"/>
      <c r="J59" s="172"/>
      <c r="K59" s="172"/>
      <c r="L59" s="172"/>
      <c r="M59" s="172"/>
      <c r="N59" s="175"/>
    </row>
    <row r="60" spans="1:14" ht="15" customHeight="1" x14ac:dyDescent="0.3">
      <c r="A60" s="167" t="s">
        <v>102</v>
      </c>
      <c r="B60" s="167" t="s">
        <v>29</v>
      </c>
      <c r="C60" s="168">
        <v>35016</v>
      </c>
      <c r="D60" s="170">
        <v>11.65</v>
      </c>
      <c r="E60" s="170">
        <v>12.7096</v>
      </c>
      <c r="F60" s="172">
        <v>1995</v>
      </c>
      <c r="G60" s="172"/>
      <c r="H60" s="172"/>
      <c r="I60" s="172"/>
      <c r="J60" s="172"/>
      <c r="K60" s="172"/>
      <c r="L60" s="172"/>
      <c r="M60" s="172"/>
      <c r="N60" s="175"/>
    </row>
    <row r="61" spans="1:14" ht="15" customHeight="1" x14ac:dyDescent="0.3">
      <c r="A61" s="167" t="s">
        <v>103</v>
      </c>
      <c r="B61" s="167" t="s">
        <v>29</v>
      </c>
      <c r="C61" s="168">
        <v>35040</v>
      </c>
      <c r="D61" s="170">
        <v>7.39</v>
      </c>
      <c r="E61" s="170">
        <v>7.86</v>
      </c>
      <c r="F61" s="172">
        <v>1995</v>
      </c>
      <c r="G61" s="172"/>
      <c r="H61" s="172"/>
      <c r="I61" s="172"/>
      <c r="J61" s="172"/>
      <c r="K61" s="172"/>
      <c r="L61" s="172"/>
      <c r="M61" s="172"/>
      <c r="N61" s="175"/>
    </row>
    <row r="62" spans="1:14" ht="15" customHeight="1" x14ac:dyDescent="0.3">
      <c r="A62" s="167" t="s">
        <v>104</v>
      </c>
      <c r="B62" s="167" t="s">
        <v>29</v>
      </c>
      <c r="C62" s="168">
        <v>35103</v>
      </c>
      <c r="D62" s="170">
        <v>-0.3</v>
      </c>
      <c r="E62" s="170">
        <v>-0.26</v>
      </c>
      <c r="F62" s="172">
        <v>1996</v>
      </c>
      <c r="G62" s="172"/>
      <c r="H62" s="172"/>
      <c r="I62" s="172"/>
      <c r="J62" s="172"/>
      <c r="K62" s="172"/>
      <c r="L62" s="172"/>
      <c r="M62" s="172"/>
      <c r="N62" s="175"/>
    </row>
    <row r="63" spans="1:14" ht="15" customHeight="1" x14ac:dyDescent="0.3">
      <c r="A63" s="167" t="s">
        <v>105</v>
      </c>
      <c r="B63" s="167" t="s">
        <v>29</v>
      </c>
      <c r="C63" s="168">
        <v>35129</v>
      </c>
      <c r="D63" s="170">
        <v>0.94</v>
      </c>
      <c r="E63" s="170">
        <v>0.55000000000000004</v>
      </c>
      <c r="F63" s="172">
        <v>1996</v>
      </c>
      <c r="G63" s="172"/>
      <c r="H63" s="172"/>
      <c r="I63" s="172"/>
      <c r="J63" s="172"/>
      <c r="K63" s="172"/>
      <c r="L63" s="172"/>
      <c r="M63" s="172"/>
      <c r="N63" s="175"/>
    </row>
    <row r="64" spans="1:14" ht="15" customHeight="1" x14ac:dyDescent="0.3">
      <c r="A64" s="167" t="s">
        <v>106</v>
      </c>
      <c r="B64" s="167" t="s">
        <v>29</v>
      </c>
      <c r="C64" s="168">
        <v>35159</v>
      </c>
      <c r="D64" s="169"/>
      <c r="E64" s="169"/>
      <c r="F64" s="172">
        <v>1996</v>
      </c>
      <c r="G64" s="172"/>
      <c r="H64" s="172"/>
      <c r="I64" s="172"/>
      <c r="J64" s="172"/>
      <c r="K64" s="172"/>
      <c r="L64" s="172"/>
      <c r="M64" s="172"/>
      <c r="N64" s="175"/>
    </row>
    <row r="65" spans="1:14" ht="15" customHeight="1" x14ac:dyDescent="0.3">
      <c r="A65" s="167" t="s">
        <v>107</v>
      </c>
      <c r="B65" s="167" t="s">
        <v>29</v>
      </c>
      <c r="C65" s="168">
        <v>35199</v>
      </c>
      <c r="D65" s="170">
        <v>10.82</v>
      </c>
      <c r="E65" s="170">
        <v>9.32</v>
      </c>
      <c r="F65" s="172">
        <v>1996</v>
      </c>
      <c r="G65" s="172"/>
      <c r="H65" s="172"/>
      <c r="I65" s="172"/>
      <c r="J65" s="172"/>
      <c r="K65" s="172"/>
      <c r="L65" s="172"/>
      <c r="M65" s="172"/>
      <c r="N65" s="175"/>
    </row>
    <row r="66" spans="1:14" ht="15" customHeight="1" x14ac:dyDescent="0.3">
      <c r="A66" s="167" t="s">
        <v>108</v>
      </c>
      <c r="B66" s="167" t="s">
        <v>29</v>
      </c>
      <c r="C66" s="168">
        <v>35220</v>
      </c>
      <c r="D66" s="170">
        <v>14.76</v>
      </c>
      <c r="E66" s="170">
        <v>11.87</v>
      </c>
      <c r="F66" s="172">
        <v>1996</v>
      </c>
      <c r="G66" s="172"/>
      <c r="H66" s="172"/>
      <c r="I66" s="172"/>
      <c r="J66" s="172"/>
      <c r="K66" s="172"/>
      <c r="L66" s="172"/>
      <c r="M66" s="172"/>
      <c r="N66" s="175"/>
    </row>
    <row r="67" spans="1:14" ht="15" customHeight="1" x14ac:dyDescent="0.3">
      <c r="A67" s="167" t="s">
        <v>109</v>
      </c>
      <c r="B67" s="167" t="s">
        <v>29</v>
      </c>
      <c r="C67" s="168">
        <v>35242</v>
      </c>
      <c r="D67" s="170">
        <v>19.53</v>
      </c>
      <c r="E67" s="170">
        <v>14.47</v>
      </c>
      <c r="F67" s="172">
        <v>1996</v>
      </c>
      <c r="G67" s="172"/>
      <c r="H67" s="172"/>
      <c r="I67" s="172"/>
      <c r="J67" s="172"/>
      <c r="K67" s="172"/>
      <c r="L67" s="172"/>
      <c r="M67" s="172"/>
      <c r="N67" s="175"/>
    </row>
    <row r="68" spans="1:14" ht="15" customHeight="1" x14ac:dyDescent="0.3">
      <c r="A68" s="167" t="s">
        <v>110</v>
      </c>
      <c r="B68" s="167" t="s">
        <v>29</v>
      </c>
      <c r="C68" s="168">
        <v>35254</v>
      </c>
      <c r="D68" s="170">
        <v>19.95</v>
      </c>
      <c r="E68" s="170">
        <v>15.54</v>
      </c>
      <c r="F68" s="172">
        <v>1996</v>
      </c>
      <c r="G68" s="172"/>
      <c r="H68" s="172"/>
      <c r="I68" s="172"/>
      <c r="J68" s="172"/>
      <c r="K68" s="172"/>
      <c r="L68" s="172"/>
      <c r="M68" s="172"/>
      <c r="N68" s="175"/>
    </row>
    <row r="69" spans="1:14" ht="15" customHeight="1" x14ac:dyDescent="0.3">
      <c r="A69" s="167" t="s">
        <v>111</v>
      </c>
      <c r="B69" s="167" t="s">
        <v>29</v>
      </c>
      <c r="C69" s="168">
        <v>35270</v>
      </c>
      <c r="D69" s="170">
        <v>19.54</v>
      </c>
      <c r="E69" s="170">
        <v>17.09</v>
      </c>
      <c r="F69" s="172">
        <v>1996</v>
      </c>
      <c r="G69" s="172"/>
      <c r="H69" s="172"/>
      <c r="I69" s="172"/>
      <c r="J69" s="172"/>
      <c r="K69" s="172"/>
      <c r="L69" s="172"/>
      <c r="M69" s="172"/>
      <c r="N69" s="175"/>
    </row>
    <row r="70" spans="1:14" ht="15" customHeight="1" x14ac:dyDescent="0.3">
      <c r="A70" s="167" t="s">
        <v>112</v>
      </c>
      <c r="B70" s="167" t="s">
        <v>29</v>
      </c>
      <c r="C70" s="168">
        <v>35284</v>
      </c>
      <c r="D70" s="170">
        <v>22.5</v>
      </c>
      <c r="E70" s="170">
        <v>19.82</v>
      </c>
      <c r="F70" s="172">
        <v>1996</v>
      </c>
      <c r="G70" s="172"/>
      <c r="H70" s="172"/>
      <c r="I70" s="172"/>
      <c r="J70" s="172"/>
      <c r="K70" s="172"/>
      <c r="L70" s="172"/>
      <c r="M70" s="172"/>
      <c r="N70" s="175"/>
    </row>
    <row r="71" spans="1:14" ht="15" customHeight="1" x14ac:dyDescent="0.3">
      <c r="A71" s="167" t="s">
        <v>113</v>
      </c>
      <c r="B71" s="167" t="s">
        <v>29</v>
      </c>
      <c r="C71" s="168">
        <v>35298</v>
      </c>
      <c r="D71" s="170">
        <v>21.88</v>
      </c>
      <c r="E71" s="170">
        <v>20.14</v>
      </c>
      <c r="F71" s="172">
        <v>1996</v>
      </c>
      <c r="G71" s="172"/>
      <c r="H71" s="172"/>
      <c r="I71" s="172"/>
      <c r="J71" s="172"/>
      <c r="K71" s="172"/>
      <c r="L71" s="172"/>
      <c r="M71" s="172"/>
      <c r="N71" s="175"/>
    </row>
    <row r="72" spans="1:14" ht="15" customHeight="1" x14ac:dyDescent="0.3">
      <c r="A72" s="167" t="s">
        <v>114</v>
      </c>
      <c r="B72" s="167" t="s">
        <v>29</v>
      </c>
      <c r="C72" s="168">
        <v>35313</v>
      </c>
      <c r="D72" s="170">
        <v>23.16</v>
      </c>
      <c r="E72" s="170">
        <v>21.25</v>
      </c>
      <c r="F72" s="172">
        <v>1996</v>
      </c>
      <c r="G72" s="172"/>
      <c r="H72" s="172"/>
      <c r="I72" s="172"/>
      <c r="J72" s="172"/>
      <c r="K72" s="172"/>
      <c r="L72" s="172"/>
      <c r="M72" s="172"/>
      <c r="N72" s="175"/>
    </row>
    <row r="73" spans="1:14" ht="15" customHeight="1" x14ac:dyDescent="0.3">
      <c r="A73" s="167" t="s">
        <v>490</v>
      </c>
      <c r="B73" s="167" t="s">
        <v>29</v>
      </c>
      <c r="C73" s="168">
        <v>35328</v>
      </c>
      <c r="D73" s="170">
        <v>20.61</v>
      </c>
      <c r="E73" s="169"/>
      <c r="F73" s="172">
        <v>1996</v>
      </c>
      <c r="G73" s="172"/>
      <c r="H73" s="172"/>
      <c r="I73" s="172"/>
      <c r="J73" s="172"/>
      <c r="K73" s="172"/>
      <c r="L73" s="172"/>
      <c r="M73" s="172"/>
      <c r="N73" s="175"/>
    </row>
    <row r="74" spans="1:14" ht="15" customHeight="1" x14ac:dyDescent="0.3">
      <c r="A74" s="167" t="s">
        <v>115</v>
      </c>
      <c r="B74" s="167" t="s">
        <v>29</v>
      </c>
      <c r="C74" s="168">
        <v>35345</v>
      </c>
      <c r="D74" s="170">
        <v>18.21</v>
      </c>
      <c r="E74" s="170">
        <v>18.09</v>
      </c>
      <c r="F74" s="172">
        <v>1996</v>
      </c>
      <c r="G74" s="172"/>
      <c r="H74" s="172"/>
      <c r="I74" s="172"/>
      <c r="J74" s="172"/>
      <c r="K74" s="172"/>
      <c r="L74" s="172"/>
      <c r="M74" s="172"/>
      <c r="N74" s="175"/>
    </row>
    <row r="75" spans="1:14" ht="15" customHeight="1" x14ac:dyDescent="0.3">
      <c r="A75" s="167" t="s">
        <v>116</v>
      </c>
      <c r="B75" s="167" t="s">
        <v>29</v>
      </c>
      <c r="C75" s="168">
        <v>35375</v>
      </c>
      <c r="D75" s="170">
        <v>13.37</v>
      </c>
      <c r="E75" s="170">
        <v>14.01</v>
      </c>
      <c r="F75" s="172">
        <v>1996</v>
      </c>
      <c r="G75" s="172"/>
      <c r="H75" s="172"/>
      <c r="I75" s="172"/>
      <c r="J75" s="172"/>
      <c r="K75" s="172"/>
      <c r="L75" s="172"/>
      <c r="M75" s="172"/>
      <c r="N75" s="175"/>
    </row>
    <row r="76" spans="1:14" ht="15" customHeight="1" x14ac:dyDescent="0.3">
      <c r="A76" s="167" t="s">
        <v>117</v>
      </c>
      <c r="B76" s="167" t="s">
        <v>29</v>
      </c>
      <c r="C76" s="168">
        <v>35403</v>
      </c>
      <c r="D76" s="170">
        <v>8.02</v>
      </c>
      <c r="E76" s="170">
        <v>8.5</v>
      </c>
      <c r="F76" s="172">
        <v>1996</v>
      </c>
      <c r="G76" s="172"/>
      <c r="H76" s="172"/>
      <c r="I76" s="172"/>
      <c r="J76" s="172"/>
      <c r="K76" s="172"/>
      <c r="L76" s="172"/>
      <c r="M76" s="172"/>
      <c r="N76" s="175"/>
    </row>
    <row r="77" spans="1:14" ht="15" customHeight="1" x14ac:dyDescent="0.3">
      <c r="A77" s="167" t="s">
        <v>118</v>
      </c>
      <c r="B77" s="167" t="s">
        <v>29</v>
      </c>
      <c r="C77" s="168">
        <v>35464</v>
      </c>
      <c r="D77" s="170">
        <v>1.81</v>
      </c>
      <c r="E77" s="170">
        <v>1.76</v>
      </c>
      <c r="F77" s="172">
        <v>1997</v>
      </c>
      <c r="G77" s="172"/>
      <c r="H77" s="172"/>
      <c r="I77" s="172"/>
      <c r="J77" s="172"/>
      <c r="K77" s="172"/>
      <c r="L77" s="172"/>
      <c r="M77" s="172"/>
      <c r="N77" s="175"/>
    </row>
    <row r="78" spans="1:14" ht="15" customHeight="1" x14ac:dyDescent="0.3">
      <c r="A78" s="167" t="s">
        <v>119</v>
      </c>
      <c r="B78" s="167" t="s">
        <v>29</v>
      </c>
      <c r="C78" s="168">
        <v>35492</v>
      </c>
      <c r="D78" s="170">
        <v>3.72</v>
      </c>
      <c r="E78" s="170">
        <v>3.03</v>
      </c>
      <c r="F78" s="172">
        <v>1997</v>
      </c>
      <c r="G78" s="172"/>
      <c r="H78" s="172"/>
      <c r="I78" s="172"/>
      <c r="J78" s="172"/>
      <c r="K78" s="172"/>
      <c r="L78" s="172"/>
      <c r="M78" s="172"/>
      <c r="N78" s="175"/>
    </row>
    <row r="79" spans="1:14" ht="15" customHeight="1" x14ac:dyDescent="0.3">
      <c r="A79" s="167" t="s">
        <v>120</v>
      </c>
      <c r="B79" s="167" t="s">
        <v>29</v>
      </c>
      <c r="C79" s="168">
        <v>35523</v>
      </c>
      <c r="D79" s="170">
        <v>5.41</v>
      </c>
      <c r="E79" s="170">
        <v>5.16</v>
      </c>
      <c r="F79" s="172">
        <v>1997</v>
      </c>
      <c r="G79" s="172"/>
      <c r="H79" s="172"/>
      <c r="I79" s="172"/>
      <c r="J79" s="172"/>
      <c r="K79" s="172"/>
      <c r="L79" s="172"/>
      <c r="M79" s="172"/>
      <c r="N79" s="175"/>
    </row>
    <row r="80" spans="1:14" ht="15" customHeight="1" x14ac:dyDescent="0.3">
      <c r="A80" s="167" t="s">
        <v>121</v>
      </c>
      <c r="B80" s="167" t="s">
        <v>29</v>
      </c>
      <c r="C80" s="168">
        <v>35558</v>
      </c>
      <c r="D80" s="170">
        <v>10.31</v>
      </c>
      <c r="E80" s="170">
        <v>9.6</v>
      </c>
      <c r="F80" s="172">
        <v>1997</v>
      </c>
      <c r="G80" s="172"/>
      <c r="H80" s="172"/>
      <c r="I80" s="172"/>
      <c r="J80" s="172"/>
      <c r="K80" s="172"/>
      <c r="L80" s="172"/>
      <c r="M80" s="172"/>
      <c r="N80" s="175"/>
    </row>
    <row r="81" spans="1:14" ht="15" customHeight="1" x14ac:dyDescent="0.3">
      <c r="A81" s="167" t="s">
        <v>122</v>
      </c>
      <c r="B81" s="167" t="s">
        <v>29</v>
      </c>
      <c r="C81" s="168">
        <v>35585</v>
      </c>
      <c r="D81" s="170">
        <v>13</v>
      </c>
      <c r="E81" s="170">
        <v>12.34</v>
      </c>
      <c r="F81" s="172">
        <v>1997</v>
      </c>
      <c r="G81" s="172"/>
      <c r="H81" s="172"/>
      <c r="I81" s="172"/>
      <c r="J81" s="172"/>
      <c r="K81" s="172"/>
      <c r="L81" s="172"/>
      <c r="M81" s="172"/>
      <c r="N81" s="175"/>
    </row>
    <row r="82" spans="1:14" ht="15" customHeight="1" x14ac:dyDescent="0.3">
      <c r="A82" s="167" t="s">
        <v>123</v>
      </c>
      <c r="B82" s="167" t="s">
        <v>29</v>
      </c>
      <c r="C82" s="168">
        <v>35608</v>
      </c>
      <c r="D82" s="170">
        <v>18.899999999999999</v>
      </c>
      <c r="E82" s="169"/>
      <c r="F82" s="172">
        <v>1997</v>
      </c>
      <c r="G82" s="172"/>
      <c r="H82" s="172"/>
      <c r="I82" s="172"/>
      <c r="J82" s="172"/>
      <c r="K82" s="172"/>
      <c r="L82" s="172"/>
      <c r="M82" s="172"/>
      <c r="N82" s="175"/>
    </row>
    <row r="83" spans="1:14" ht="15" customHeight="1" x14ac:dyDescent="0.3">
      <c r="A83" s="167" t="s">
        <v>491</v>
      </c>
      <c r="B83" s="167" t="s">
        <v>29</v>
      </c>
      <c r="C83" s="168">
        <v>35620</v>
      </c>
      <c r="D83" s="170">
        <v>19.100000000000001</v>
      </c>
      <c r="E83" s="170">
        <v>15.04</v>
      </c>
      <c r="F83" s="172">
        <v>1997</v>
      </c>
      <c r="G83" s="172"/>
      <c r="H83" s="172"/>
      <c r="I83" s="172"/>
      <c r="J83" s="172"/>
      <c r="K83" s="172"/>
      <c r="L83" s="172"/>
      <c r="M83" s="172"/>
      <c r="N83" s="175"/>
    </row>
    <row r="84" spans="1:14" ht="15" customHeight="1" x14ac:dyDescent="0.3">
      <c r="A84" s="167" t="s">
        <v>124</v>
      </c>
      <c r="B84" s="167" t="s">
        <v>29</v>
      </c>
      <c r="C84" s="168">
        <v>35633</v>
      </c>
      <c r="D84" s="170">
        <v>20.079999999999998</v>
      </c>
      <c r="E84" s="169"/>
      <c r="F84" s="172">
        <v>1997</v>
      </c>
      <c r="G84" s="172"/>
      <c r="H84" s="172"/>
      <c r="I84" s="172"/>
      <c r="J84" s="172"/>
      <c r="K84" s="172"/>
      <c r="L84" s="172"/>
      <c r="M84" s="172"/>
      <c r="N84" s="175"/>
    </row>
    <row r="85" spans="1:14" ht="15" customHeight="1" x14ac:dyDescent="0.3">
      <c r="A85" s="167" t="s">
        <v>125</v>
      </c>
      <c r="B85" s="167" t="s">
        <v>29</v>
      </c>
      <c r="C85" s="168">
        <v>35647</v>
      </c>
      <c r="D85" s="170">
        <v>21.06</v>
      </c>
      <c r="E85" s="170">
        <v>19.03</v>
      </c>
      <c r="F85" s="172">
        <v>1997</v>
      </c>
      <c r="G85" s="172"/>
      <c r="H85" s="172"/>
      <c r="I85" s="172"/>
      <c r="J85" s="172"/>
      <c r="K85" s="172"/>
      <c r="L85" s="172"/>
      <c r="M85" s="172"/>
      <c r="N85" s="175"/>
    </row>
    <row r="86" spans="1:14" ht="15" customHeight="1" x14ac:dyDescent="0.3">
      <c r="A86" s="167" t="s">
        <v>126</v>
      </c>
      <c r="B86" s="167" t="s">
        <v>29</v>
      </c>
      <c r="C86" s="168">
        <v>35662</v>
      </c>
      <c r="D86" s="170">
        <v>21.91</v>
      </c>
      <c r="E86" s="170">
        <v>20.45</v>
      </c>
      <c r="F86" s="172">
        <v>1997</v>
      </c>
      <c r="G86" s="172"/>
      <c r="H86" s="172"/>
      <c r="I86" s="172"/>
      <c r="J86" s="172"/>
      <c r="K86" s="172"/>
      <c r="L86" s="172"/>
      <c r="M86" s="172"/>
      <c r="N86" s="175"/>
    </row>
    <row r="87" spans="1:14" ht="15" customHeight="1" x14ac:dyDescent="0.3">
      <c r="A87" s="167" t="s">
        <v>127</v>
      </c>
      <c r="B87" s="167" t="s">
        <v>29</v>
      </c>
      <c r="C87" s="168">
        <v>35677</v>
      </c>
      <c r="D87" s="170">
        <v>21.79</v>
      </c>
      <c r="E87" s="170">
        <v>21.41</v>
      </c>
      <c r="F87" s="172">
        <v>1997</v>
      </c>
      <c r="G87" s="172"/>
      <c r="H87" s="172"/>
      <c r="I87" s="172"/>
      <c r="J87" s="172"/>
      <c r="K87" s="172"/>
      <c r="L87" s="172"/>
      <c r="M87" s="172"/>
      <c r="N87" s="175"/>
    </row>
    <row r="88" spans="1:14" ht="15" customHeight="1" x14ac:dyDescent="0.3">
      <c r="A88" s="167" t="s">
        <v>513</v>
      </c>
      <c r="B88" s="167" t="s">
        <v>29</v>
      </c>
      <c r="C88" s="168">
        <v>35690</v>
      </c>
      <c r="D88" s="170">
        <v>21.45</v>
      </c>
      <c r="E88" s="169"/>
      <c r="F88" s="172">
        <v>1997</v>
      </c>
      <c r="G88" s="172"/>
      <c r="H88" s="172"/>
      <c r="I88" s="172"/>
      <c r="J88" s="172"/>
      <c r="K88" s="172"/>
      <c r="L88" s="172"/>
      <c r="M88" s="172"/>
      <c r="N88" s="175"/>
    </row>
    <row r="89" spans="1:14" ht="15" customHeight="1" x14ac:dyDescent="0.3">
      <c r="A89" s="167" t="s">
        <v>128</v>
      </c>
      <c r="B89" s="167" t="s">
        <v>29</v>
      </c>
      <c r="C89" s="168">
        <v>35711</v>
      </c>
      <c r="D89" s="170">
        <v>19.13</v>
      </c>
      <c r="E89" s="170">
        <v>18.920000000000002</v>
      </c>
      <c r="F89" s="172">
        <v>1997</v>
      </c>
      <c r="G89" s="172"/>
      <c r="H89" s="172"/>
      <c r="I89" s="172"/>
      <c r="J89" s="172"/>
      <c r="K89" s="172"/>
      <c r="L89" s="172"/>
      <c r="M89" s="172"/>
      <c r="N89" s="175"/>
    </row>
    <row r="90" spans="1:14" ht="15" customHeight="1" x14ac:dyDescent="0.3">
      <c r="A90" s="167" t="s">
        <v>129</v>
      </c>
      <c r="B90" s="167" t="s">
        <v>29</v>
      </c>
      <c r="C90" s="168">
        <v>35737</v>
      </c>
      <c r="D90" s="170">
        <v>13.9</v>
      </c>
      <c r="E90" s="170">
        <v>14.08</v>
      </c>
      <c r="F90" s="172">
        <v>1997</v>
      </c>
      <c r="G90" s="172"/>
      <c r="H90" s="172"/>
      <c r="I90" s="172"/>
      <c r="J90" s="172"/>
      <c r="K90" s="172"/>
      <c r="L90" s="172"/>
      <c r="M90" s="172"/>
      <c r="N90" s="175"/>
    </row>
    <row r="91" spans="1:14" ht="15" customHeight="1" x14ac:dyDescent="0.3">
      <c r="A91" s="167" t="s">
        <v>130</v>
      </c>
      <c r="B91" s="167" t="s">
        <v>29</v>
      </c>
      <c r="C91" s="168">
        <v>35772</v>
      </c>
      <c r="D91" s="170">
        <v>6.29</v>
      </c>
      <c r="E91" s="170">
        <v>7.61</v>
      </c>
      <c r="F91" s="172">
        <v>1997</v>
      </c>
      <c r="G91" s="172"/>
      <c r="H91" s="172"/>
      <c r="I91" s="172"/>
      <c r="J91" s="172"/>
      <c r="K91" s="172"/>
      <c r="L91" s="172"/>
      <c r="M91" s="172"/>
      <c r="N91" s="175"/>
    </row>
    <row r="92" spans="1:14" ht="15" customHeight="1" x14ac:dyDescent="0.3">
      <c r="A92" s="167" t="s">
        <v>131</v>
      </c>
      <c r="B92" s="167" t="s">
        <v>29</v>
      </c>
      <c r="C92" s="168">
        <v>35809</v>
      </c>
      <c r="D92" s="170">
        <v>4.5599999999999996</v>
      </c>
      <c r="E92" s="170">
        <v>4.6100000000000003</v>
      </c>
      <c r="F92" s="172">
        <v>1998</v>
      </c>
      <c r="G92" s="172"/>
      <c r="H92" s="172"/>
      <c r="I92" s="172"/>
      <c r="J92" s="172"/>
      <c r="K92" s="172"/>
      <c r="L92" s="172"/>
      <c r="M92" s="172"/>
      <c r="N92" s="175"/>
    </row>
    <row r="93" spans="1:14" ht="15" customHeight="1" x14ac:dyDescent="0.3">
      <c r="A93" s="167" t="s">
        <v>132</v>
      </c>
      <c r="B93" s="167" t="s">
        <v>29</v>
      </c>
      <c r="C93" s="168">
        <v>35828</v>
      </c>
      <c r="D93" s="170">
        <v>3.43</v>
      </c>
      <c r="E93" s="170">
        <v>3.35</v>
      </c>
      <c r="F93" s="172">
        <v>1998</v>
      </c>
      <c r="G93" s="172"/>
      <c r="H93" s="172"/>
      <c r="I93" s="172"/>
      <c r="J93" s="172"/>
      <c r="K93" s="172"/>
      <c r="L93" s="172"/>
      <c r="M93" s="172"/>
      <c r="N93" s="175"/>
    </row>
    <row r="94" spans="1:14" ht="15" customHeight="1" x14ac:dyDescent="0.3">
      <c r="A94" s="167" t="s">
        <v>133</v>
      </c>
      <c r="B94" s="167" t="s">
        <v>29</v>
      </c>
      <c r="C94" s="168">
        <v>35845</v>
      </c>
      <c r="D94" s="170">
        <v>3.41</v>
      </c>
      <c r="E94" s="170">
        <v>3.27</v>
      </c>
      <c r="F94" s="172">
        <v>1998</v>
      </c>
      <c r="G94" s="172"/>
      <c r="H94" s="172"/>
      <c r="I94" s="172"/>
      <c r="J94" s="172"/>
      <c r="K94" s="172"/>
      <c r="L94" s="172"/>
      <c r="M94" s="172"/>
      <c r="N94" s="175"/>
    </row>
    <row r="95" spans="1:14" ht="15" customHeight="1" x14ac:dyDescent="0.3">
      <c r="A95" s="167" t="s">
        <v>134</v>
      </c>
      <c r="B95" s="167" t="s">
        <v>29</v>
      </c>
      <c r="C95" s="168">
        <v>35858</v>
      </c>
      <c r="D95" s="170">
        <v>4.88</v>
      </c>
      <c r="E95" s="170">
        <v>4.3</v>
      </c>
      <c r="F95" s="172">
        <v>1998</v>
      </c>
      <c r="G95" s="172"/>
      <c r="H95" s="172"/>
      <c r="I95" s="172"/>
      <c r="J95" s="172"/>
      <c r="K95" s="172"/>
      <c r="L95" s="172"/>
      <c r="M95" s="172"/>
      <c r="N95" s="175"/>
    </row>
    <row r="96" spans="1:14" ht="15" customHeight="1" x14ac:dyDescent="0.3">
      <c r="A96" s="167" t="s">
        <v>135</v>
      </c>
      <c r="B96" s="167" t="s">
        <v>29</v>
      </c>
      <c r="C96" s="168">
        <v>35878</v>
      </c>
      <c r="D96" s="170">
        <v>4.18</v>
      </c>
      <c r="E96" s="169"/>
      <c r="F96" s="172">
        <v>1998</v>
      </c>
      <c r="G96" s="172"/>
      <c r="H96" s="172"/>
      <c r="I96" s="172"/>
      <c r="J96" s="172"/>
      <c r="K96" s="172"/>
      <c r="L96" s="172"/>
      <c r="M96" s="172"/>
      <c r="N96" s="175"/>
    </row>
    <row r="97" spans="1:14" ht="15" customHeight="1" x14ac:dyDescent="0.3">
      <c r="A97" s="167" t="s">
        <v>136</v>
      </c>
      <c r="B97" s="167" t="s">
        <v>29</v>
      </c>
      <c r="C97" s="168">
        <v>35905</v>
      </c>
      <c r="D97" s="170">
        <v>10.07</v>
      </c>
      <c r="E97" s="170">
        <v>8.84</v>
      </c>
      <c r="F97" s="172">
        <v>1998</v>
      </c>
      <c r="G97" s="172"/>
      <c r="H97" s="172"/>
      <c r="I97" s="172"/>
      <c r="J97" s="172"/>
      <c r="K97" s="172"/>
      <c r="L97" s="172"/>
      <c r="M97" s="172"/>
      <c r="N97" s="175"/>
    </row>
    <row r="98" spans="1:14" ht="15" customHeight="1" x14ac:dyDescent="0.3">
      <c r="A98" s="167" t="s">
        <v>137</v>
      </c>
      <c r="B98" s="167" t="s">
        <v>29</v>
      </c>
      <c r="C98" s="168">
        <v>35928</v>
      </c>
      <c r="D98" s="170">
        <v>12.42</v>
      </c>
      <c r="E98" s="170">
        <v>11.87</v>
      </c>
      <c r="F98" s="172">
        <v>1998</v>
      </c>
      <c r="G98" s="172"/>
      <c r="H98" s="172"/>
      <c r="I98" s="172"/>
      <c r="J98" s="172"/>
      <c r="K98" s="172"/>
      <c r="L98" s="172"/>
      <c r="M98" s="172"/>
      <c r="N98" s="175"/>
    </row>
    <row r="99" spans="1:14" ht="15" customHeight="1" x14ac:dyDescent="0.3">
      <c r="A99" s="167" t="s">
        <v>138</v>
      </c>
      <c r="B99" s="167" t="s">
        <v>29</v>
      </c>
      <c r="C99" s="168">
        <v>35948</v>
      </c>
      <c r="D99" s="170">
        <v>16.86</v>
      </c>
      <c r="E99" s="170">
        <v>12.41</v>
      </c>
      <c r="F99" s="172">
        <v>1998</v>
      </c>
      <c r="G99" s="172"/>
      <c r="H99" s="172"/>
      <c r="I99" s="172"/>
      <c r="J99" s="172"/>
      <c r="K99" s="172"/>
      <c r="L99" s="172"/>
      <c r="M99" s="172"/>
      <c r="N99" s="175"/>
    </row>
    <row r="100" spans="1:14" ht="15" customHeight="1" x14ac:dyDescent="0.3">
      <c r="A100" s="167" t="s">
        <v>139</v>
      </c>
      <c r="B100" s="167" t="s">
        <v>29</v>
      </c>
      <c r="C100" s="168">
        <v>35971</v>
      </c>
      <c r="D100" s="170">
        <v>21.06</v>
      </c>
      <c r="E100" s="170">
        <v>16.3</v>
      </c>
      <c r="F100" s="172">
        <v>1998</v>
      </c>
      <c r="G100" s="172"/>
      <c r="H100" s="172"/>
      <c r="I100" s="172"/>
      <c r="J100" s="172"/>
      <c r="K100" s="172"/>
      <c r="L100" s="172"/>
      <c r="M100" s="172"/>
      <c r="N100" s="175"/>
    </row>
    <row r="101" spans="1:14" ht="15" customHeight="1" x14ac:dyDescent="0.3">
      <c r="A101" s="167" t="s">
        <v>140</v>
      </c>
      <c r="B101" s="167" t="s">
        <v>29</v>
      </c>
      <c r="C101" s="168">
        <v>35984</v>
      </c>
      <c r="D101" s="170">
        <v>20.59</v>
      </c>
      <c r="E101" s="170">
        <v>16.46</v>
      </c>
      <c r="F101" s="172">
        <v>1998</v>
      </c>
      <c r="G101" s="172"/>
      <c r="H101" s="172"/>
      <c r="I101" s="172"/>
      <c r="J101" s="172"/>
      <c r="K101" s="172"/>
      <c r="L101" s="172"/>
      <c r="M101" s="172"/>
      <c r="N101" s="175"/>
    </row>
    <row r="102" spans="1:14" ht="15" customHeight="1" x14ac:dyDescent="0.3">
      <c r="A102" s="167" t="s">
        <v>141</v>
      </c>
      <c r="B102" s="167" t="s">
        <v>29</v>
      </c>
      <c r="C102" s="168">
        <v>35998</v>
      </c>
      <c r="D102" s="170">
        <v>23.01</v>
      </c>
      <c r="E102" s="170">
        <v>18.36</v>
      </c>
      <c r="F102" s="172">
        <v>1998</v>
      </c>
      <c r="G102" s="172"/>
      <c r="H102" s="172"/>
      <c r="I102" s="172"/>
      <c r="J102" s="172"/>
      <c r="K102" s="172"/>
      <c r="L102" s="172"/>
      <c r="M102" s="172"/>
      <c r="N102" s="175"/>
    </row>
    <row r="103" spans="1:14" ht="15" customHeight="1" x14ac:dyDescent="0.3">
      <c r="A103" s="167" t="s">
        <v>142</v>
      </c>
      <c r="B103" s="167" t="s">
        <v>29</v>
      </c>
      <c r="C103" s="168">
        <v>36010</v>
      </c>
      <c r="D103" s="170">
        <v>22.92</v>
      </c>
      <c r="E103" s="170">
        <v>18.96</v>
      </c>
      <c r="F103" s="172">
        <v>1998</v>
      </c>
      <c r="G103" s="172"/>
      <c r="H103" s="172"/>
      <c r="I103" s="172"/>
      <c r="J103" s="172"/>
      <c r="K103" s="172"/>
      <c r="L103" s="172"/>
      <c r="M103" s="172"/>
      <c r="N103" s="175"/>
    </row>
    <row r="104" spans="1:14" ht="15" customHeight="1" x14ac:dyDescent="0.3">
      <c r="A104" s="167" t="s">
        <v>143</v>
      </c>
      <c r="B104" s="167" t="s">
        <v>29</v>
      </c>
      <c r="C104" s="168">
        <v>36024</v>
      </c>
      <c r="D104" s="170">
        <v>23.62</v>
      </c>
      <c r="E104" s="170">
        <v>21.2</v>
      </c>
      <c r="F104" s="172">
        <v>1998</v>
      </c>
      <c r="G104" s="172"/>
      <c r="H104" s="172"/>
      <c r="I104" s="172"/>
      <c r="J104" s="172"/>
      <c r="K104" s="172"/>
      <c r="L104" s="172"/>
      <c r="M104" s="172"/>
      <c r="N104" s="175"/>
    </row>
    <row r="105" spans="1:14" ht="15" customHeight="1" x14ac:dyDescent="0.3">
      <c r="A105" s="167" t="s">
        <v>144</v>
      </c>
      <c r="B105" s="167" t="s">
        <v>29</v>
      </c>
      <c r="C105" s="168">
        <v>36040</v>
      </c>
      <c r="D105" s="170">
        <v>24.2</v>
      </c>
      <c r="E105" s="170">
        <v>21.88</v>
      </c>
      <c r="F105" s="172">
        <v>1998</v>
      </c>
      <c r="G105" s="172"/>
      <c r="H105" s="172"/>
      <c r="I105" s="172"/>
      <c r="J105" s="172"/>
      <c r="K105" s="172"/>
      <c r="L105" s="172"/>
      <c r="M105" s="172"/>
      <c r="N105" s="175"/>
    </row>
    <row r="106" spans="1:14" ht="15" customHeight="1" x14ac:dyDescent="0.3">
      <c r="A106" s="167" t="s">
        <v>145</v>
      </c>
      <c r="B106" s="167" t="s">
        <v>29</v>
      </c>
      <c r="C106" s="168">
        <v>36054</v>
      </c>
      <c r="D106" s="170">
        <v>22.44</v>
      </c>
      <c r="E106" s="169"/>
      <c r="F106" s="172">
        <v>1998</v>
      </c>
      <c r="G106" s="172"/>
      <c r="H106" s="172"/>
      <c r="I106" s="172"/>
      <c r="J106" s="172"/>
      <c r="K106" s="172"/>
      <c r="L106" s="172"/>
      <c r="M106" s="172"/>
      <c r="N106" s="175"/>
    </row>
    <row r="107" spans="1:14" ht="15" customHeight="1" x14ac:dyDescent="0.3">
      <c r="A107" s="167" t="s">
        <v>146</v>
      </c>
      <c r="B107" s="167" t="s">
        <v>29</v>
      </c>
      <c r="C107" s="168">
        <v>36074</v>
      </c>
      <c r="D107" s="170">
        <v>19.3</v>
      </c>
      <c r="E107" s="170">
        <v>19.3</v>
      </c>
      <c r="F107" s="172">
        <v>1998</v>
      </c>
      <c r="G107" s="172"/>
      <c r="H107" s="172"/>
      <c r="I107" s="172"/>
      <c r="J107" s="172"/>
      <c r="K107" s="172"/>
      <c r="L107" s="172"/>
      <c r="M107" s="172"/>
      <c r="N107" s="175"/>
    </row>
    <row r="108" spans="1:14" ht="15" customHeight="1" x14ac:dyDescent="0.3">
      <c r="A108" s="167" t="s">
        <v>147</v>
      </c>
      <c r="B108" s="167" t="s">
        <v>29</v>
      </c>
      <c r="C108" s="168">
        <v>36104</v>
      </c>
      <c r="D108" s="170">
        <v>13.9</v>
      </c>
      <c r="E108" s="170">
        <v>13.91</v>
      </c>
      <c r="F108" s="172">
        <v>1998</v>
      </c>
      <c r="G108" s="172"/>
      <c r="H108" s="172"/>
      <c r="I108" s="172"/>
      <c r="J108" s="172"/>
      <c r="K108" s="172"/>
      <c r="L108" s="172"/>
      <c r="M108" s="172"/>
      <c r="N108" s="175"/>
    </row>
    <row r="109" spans="1:14" ht="15" customHeight="1" x14ac:dyDescent="0.3">
      <c r="A109" s="167" t="s">
        <v>148</v>
      </c>
      <c r="B109" s="167" t="s">
        <v>29</v>
      </c>
      <c r="C109" s="168">
        <v>36131</v>
      </c>
      <c r="D109" s="170">
        <v>10.11</v>
      </c>
      <c r="E109" s="170">
        <v>10.33</v>
      </c>
      <c r="F109" s="172">
        <v>1998</v>
      </c>
      <c r="G109" s="172"/>
      <c r="H109" s="172"/>
      <c r="I109" s="172"/>
      <c r="J109" s="172"/>
      <c r="K109" s="172"/>
      <c r="L109" s="172"/>
      <c r="M109" s="172"/>
      <c r="N109" s="175"/>
    </row>
    <row r="110" spans="1:14" ht="15" customHeight="1" x14ac:dyDescent="0.3">
      <c r="A110" s="167" t="s">
        <v>149</v>
      </c>
      <c r="B110" s="167" t="s">
        <v>29</v>
      </c>
      <c r="C110" s="168">
        <v>36171</v>
      </c>
      <c r="D110" s="170">
        <v>3.05</v>
      </c>
      <c r="E110" s="170">
        <v>3.09</v>
      </c>
      <c r="F110" s="172">
        <v>1999</v>
      </c>
      <c r="G110" s="172"/>
      <c r="H110" s="172"/>
      <c r="I110" s="172"/>
      <c r="J110" s="172"/>
      <c r="K110" s="172"/>
      <c r="L110" s="172"/>
      <c r="M110" s="172"/>
      <c r="N110" s="175"/>
    </row>
    <row r="111" spans="1:14" ht="15" customHeight="1" x14ac:dyDescent="0.3">
      <c r="A111" s="167" t="s">
        <v>150</v>
      </c>
      <c r="B111" s="167" t="s">
        <v>29</v>
      </c>
      <c r="C111" s="168">
        <v>36195</v>
      </c>
      <c r="D111" s="170">
        <v>3.17</v>
      </c>
      <c r="E111" s="170">
        <v>2.9</v>
      </c>
      <c r="F111" s="172">
        <v>1999</v>
      </c>
      <c r="G111" s="172"/>
      <c r="H111" s="172"/>
      <c r="I111" s="172"/>
      <c r="J111" s="172"/>
      <c r="K111" s="172"/>
      <c r="L111" s="172"/>
      <c r="M111" s="172"/>
      <c r="N111" s="175"/>
    </row>
    <row r="112" spans="1:14" ht="15" customHeight="1" x14ac:dyDescent="0.3">
      <c r="A112" s="167" t="s">
        <v>151</v>
      </c>
      <c r="B112" s="167" t="s">
        <v>29</v>
      </c>
      <c r="C112" s="168">
        <v>36207</v>
      </c>
      <c r="D112" s="170">
        <v>3.08</v>
      </c>
      <c r="E112" s="170">
        <v>3.08</v>
      </c>
      <c r="F112" s="172">
        <v>1999</v>
      </c>
      <c r="G112" s="172"/>
      <c r="H112" s="172"/>
      <c r="I112" s="172"/>
      <c r="J112" s="172"/>
      <c r="K112" s="172"/>
      <c r="L112" s="172"/>
      <c r="M112" s="172"/>
      <c r="N112" s="175"/>
    </row>
    <row r="113" spans="1:14" ht="15" customHeight="1" x14ac:dyDescent="0.3">
      <c r="A113" s="167" t="s">
        <v>152</v>
      </c>
      <c r="B113" s="167" t="s">
        <v>29</v>
      </c>
      <c r="C113" s="168">
        <v>36228</v>
      </c>
      <c r="D113" s="170">
        <v>2.71</v>
      </c>
      <c r="E113" s="170">
        <v>2.7</v>
      </c>
      <c r="F113" s="172">
        <v>1999</v>
      </c>
      <c r="G113" s="172"/>
      <c r="H113" s="172"/>
      <c r="I113" s="172"/>
      <c r="J113" s="172"/>
      <c r="K113" s="172"/>
      <c r="L113" s="172"/>
      <c r="M113" s="172"/>
      <c r="N113" s="175"/>
    </row>
    <row r="114" spans="1:14" ht="15" customHeight="1" x14ac:dyDescent="0.3">
      <c r="A114" s="167" t="s">
        <v>153</v>
      </c>
      <c r="B114" s="167" t="s">
        <v>29</v>
      </c>
      <c r="C114" s="168">
        <v>36244</v>
      </c>
      <c r="D114" s="170">
        <v>4.7</v>
      </c>
      <c r="E114" s="170">
        <v>3.87</v>
      </c>
      <c r="F114" s="172">
        <v>1999</v>
      </c>
      <c r="G114" s="172"/>
      <c r="H114" s="172"/>
      <c r="I114" s="172"/>
      <c r="J114" s="172"/>
      <c r="K114" s="172"/>
      <c r="L114" s="172"/>
      <c r="M114" s="172"/>
      <c r="N114" s="175"/>
    </row>
    <row r="115" spans="1:14" ht="15" customHeight="1" x14ac:dyDescent="0.3">
      <c r="A115" s="167" t="s">
        <v>154</v>
      </c>
      <c r="B115" s="167" t="s">
        <v>29</v>
      </c>
      <c r="C115" s="168">
        <v>36257</v>
      </c>
      <c r="D115" s="170">
        <v>7.7</v>
      </c>
      <c r="E115" s="170">
        <v>5.7</v>
      </c>
      <c r="F115" s="172">
        <v>1999</v>
      </c>
      <c r="G115" s="172"/>
      <c r="H115" s="172"/>
      <c r="I115" s="172"/>
      <c r="J115" s="172"/>
      <c r="K115" s="172"/>
      <c r="L115" s="172"/>
      <c r="M115" s="172"/>
      <c r="N115" s="175"/>
    </row>
    <row r="116" spans="1:14" ht="15" customHeight="1" x14ac:dyDescent="0.3">
      <c r="A116" s="167" t="s">
        <v>155</v>
      </c>
      <c r="B116" s="167" t="s">
        <v>29</v>
      </c>
      <c r="C116" s="168">
        <v>36286</v>
      </c>
      <c r="D116" s="170">
        <v>12.65</v>
      </c>
      <c r="E116" s="170">
        <v>9.93</v>
      </c>
      <c r="F116" s="172">
        <v>1999</v>
      </c>
      <c r="G116" s="172"/>
      <c r="H116" s="172"/>
      <c r="I116" s="172"/>
      <c r="J116" s="172"/>
      <c r="K116" s="172"/>
      <c r="L116" s="172"/>
      <c r="M116" s="172"/>
      <c r="N116" s="175"/>
    </row>
    <row r="117" spans="1:14" ht="15" customHeight="1" x14ac:dyDescent="0.3">
      <c r="A117" s="167" t="s">
        <v>156</v>
      </c>
      <c r="B117" s="167" t="s">
        <v>29</v>
      </c>
      <c r="C117" s="168">
        <v>36312</v>
      </c>
      <c r="D117" s="170">
        <v>17.43</v>
      </c>
      <c r="E117" s="170">
        <v>11.76</v>
      </c>
      <c r="F117" s="172">
        <v>1999</v>
      </c>
      <c r="G117" s="172"/>
      <c r="H117" s="172"/>
      <c r="I117" s="172"/>
      <c r="J117" s="172"/>
      <c r="K117" s="172"/>
      <c r="L117" s="172"/>
      <c r="M117" s="172"/>
      <c r="N117" s="175"/>
    </row>
    <row r="118" spans="1:14" ht="15" customHeight="1" x14ac:dyDescent="0.3">
      <c r="A118" s="167" t="s">
        <v>157</v>
      </c>
      <c r="B118" s="167" t="s">
        <v>29</v>
      </c>
      <c r="C118" s="168">
        <v>36335</v>
      </c>
      <c r="D118" s="170">
        <v>20.58</v>
      </c>
      <c r="E118" s="170">
        <v>16.75</v>
      </c>
      <c r="F118" s="172">
        <v>1999</v>
      </c>
      <c r="G118" s="172"/>
      <c r="H118" s="172"/>
      <c r="I118" s="172"/>
      <c r="J118" s="172"/>
      <c r="K118" s="172"/>
      <c r="L118" s="172"/>
      <c r="M118" s="172"/>
      <c r="N118" s="175"/>
    </row>
    <row r="119" spans="1:14" ht="15" customHeight="1" x14ac:dyDescent="0.3">
      <c r="A119" s="167" t="s">
        <v>158</v>
      </c>
      <c r="B119" s="167" t="s">
        <v>29</v>
      </c>
      <c r="C119" s="168">
        <v>36348</v>
      </c>
      <c r="D119" s="170">
        <v>21.66</v>
      </c>
      <c r="E119" s="170">
        <v>16.32</v>
      </c>
      <c r="F119" s="172">
        <v>1999</v>
      </c>
      <c r="G119" s="172"/>
      <c r="H119" s="172"/>
      <c r="I119" s="172"/>
      <c r="J119" s="172"/>
      <c r="K119" s="172"/>
      <c r="L119" s="172"/>
      <c r="M119" s="172"/>
      <c r="N119" s="175"/>
    </row>
    <row r="120" spans="1:14" ht="15" customHeight="1" x14ac:dyDescent="0.3">
      <c r="A120" s="167" t="s">
        <v>159</v>
      </c>
      <c r="B120" s="167" t="s">
        <v>29</v>
      </c>
      <c r="C120" s="168">
        <v>36362</v>
      </c>
      <c r="D120" s="170">
        <v>22</v>
      </c>
      <c r="E120" s="170">
        <v>18.97</v>
      </c>
      <c r="F120" s="172">
        <v>1999</v>
      </c>
      <c r="G120" s="172"/>
      <c r="H120" s="172"/>
      <c r="I120" s="172"/>
      <c r="J120" s="172"/>
      <c r="K120" s="172"/>
      <c r="L120" s="172"/>
      <c r="M120" s="172"/>
      <c r="N120" s="175"/>
    </row>
    <row r="121" spans="1:14" ht="15" customHeight="1" x14ac:dyDescent="0.3">
      <c r="A121" s="167" t="s">
        <v>160</v>
      </c>
      <c r="B121" s="167" t="s">
        <v>29</v>
      </c>
      <c r="C121" s="168">
        <v>36376</v>
      </c>
      <c r="D121" s="170">
        <v>24.48</v>
      </c>
      <c r="E121" s="170">
        <v>20.329999999999998</v>
      </c>
      <c r="F121" s="172">
        <v>1999</v>
      </c>
      <c r="G121" s="172"/>
      <c r="H121" s="172"/>
      <c r="I121" s="172"/>
      <c r="J121" s="172"/>
      <c r="K121" s="172"/>
      <c r="L121" s="172"/>
      <c r="M121" s="172"/>
      <c r="N121" s="175"/>
    </row>
    <row r="122" spans="1:14" ht="15" customHeight="1" x14ac:dyDescent="0.3">
      <c r="A122" s="167" t="s">
        <v>161</v>
      </c>
      <c r="B122" s="167" t="s">
        <v>29</v>
      </c>
      <c r="C122" s="168">
        <v>36390</v>
      </c>
      <c r="D122" s="170">
        <v>23.94</v>
      </c>
      <c r="E122" s="170">
        <v>21.62</v>
      </c>
      <c r="F122" s="172">
        <v>1999</v>
      </c>
      <c r="G122" s="172"/>
      <c r="H122" s="172"/>
      <c r="I122" s="172"/>
      <c r="J122" s="172"/>
      <c r="K122" s="172"/>
      <c r="L122" s="172"/>
      <c r="M122" s="172"/>
      <c r="N122" s="175"/>
    </row>
    <row r="123" spans="1:14" ht="15" customHeight="1" x14ac:dyDescent="0.3">
      <c r="A123" s="167" t="s">
        <v>162</v>
      </c>
      <c r="B123" s="167" t="s">
        <v>29</v>
      </c>
      <c r="C123" s="168">
        <v>36404</v>
      </c>
      <c r="D123" s="170">
        <v>22.21</v>
      </c>
      <c r="E123" s="170">
        <v>22.21</v>
      </c>
      <c r="F123" s="172">
        <v>1999</v>
      </c>
      <c r="G123" s="172"/>
      <c r="H123" s="172"/>
      <c r="I123" s="172"/>
      <c r="J123" s="172"/>
      <c r="K123" s="172"/>
      <c r="L123" s="172"/>
      <c r="M123" s="172"/>
      <c r="N123" s="175"/>
    </row>
    <row r="124" spans="1:14" ht="15" customHeight="1" x14ac:dyDescent="0.3">
      <c r="A124" s="167" t="s">
        <v>163</v>
      </c>
      <c r="B124" s="167" t="s">
        <v>29</v>
      </c>
      <c r="C124" s="168">
        <v>36431</v>
      </c>
      <c r="D124" s="170">
        <v>20.32</v>
      </c>
      <c r="E124" s="170">
        <v>20.56</v>
      </c>
      <c r="F124" s="172">
        <v>1999</v>
      </c>
      <c r="G124" s="172"/>
      <c r="H124" s="172"/>
      <c r="I124" s="172"/>
      <c r="J124" s="172"/>
      <c r="K124" s="172"/>
      <c r="L124" s="172"/>
      <c r="M124" s="172"/>
      <c r="N124" s="175"/>
    </row>
    <row r="125" spans="1:14" ht="15" customHeight="1" x14ac:dyDescent="0.3">
      <c r="A125" s="167" t="s">
        <v>164</v>
      </c>
      <c r="B125" s="167" t="s">
        <v>29</v>
      </c>
      <c r="C125" s="168">
        <v>36469</v>
      </c>
      <c r="D125" s="170">
        <v>14.4</v>
      </c>
      <c r="E125" s="170">
        <v>14.82</v>
      </c>
      <c r="F125" s="172">
        <v>1999</v>
      </c>
      <c r="G125" s="172"/>
      <c r="H125" s="172"/>
      <c r="I125" s="172"/>
      <c r="J125" s="172"/>
      <c r="K125" s="172"/>
      <c r="L125" s="172"/>
      <c r="M125" s="172"/>
      <c r="N125" s="175"/>
    </row>
    <row r="126" spans="1:14" ht="15" customHeight="1" x14ac:dyDescent="0.3">
      <c r="A126" s="167" t="s">
        <v>165</v>
      </c>
      <c r="B126" s="167" t="s">
        <v>29</v>
      </c>
      <c r="C126" s="168">
        <v>36503</v>
      </c>
      <c r="D126" s="170">
        <v>8.9700000000000006</v>
      </c>
      <c r="E126" s="170">
        <v>9.5500000000000007</v>
      </c>
      <c r="F126" s="172">
        <v>1999</v>
      </c>
      <c r="G126" s="172"/>
      <c r="H126" s="172"/>
      <c r="I126" s="172"/>
      <c r="J126" s="172"/>
      <c r="K126" s="172"/>
      <c r="L126" s="172"/>
      <c r="M126" s="172"/>
      <c r="N126" s="175"/>
    </row>
    <row r="127" spans="1:14" ht="15" customHeight="1" x14ac:dyDescent="0.3">
      <c r="A127" s="167" t="s">
        <v>166</v>
      </c>
      <c r="B127" s="167" t="s">
        <v>29</v>
      </c>
      <c r="C127" s="168">
        <v>36531</v>
      </c>
      <c r="D127" s="170">
        <v>5.23</v>
      </c>
      <c r="E127" s="170">
        <v>5.95</v>
      </c>
      <c r="F127" s="172">
        <v>2000</v>
      </c>
      <c r="G127" s="172"/>
      <c r="H127" s="172"/>
      <c r="I127" s="172"/>
      <c r="J127" s="172"/>
      <c r="K127" s="172"/>
      <c r="L127" s="172"/>
      <c r="M127" s="172"/>
      <c r="N127" s="175"/>
    </row>
    <row r="128" spans="1:14" ht="15" customHeight="1" x14ac:dyDescent="0.3">
      <c r="A128" s="167" t="s">
        <v>167</v>
      </c>
      <c r="B128" s="167" t="s">
        <v>29</v>
      </c>
      <c r="C128" s="168">
        <v>36563</v>
      </c>
      <c r="D128" s="170">
        <v>0.06</v>
      </c>
      <c r="E128" s="170">
        <v>0.23</v>
      </c>
      <c r="F128" s="172">
        <v>2000</v>
      </c>
      <c r="G128" s="172"/>
      <c r="H128" s="172"/>
      <c r="I128" s="172"/>
      <c r="J128" s="172"/>
      <c r="K128" s="172"/>
      <c r="L128" s="172"/>
      <c r="M128" s="172"/>
      <c r="N128" s="175"/>
    </row>
    <row r="129" spans="1:14" ht="15" customHeight="1" x14ac:dyDescent="0.3">
      <c r="A129" s="167" t="s">
        <v>168</v>
      </c>
      <c r="B129" s="167" t="s">
        <v>29</v>
      </c>
      <c r="C129" s="168">
        <v>36572</v>
      </c>
      <c r="D129" s="170">
        <v>0.99</v>
      </c>
      <c r="E129" s="170">
        <v>1.04</v>
      </c>
      <c r="F129" s="172">
        <v>2000</v>
      </c>
      <c r="G129" s="172"/>
      <c r="H129" s="172"/>
      <c r="I129" s="172"/>
      <c r="J129" s="172"/>
      <c r="K129" s="172"/>
      <c r="L129" s="172"/>
      <c r="M129" s="172"/>
      <c r="N129" s="175"/>
    </row>
    <row r="130" spans="1:14" ht="15" customHeight="1" x14ac:dyDescent="0.3">
      <c r="A130" s="167" t="s">
        <v>169</v>
      </c>
      <c r="B130" s="167" t="s">
        <v>29</v>
      </c>
      <c r="C130" s="168">
        <v>36591</v>
      </c>
      <c r="D130" s="170">
        <v>3.11</v>
      </c>
      <c r="E130" s="170">
        <v>2.76</v>
      </c>
      <c r="F130" s="172">
        <v>2000</v>
      </c>
      <c r="G130" s="172"/>
      <c r="H130" s="172"/>
      <c r="I130" s="172"/>
      <c r="J130" s="172"/>
      <c r="K130" s="172"/>
      <c r="L130" s="172"/>
      <c r="M130" s="172"/>
      <c r="N130" s="175"/>
    </row>
    <row r="131" spans="1:14" ht="15" customHeight="1" x14ac:dyDescent="0.3">
      <c r="A131" s="167" t="s">
        <v>170</v>
      </c>
      <c r="B131" s="167" t="s">
        <v>29</v>
      </c>
      <c r="C131" s="168">
        <v>36600</v>
      </c>
      <c r="D131" s="170">
        <v>4.6500000000000004</v>
      </c>
      <c r="E131" s="170">
        <v>4.03</v>
      </c>
      <c r="F131" s="172">
        <v>2000</v>
      </c>
      <c r="G131" s="172"/>
      <c r="H131" s="172"/>
      <c r="I131" s="172"/>
      <c r="J131" s="172"/>
      <c r="K131" s="172"/>
      <c r="L131" s="172"/>
      <c r="M131" s="172"/>
      <c r="N131" s="175"/>
    </row>
    <row r="132" spans="1:14" ht="15" customHeight="1" x14ac:dyDescent="0.3">
      <c r="A132" s="167" t="s">
        <v>171</v>
      </c>
      <c r="B132" s="167" t="s">
        <v>29</v>
      </c>
      <c r="C132" s="168">
        <v>36626</v>
      </c>
      <c r="D132" s="170">
        <v>6.39</v>
      </c>
      <c r="E132" s="170">
        <v>6.32</v>
      </c>
      <c r="F132" s="172">
        <v>2000</v>
      </c>
      <c r="G132" s="172"/>
      <c r="H132" s="172"/>
      <c r="I132" s="172"/>
      <c r="J132" s="172"/>
      <c r="K132" s="172"/>
      <c r="L132" s="172"/>
      <c r="M132" s="172"/>
      <c r="N132" s="175"/>
    </row>
    <row r="133" spans="1:14" ht="15" customHeight="1" x14ac:dyDescent="0.3">
      <c r="A133" s="167" t="s">
        <v>172</v>
      </c>
      <c r="B133" s="167" t="s">
        <v>29</v>
      </c>
      <c r="C133" s="168">
        <v>36649</v>
      </c>
      <c r="D133" s="170">
        <v>10.41</v>
      </c>
      <c r="E133" s="170">
        <v>9.15</v>
      </c>
      <c r="F133" s="172">
        <v>2000</v>
      </c>
      <c r="G133" s="172"/>
      <c r="H133" s="172"/>
      <c r="I133" s="172"/>
      <c r="J133" s="172"/>
      <c r="K133" s="172"/>
      <c r="L133" s="172"/>
      <c r="M133" s="172"/>
      <c r="N133" s="175"/>
    </row>
    <row r="134" spans="1:14" ht="15" customHeight="1" x14ac:dyDescent="0.3">
      <c r="A134" s="167" t="s">
        <v>173</v>
      </c>
      <c r="B134" s="167" t="s">
        <v>29</v>
      </c>
      <c r="C134" s="168">
        <v>36682</v>
      </c>
      <c r="D134" s="170">
        <v>16.46</v>
      </c>
      <c r="E134" s="170">
        <v>13.8</v>
      </c>
      <c r="F134" s="172">
        <v>2000</v>
      </c>
      <c r="G134" s="172"/>
      <c r="H134" s="172"/>
      <c r="I134" s="172"/>
      <c r="J134" s="172"/>
      <c r="K134" s="172"/>
      <c r="L134" s="172"/>
      <c r="M134" s="172"/>
      <c r="N134" s="175"/>
    </row>
    <row r="135" spans="1:14" ht="15" customHeight="1" x14ac:dyDescent="0.3">
      <c r="A135" s="167" t="s">
        <v>174</v>
      </c>
      <c r="B135" s="167" t="s">
        <v>29</v>
      </c>
      <c r="C135" s="168">
        <v>36703</v>
      </c>
      <c r="D135" s="170">
        <v>19.29</v>
      </c>
      <c r="E135" s="170">
        <v>14.46</v>
      </c>
      <c r="F135" s="172">
        <v>2000</v>
      </c>
      <c r="G135" s="172"/>
      <c r="H135" s="172"/>
      <c r="I135" s="172"/>
      <c r="J135" s="172"/>
      <c r="K135" s="172"/>
      <c r="L135" s="172"/>
      <c r="M135" s="172"/>
      <c r="N135" s="175"/>
    </row>
    <row r="136" spans="1:14" ht="15" customHeight="1" x14ac:dyDescent="0.3">
      <c r="A136" s="167" t="s">
        <v>175</v>
      </c>
      <c r="B136" s="167" t="s">
        <v>29</v>
      </c>
      <c r="C136" s="168">
        <v>36717</v>
      </c>
      <c r="D136" s="170">
        <v>20.32</v>
      </c>
      <c r="E136" s="170">
        <v>16.13</v>
      </c>
      <c r="F136" s="172">
        <v>2000</v>
      </c>
      <c r="G136" s="172"/>
      <c r="H136" s="172"/>
      <c r="I136" s="172"/>
      <c r="J136" s="172"/>
      <c r="K136" s="172"/>
      <c r="L136" s="172"/>
      <c r="M136" s="172"/>
      <c r="N136" s="175"/>
    </row>
    <row r="137" spans="1:14" ht="15" customHeight="1" x14ac:dyDescent="0.3">
      <c r="A137" s="167" t="s">
        <v>176</v>
      </c>
      <c r="B137" s="167" t="s">
        <v>29</v>
      </c>
      <c r="C137" s="168">
        <v>36726</v>
      </c>
      <c r="D137" s="170">
        <v>21.15</v>
      </c>
      <c r="E137" s="170">
        <v>17.98</v>
      </c>
      <c r="F137" s="172">
        <v>2000</v>
      </c>
      <c r="G137" s="172"/>
      <c r="H137" s="172"/>
      <c r="I137" s="172"/>
      <c r="J137" s="172"/>
      <c r="K137" s="172"/>
      <c r="L137" s="172"/>
      <c r="M137" s="172"/>
      <c r="N137" s="175"/>
    </row>
    <row r="138" spans="1:14" ht="15" customHeight="1" x14ac:dyDescent="0.3">
      <c r="A138" s="167" t="s">
        <v>177</v>
      </c>
      <c r="B138" s="167" t="s">
        <v>29</v>
      </c>
      <c r="C138" s="168">
        <v>36745</v>
      </c>
      <c r="D138" s="170">
        <v>22.3</v>
      </c>
      <c r="E138" s="170">
        <v>20.45</v>
      </c>
      <c r="F138" s="172">
        <v>2000</v>
      </c>
      <c r="G138" s="172"/>
      <c r="H138" s="172"/>
      <c r="I138" s="172"/>
      <c r="J138" s="172"/>
      <c r="K138" s="172"/>
      <c r="L138" s="172"/>
      <c r="M138" s="172"/>
      <c r="N138" s="175"/>
    </row>
    <row r="139" spans="1:14" ht="15" customHeight="1" x14ac:dyDescent="0.3">
      <c r="A139" s="167" t="s">
        <v>178</v>
      </c>
      <c r="B139" s="167" t="s">
        <v>29</v>
      </c>
      <c r="C139" s="168">
        <v>36754</v>
      </c>
      <c r="D139" s="170">
        <v>22.27</v>
      </c>
      <c r="E139" s="170">
        <v>21.24</v>
      </c>
      <c r="F139" s="172">
        <v>2000</v>
      </c>
      <c r="G139" s="172"/>
      <c r="H139" s="172"/>
      <c r="I139" s="172"/>
      <c r="J139" s="172"/>
      <c r="K139" s="172"/>
      <c r="L139" s="172"/>
      <c r="M139" s="172"/>
      <c r="N139" s="175"/>
    </row>
    <row r="140" spans="1:14" ht="15" customHeight="1" x14ac:dyDescent="0.3">
      <c r="A140" s="167" t="s">
        <v>179</v>
      </c>
      <c r="B140" s="167" t="s">
        <v>29</v>
      </c>
      <c r="C140" s="168">
        <v>36769</v>
      </c>
      <c r="D140" s="170">
        <v>22.31</v>
      </c>
      <c r="E140" s="170">
        <v>21.76</v>
      </c>
      <c r="F140" s="172">
        <v>2000</v>
      </c>
      <c r="G140" s="172"/>
      <c r="H140" s="172"/>
      <c r="I140" s="172"/>
      <c r="J140" s="172"/>
      <c r="K140" s="172"/>
      <c r="L140" s="172"/>
      <c r="M140" s="172"/>
      <c r="N140" s="175"/>
    </row>
    <row r="141" spans="1:14" ht="15" customHeight="1" x14ac:dyDescent="0.3">
      <c r="A141" s="167" t="s">
        <v>180</v>
      </c>
      <c r="B141" s="167" t="s">
        <v>29</v>
      </c>
      <c r="C141" s="168">
        <v>36802</v>
      </c>
      <c r="D141" s="170">
        <v>18.88</v>
      </c>
      <c r="E141" s="170">
        <v>19.12</v>
      </c>
      <c r="F141" s="172">
        <v>2000</v>
      </c>
      <c r="G141" s="172"/>
      <c r="H141" s="172"/>
      <c r="I141" s="172"/>
      <c r="J141" s="172"/>
      <c r="K141" s="172"/>
      <c r="L141" s="172"/>
      <c r="M141" s="172"/>
      <c r="N141" s="175"/>
    </row>
    <row r="142" spans="1:14" ht="15" customHeight="1" x14ac:dyDescent="0.3">
      <c r="A142" s="167" t="s">
        <v>181</v>
      </c>
      <c r="B142" s="167" t="s">
        <v>29</v>
      </c>
      <c r="C142" s="168">
        <v>36839</v>
      </c>
      <c r="D142" s="170">
        <v>12.44</v>
      </c>
      <c r="E142" s="170">
        <v>13.36</v>
      </c>
      <c r="F142" s="172">
        <v>2000</v>
      </c>
      <c r="G142" s="172"/>
      <c r="H142" s="172"/>
      <c r="I142" s="172"/>
      <c r="J142" s="172"/>
      <c r="K142" s="172"/>
      <c r="L142" s="172"/>
      <c r="M142" s="172"/>
      <c r="N142" s="175"/>
    </row>
    <row r="143" spans="1:14" ht="15" customHeight="1" x14ac:dyDescent="0.3">
      <c r="A143" s="167" t="s">
        <v>182</v>
      </c>
      <c r="B143" s="167" t="s">
        <v>29</v>
      </c>
      <c r="C143" s="168">
        <v>36864</v>
      </c>
      <c r="D143" s="170">
        <v>7.43</v>
      </c>
      <c r="E143" s="170">
        <v>7.43</v>
      </c>
      <c r="F143" s="172">
        <v>2000</v>
      </c>
      <c r="G143" s="172"/>
      <c r="H143" s="172"/>
      <c r="I143" s="172"/>
      <c r="J143" s="172"/>
      <c r="K143" s="172"/>
      <c r="L143" s="172"/>
      <c r="M143" s="172"/>
      <c r="N143" s="175"/>
    </row>
    <row r="144" spans="1:14" ht="15" customHeight="1" x14ac:dyDescent="0.3">
      <c r="A144" s="167" t="s">
        <v>183</v>
      </c>
      <c r="B144" s="167" t="s">
        <v>29</v>
      </c>
      <c r="C144" s="168">
        <v>36908</v>
      </c>
      <c r="D144" s="170">
        <v>1.79</v>
      </c>
      <c r="E144" s="170">
        <v>1.84</v>
      </c>
      <c r="F144" s="172">
        <v>2001</v>
      </c>
      <c r="G144" s="172"/>
      <c r="H144" s="172"/>
      <c r="I144" s="172"/>
      <c r="J144" s="172"/>
      <c r="K144" s="172"/>
      <c r="L144" s="172"/>
      <c r="M144" s="172"/>
      <c r="N144" s="175"/>
    </row>
    <row r="145" spans="1:14" ht="15" customHeight="1" x14ac:dyDescent="0.3">
      <c r="A145" s="167" t="s">
        <v>184</v>
      </c>
      <c r="B145" s="167" t="s">
        <v>29</v>
      </c>
      <c r="C145" s="168">
        <v>36929</v>
      </c>
      <c r="D145" s="170">
        <v>1.65</v>
      </c>
      <c r="E145" s="170">
        <v>1.61</v>
      </c>
      <c r="F145" s="172">
        <v>2001</v>
      </c>
      <c r="G145" s="172"/>
      <c r="H145" s="172"/>
      <c r="I145" s="172"/>
      <c r="J145" s="172"/>
      <c r="K145" s="172"/>
      <c r="L145" s="172"/>
      <c r="M145" s="172"/>
      <c r="N145" s="175"/>
    </row>
    <row r="146" spans="1:14" ht="15" customHeight="1" x14ac:dyDescent="0.3">
      <c r="A146" s="167" t="s">
        <v>185</v>
      </c>
      <c r="B146" s="167" t="s">
        <v>29</v>
      </c>
      <c r="C146" s="168">
        <v>36942</v>
      </c>
      <c r="D146" s="169"/>
      <c r="E146" s="169"/>
      <c r="F146" s="172">
        <v>2001</v>
      </c>
      <c r="G146" s="172"/>
      <c r="H146" s="172"/>
      <c r="I146" s="172"/>
      <c r="J146" s="172"/>
      <c r="K146" s="172"/>
      <c r="L146" s="172"/>
      <c r="M146" s="172"/>
      <c r="N146" s="175"/>
    </row>
    <row r="147" spans="1:14" ht="15" customHeight="1" x14ac:dyDescent="0.3">
      <c r="A147" s="167" t="s">
        <v>186</v>
      </c>
      <c r="B147" s="167" t="s">
        <v>29</v>
      </c>
      <c r="C147" s="168">
        <v>36958</v>
      </c>
      <c r="D147" s="170">
        <v>1.81</v>
      </c>
      <c r="E147" s="170">
        <v>1.75</v>
      </c>
      <c r="F147" s="172">
        <v>2001</v>
      </c>
      <c r="G147" s="172"/>
      <c r="H147" s="172"/>
      <c r="I147" s="172"/>
      <c r="J147" s="172"/>
      <c r="K147" s="172"/>
      <c r="L147" s="172"/>
      <c r="M147" s="172"/>
      <c r="N147" s="175"/>
    </row>
    <row r="148" spans="1:14" ht="15" customHeight="1" x14ac:dyDescent="0.3">
      <c r="A148" s="167" t="s">
        <v>187</v>
      </c>
      <c r="B148" s="167" t="s">
        <v>29</v>
      </c>
      <c r="C148" s="168">
        <v>36985</v>
      </c>
      <c r="D148" s="170">
        <v>4.6100000000000003</v>
      </c>
      <c r="E148" s="170">
        <v>4.34</v>
      </c>
      <c r="F148" s="172">
        <v>2001</v>
      </c>
      <c r="G148" s="172"/>
      <c r="H148" s="172"/>
      <c r="I148" s="172"/>
      <c r="J148" s="172"/>
      <c r="K148" s="172"/>
      <c r="L148" s="172"/>
      <c r="M148" s="172"/>
      <c r="N148" s="175"/>
    </row>
    <row r="149" spans="1:14" ht="15" customHeight="1" x14ac:dyDescent="0.3">
      <c r="A149" s="167" t="s">
        <v>188</v>
      </c>
      <c r="B149" s="167" t="s">
        <v>29</v>
      </c>
      <c r="C149" s="168">
        <v>37012</v>
      </c>
      <c r="D149" s="169"/>
      <c r="E149" s="169"/>
      <c r="F149" s="172">
        <v>2001</v>
      </c>
      <c r="G149" s="172"/>
      <c r="H149" s="172"/>
      <c r="I149" s="172"/>
      <c r="J149" s="172"/>
      <c r="K149" s="172"/>
      <c r="L149" s="172"/>
      <c r="M149" s="172"/>
      <c r="N149" s="175"/>
    </row>
    <row r="150" spans="1:14" ht="15" customHeight="1" x14ac:dyDescent="0.3">
      <c r="A150" s="167" t="s">
        <v>189</v>
      </c>
      <c r="B150" s="167" t="s">
        <v>29</v>
      </c>
      <c r="C150" s="168">
        <v>37048</v>
      </c>
      <c r="D150" s="170">
        <v>15.62</v>
      </c>
      <c r="E150" s="170">
        <v>13.93</v>
      </c>
      <c r="F150" s="172">
        <v>2001</v>
      </c>
      <c r="G150" s="172"/>
      <c r="H150" s="172"/>
      <c r="I150" s="172"/>
      <c r="J150" s="172"/>
      <c r="K150" s="172"/>
      <c r="L150" s="172"/>
      <c r="M150" s="172"/>
      <c r="N150" s="175"/>
    </row>
    <row r="151" spans="1:14" ht="15" customHeight="1" x14ac:dyDescent="0.3">
      <c r="A151" s="167" t="s">
        <v>190</v>
      </c>
      <c r="B151" s="167" t="s">
        <v>29</v>
      </c>
      <c r="C151" s="168">
        <v>37063</v>
      </c>
      <c r="D151" s="170">
        <v>19.760000000000002</v>
      </c>
      <c r="E151" s="170">
        <v>13.19</v>
      </c>
      <c r="F151" s="172">
        <v>2001</v>
      </c>
      <c r="G151" s="172"/>
      <c r="H151" s="172"/>
      <c r="I151" s="172"/>
      <c r="J151" s="172"/>
      <c r="K151" s="172"/>
      <c r="L151" s="172"/>
      <c r="M151" s="172"/>
      <c r="N151" s="175"/>
    </row>
    <row r="152" spans="1:14" ht="15" customHeight="1" x14ac:dyDescent="0.3">
      <c r="A152" s="167" t="s">
        <v>191</v>
      </c>
      <c r="B152" s="167" t="s">
        <v>29</v>
      </c>
      <c r="C152" s="168">
        <v>37082</v>
      </c>
      <c r="D152" s="170">
        <v>19.3</v>
      </c>
      <c r="E152" s="170">
        <v>16.09</v>
      </c>
      <c r="F152" s="172">
        <v>2001</v>
      </c>
      <c r="G152" s="172"/>
      <c r="H152" s="172"/>
      <c r="I152" s="172"/>
      <c r="J152" s="172"/>
      <c r="K152" s="172"/>
      <c r="L152" s="172"/>
      <c r="M152" s="172"/>
      <c r="N152" s="175"/>
    </row>
    <row r="153" spans="1:14" ht="15" customHeight="1" x14ac:dyDescent="0.3">
      <c r="A153" s="167" t="s">
        <v>192</v>
      </c>
      <c r="B153" s="167" t="s">
        <v>29</v>
      </c>
      <c r="C153" s="168">
        <v>37097</v>
      </c>
      <c r="D153" s="170">
        <v>21.02</v>
      </c>
      <c r="E153" s="170">
        <v>18.690000000000001</v>
      </c>
      <c r="F153" s="172">
        <v>2001</v>
      </c>
      <c r="G153" s="172"/>
      <c r="H153" s="172"/>
      <c r="I153" s="172"/>
      <c r="J153" s="172"/>
      <c r="K153" s="172"/>
      <c r="L153" s="172"/>
      <c r="M153" s="172"/>
      <c r="N153" s="175"/>
    </row>
    <row r="154" spans="1:14" ht="15" customHeight="1" x14ac:dyDescent="0.3">
      <c r="A154" s="167" t="s">
        <v>193</v>
      </c>
      <c r="B154" s="167" t="s">
        <v>29</v>
      </c>
      <c r="C154" s="168">
        <v>37110</v>
      </c>
      <c r="D154" s="170">
        <v>22.89</v>
      </c>
      <c r="E154" s="170">
        <v>19.91</v>
      </c>
      <c r="F154" s="172">
        <v>2001</v>
      </c>
      <c r="G154" s="172"/>
      <c r="H154" s="172"/>
      <c r="I154" s="172"/>
      <c r="J154" s="172"/>
      <c r="K154" s="172"/>
      <c r="L154" s="172"/>
      <c r="M154" s="172"/>
      <c r="N154" s="175"/>
    </row>
    <row r="155" spans="1:14" ht="15" customHeight="1" x14ac:dyDescent="0.3">
      <c r="A155" s="167" t="s">
        <v>194</v>
      </c>
      <c r="B155" s="167" t="s">
        <v>29</v>
      </c>
      <c r="C155" s="168">
        <v>37124</v>
      </c>
      <c r="D155" s="170">
        <v>23.66</v>
      </c>
      <c r="E155" s="170">
        <v>21.42</v>
      </c>
      <c r="F155" s="172">
        <v>2001</v>
      </c>
      <c r="G155" s="172"/>
      <c r="H155" s="172"/>
      <c r="I155" s="172"/>
      <c r="J155" s="172"/>
      <c r="K155" s="172"/>
      <c r="L155" s="172"/>
      <c r="M155" s="172"/>
      <c r="N155" s="175"/>
    </row>
    <row r="156" spans="1:14" ht="15" customHeight="1" x14ac:dyDescent="0.3">
      <c r="A156" s="167" t="s">
        <v>196</v>
      </c>
      <c r="B156" s="167" t="s">
        <v>29</v>
      </c>
      <c r="C156" s="168">
        <v>37138</v>
      </c>
      <c r="D156" s="170">
        <v>22.68</v>
      </c>
      <c r="E156" s="170">
        <v>21.91</v>
      </c>
      <c r="F156" s="172">
        <v>2001</v>
      </c>
      <c r="G156" s="172"/>
      <c r="H156" s="172"/>
      <c r="I156" s="172"/>
      <c r="J156" s="172"/>
      <c r="K156" s="172"/>
      <c r="L156" s="172"/>
      <c r="M156" s="172"/>
      <c r="N156" s="175"/>
    </row>
    <row r="157" spans="1:14" ht="15" customHeight="1" x14ac:dyDescent="0.3">
      <c r="A157" s="167" t="s">
        <v>197</v>
      </c>
      <c r="B157" s="167" t="s">
        <v>29</v>
      </c>
      <c r="C157" s="168">
        <v>37158</v>
      </c>
      <c r="D157" s="170">
        <v>21.84</v>
      </c>
      <c r="E157" s="169"/>
      <c r="F157" s="172">
        <v>2001</v>
      </c>
      <c r="G157" s="172"/>
      <c r="H157" s="172"/>
      <c r="I157" s="172"/>
      <c r="J157" s="172"/>
      <c r="K157" s="172"/>
      <c r="L157" s="172"/>
      <c r="M157" s="172"/>
      <c r="N157" s="175"/>
    </row>
    <row r="158" spans="1:14" ht="15" customHeight="1" x14ac:dyDescent="0.3">
      <c r="A158" s="167" t="s">
        <v>198</v>
      </c>
      <c r="B158" s="167" t="s">
        <v>29</v>
      </c>
      <c r="C158" s="168">
        <v>37168</v>
      </c>
      <c r="D158" s="170">
        <v>19.43</v>
      </c>
      <c r="E158" s="170">
        <v>19.12</v>
      </c>
      <c r="F158" s="172">
        <v>2001</v>
      </c>
      <c r="G158" s="172"/>
      <c r="H158" s="172"/>
      <c r="I158" s="172"/>
      <c r="J158" s="172"/>
      <c r="K158" s="172"/>
      <c r="L158" s="172"/>
      <c r="M158" s="172"/>
      <c r="N158" s="175"/>
    </row>
    <row r="159" spans="1:14" ht="15" customHeight="1" x14ac:dyDescent="0.3">
      <c r="A159" s="167" t="s">
        <v>199</v>
      </c>
      <c r="B159" s="167" t="s">
        <v>29</v>
      </c>
      <c r="C159" s="168">
        <v>37208</v>
      </c>
      <c r="D159" s="170">
        <v>12.21</v>
      </c>
      <c r="E159" s="170">
        <v>12.89</v>
      </c>
      <c r="F159" s="172">
        <v>2001</v>
      </c>
      <c r="G159" s="172"/>
      <c r="H159" s="172"/>
      <c r="I159" s="172"/>
      <c r="J159" s="172"/>
      <c r="K159" s="172"/>
      <c r="L159" s="172"/>
      <c r="M159" s="172"/>
      <c r="N159" s="175"/>
    </row>
    <row r="160" spans="1:14" ht="15" customHeight="1" x14ac:dyDescent="0.3">
      <c r="A160" s="167" t="s">
        <v>200</v>
      </c>
      <c r="B160" s="167" t="s">
        <v>29</v>
      </c>
      <c r="C160" s="168">
        <v>37230</v>
      </c>
      <c r="D160" s="170">
        <v>11.46</v>
      </c>
      <c r="E160" s="170">
        <v>11.55</v>
      </c>
      <c r="F160" s="172">
        <v>2001</v>
      </c>
      <c r="G160" s="172"/>
      <c r="H160" s="172"/>
      <c r="I160" s="172"/>
      <c r="J160" s="172"/>
      <c r="K160" s="172"/>
      <c r="L160" s="172"/>
      <c r="M160" s="172"/>
      <c r="N160" s="175"/>
    </row>
    <row r="161" spans="1:14" ht="15" customHeight="1" x14ac:dyDescent="0.3">
      <c r="A161" s="167" t="s">
        <v>201</v>
      </c>
      <c r="B161" s="167" t="s">
        <v>29</v>
      </c>
      <c r="C161" s="168">
        <v>37271</v>
      </c>
      <c r="D161" s="170">
        <v>4.41</v>
      </c>
      <c r="E161" s="170">
        <v>5.4</v>
      </c>
      <c r="F161" s="172">
        <v>2002</v>
      </c>
      <c r="G161" s="172"/>
      <c r="H161" s="172"/>
      <c r="I161" s="172"/>
      <c r="J161" s="172"/>
      <c r="K161" s="172"/>
      <c r="L161" s="172"/>
      <c r="M161" s="172"/>
      <c r="N161" s="175"/>
    </row>
    <row r="162" spans="1:14" ht="15" customHeight="1" x14ac:dyDescent="0.3">
      <c r="A162" s="167" t="s">
        <v>202</v>
      </c>
      <c r="B162" s="167" t="s">
        <v>29</v>
      </c>
      <c r="C162" s="168">
        <v>37293</v>
      </c>
      <c r="D162" s="170">
        <v>4.08</v>
      </c>
      <c r="E162" s="170">
        <v>4.03</v>
      </c>
      <c r="F162" s="172">
        <v>2002</v>
      </c>
      <c r="G162" s="172"/>
      <c r="H162" s="172"/>
      <c r="I162" s="172"/>
      <c r="J162" s="172"/>
      <c r="K162" s="172"/>
      <c r="L162" s="172"/>
      <c r="M162" s="172"/>
      <c r="N162" s="175"/>
    </row>
    <row r="163" spans="1:14" ht="15" customHeight="1" x14ac:dyDescent="0.3">
      <c r="A163" s="167" t="s">
        <v>203</v>
      </c>
      <c r="B163" s="167" t="s">
        <v>29</v>
      </c>
      <c r="C163" s="168">
        <v>37306</v>
      </c>
      <c r="D163" s="170">
        <v>3.83</v>
      </c>
      <c r="E163" s="170">
        <v>4.0199999999999996</v>
      </c>
      <c r="F163" s="172">
        <v>2002</v>
      </c>
      <c r="G163" s="172"/>
      <c r="H163" s="172"/>
      <c r="I163" s="172"/>
      <c r="J163" s="172"/>
      <c r="K163" s="172"/>
      <c r="L163" s="172"/>
      <c r="M163" s="172"/>
      <c r="N163" s="175"/>
    </row>
    <row r="164" spans="1:14" ht="15" customHeight="1" x14ac:dyDescent="0.3">
      <c r="A164" s="167" t="s">
        <v>204</v>
      </c>
      <c r="B164" s="167" t="s">
        <v>29</v>
      </c>
      <c r="C164" s="168">
        <v>37319</v>
      </c>
      <c r="D164" s="170">
        <v>4.99</v>
      </c>
      <c r="E164" s="170">
        <v>4.97</v>
      </c>
      <c r="F164" s="172">
        <v>2002</v>
      </c>
      <c r="G164" s="172"/>
      <c r="H164" s="172"/>
      <c r="I164" s="172"/>
      <c r="J164" s="172"/>
      <c r="K164" s="172"/>
      <c r="L164" s="172"/>
      <c r="M164" s="172"/>
      <c r="N164" s="175"/>
    </row>
    <row r="165" spans="1:14" ht="15" customHeight="1" x14ac:dyDescent="0.3">
      <c r="A165" s="167" t="s">
        <v>205</v>
      </c>
      <c r="B165" s="167" t="s">
        <v>29</v>
      </c>
      <c r="C165" s="168">
        <v>37336</v>
      </c>
      <c r="D165" s="170">
        <v>5.45</v>
      </c>
      <c r="E165" s="170">
        <v>5.31</v>
      </c>
      <c r="F165" s="172">
        <v>2002</v>
      </c>
      <c r="G165" s="172"/>
      <c r="H165" s="172"/>
      <c r="I165" s="172"/>
      <c r="J165" s="172"/>
      <c r="K165" s="172"/>
      <c r="L165" s="172"/>
      <c r="M165" s="172"/>
      <c r="N165" s="175"/>
    </row>
    <row r="166" spans="1:14" ht="15" customHeight="1" x14ac:dyDescent="0.3">
      <c r="A166" s="167" t="s">
        <v>206</v>
      </c>
      <c r="B166" s="167" t="s">
        <v>29</v>
      </c>
      <c r="C166" s="168">
        <v>37350</v>
      </c>
      <c r="D166" s="170">
        <v>7.26</v>
      </c>
      <c r="E166" s="170">
        <v>6.09</v>
      </c>
      <c r="F166" s="172">
        <v>2002</v>
      </c>
      <c r="G166" s="172"/>
      <c r="H166" s="172"/>
      <c r="I166" s="172"/>
      <c r="J166" s="172"/>
      <c r="K166" s="172"/>
      <c r="L166" s="172"/>
      <c r="M166" s="172"/>
      <c r="N166" s="175"/>
    </row>
    <row r="167" spans="1:14" ht="15" customHeight="1" x14ac:dyDescent="0.3">
      <c r="A167" s="167" t="s">
        <v>207</v>
      </c>
      <c r="B167" s="167" t="s">
        <v>29</v>
      </c>
      <c r="C167" s="168">
        <v>37383</v>
      </c>
      <c r="D167" s="170">
        <v>12.11</v>
      </c>
      <c r="E167" s="170">
        <v>9.92</v>
      </c>
      <c r="F167" s="172">
        <v>2002</v>
      </c>
      <c r="G167" s="172"/>
      <c r="H167" s="172"/>
      <c r="I167" s="172"/>
      <c r="J167" s="172"/>
      <c r="K167" s="172"/>
      <c r="L167" s="172"/>
      <c r="M167" s="172"/>
      <c r="N167" s="175"/>
    </row>
    <row r="168" spans="1:14" ht="15" customHeight="1" x14ac:dyDescent="0.3">
      <c r="A168" s="167" t="s">
        <v>208</v>
      </c>
      <c r="B168" s="167" t="s">
        <v>29</v>
      </c>
      <c r="C168" s="168">
        <v>37413</v>
      </c>
      <c r="D168" s="170">
        <v>17.52</v>
      </c>
      <c r="E168" s="170">
        <v>13.24</v>
      </c>
      <c r="F168" s="172">
        <v>2002</v>
      </c>
      <c r="G168" s="172"/>
      <c r="H168" s="172"/>
      <c r="I168" s="172"/>
      <c r="J168" s="172"/>
      <c r="K168" s="172"/>
      <c r="L168" s="172"/>
      <c r="M168" s="172"/>
      <c r="N168" s="175"/>
    </row>
    <row r="169" spans="1:14" ht="15" customHeight="1" x14ac:dyDescent="0.3">
      <c r="A169" s="167" t="s">
        <v>209</v>
      </c>
      <c r="B169" s="167" t="s">
        <v>29</v>
      </c>
      <c r="C169" s="168">
        <v>37433</v>
      </c>
      <c r="D169" s="170">
        <v>21.31</v>
      </c>
      <c r="E169" s="170">
        <v>16.91</v>
      </c>
      <c r="F169" s="172">
        <v>2002</v>
      </c>
      <c r="G169" s="172"/>
      <c r="H169" s="172"/>
      <c r="I169" s="172"/>
      <c r="J169" s="172"/>
      <c r="K169" s="172"/>
      <c r="L169" s="172"/>
      <c r="M169" s="172"/>
      <c r="N169" s="175"/>
    </row>
    <row r="170" spans="1:14" ht="15" customHeight="1" x14ac:dyDescent="0.3">
      <c r="A170" s="167" t="s">
        <v>210</v>
      </c>
      <c r="B170" s="167" t="s">
        <v>29</v>
      </c>
      <c r="C170" s="168">
        <v>37446</v>
      </c>
      <c r="D170" s="170">
        <v>21.16</v>
      </c>
      <c r="E170" s="170">
        <v>16.37</v>
      </c>
      <c r="F170" s="172">
        <v>2002</v>
      </c>
      <c r="G170" s="172"/>
      <c r="H170" s="172"/>
      <c r="I170" s="172"/>
      <c r="J170" s="172"/>
      <c r="K170" s="172"/>
      <c r="L170" s="172"/>
      <c r="M170" s="172"/>
      <c r="N170" s="175"/>
    </row>
    <row r="171" spans="1:14" ht="15" customHeight="1" x14ac:dyDescent="0.3">
      <c r="A171" s="167" t="s">
        <v>211</v>
      </c>
      <c r="B171" s="167" t="s">
        <v>29</v>
      </c>
      <c r="C171" s="168">
        <v>37459</v>
      </c>
      <c r="D171" s="170">
        <v>22.84</v>
      </c>
      <c r="E171" s="170">
        <v>18.2</v>
      </c>
      <c r="F171" s="172">
        <v>2002</v>
      </c>
      <c r="G171" s="172"/>
      <c r="H171" s="172"/>
      <c r="I171" s="172"/>
      <c r="J171" s="172"/>
      <c r="K171" s="172"/>
      <c r="L171" s="172"/>
      <c r="M171" s="172"/>
      <c r="N171" s="175"/>
    </row>
    <row r="172" spans="1:14" ht="15" customHeight="1" x14ac:dyDescent="0.3">
      <c r="A172" s="167" t="s">
        <v>212</v>
      </c>
      <c r="B172" s="167" t="s">
        <v>29</v>
      </c>
      <c r="C172" s="168">
        <v>37475</v>
      </c>
      <c r="D172" s="170">
        <v>23.45</v>
      </c>
      <c r="E172" s="170">
        <v>20.55</v>
      </c>
      <c r="F172" s="172">
        <v>2002</v>
      </c>
      <c r="G172" s="172"/>
      <c r="H172" s="172"/>
      <c r="I172" s="172"/>
      <c r="J172" s="172"/>
      <c r="K172" s="172"/>
      <c r="L172" s="172"/>
      <c r="M172" s="172"/>
      <c r="N172" s="175"/>
    </row>
    <row r="173" spans="1:14" ht="15" customHeight="1" x14ac:dyDescent="0.3">
      <c r="A173" s="167" t="s">
        <v>213</v>
      </c>
      <c r="B173" s="167" t="s">
        <v>29</v>
      </c>
      <c r="C173" s="168">
        <v>37490</v>
      </c>
      <c r="D173" s="170">
        <v>24.32</v>
      </c>
      <c r="E173" s="170">
        <v>21.97</v>
      </c>
      <c r="F173" s="172">
        <v>2002</v>
      </c>
      <c r="G173" s="172"/>
      <c r="H173" s="172"/>
      <c r="I173" s="172"/>
      <c r="J173" s="172"/>
      <c r="K173" s="172"/>
      <c r="L173" s="172"/>
      <c r="M173" s="172"/>
      <c r="N173" s="175"/>
    </row>
    <row r="174" spans="1:14" ht="15" customHeight="1" x14ac:dyDescent="0.3">
      <c r="A174" s="167" t="s">
        <v>214</v>
      </c>
      <c r="B174" s="167" t="s">
        <v>29</v>
      </c>
      <c r="C174" s="168">
        <v>37509</v>
      </c>
      <c r="D174" s="170">
        <v>22.31</v>
      </c>
      <c r="E174" s="170">
        <v>21.75</v>
      </c>
      <c r="F174" s="172">
        <v>2002</v>
      </c>
      <c r="G174" s="172"/>
      <c r="H174" s="172"/>
      <c r="I174" s="172"/>
      <c r="J174" s="172"/>
      <c r="K174" s="172"/>
      <c r="L174" s="172"/>
      <c r="M174" s="172"/>
      <c r="N174" s="175"/>
    </row>
    <row r="175" spans="1:14" ht="15" customHeight="1" x14ac:dyDescent="0.3">
      <c r="A175" s="167" t="s">
        <v>215</v>
      </c>
      <c r="B175" s="167" t="s">
        <v>29</v>
      </c>
      <c r="C175" s="168">
        <v>37538</v>
      </c>
      <c r="D175" s="170">
        <v>20.239999999999998</v>
      </c>
      <c r="E175" s="170">
        <v>20.25</v>
      </c>
      <c r="F175" s="172">
        <v>2002</v>
      </c>
      <c r="G175" s="172"/>
      <c r="H175" s="172"/>
      <c r="I175" s="172"/>
      <c r="J175" s="172"/>
      <c r="K175" s="172"/>
      <c r="L175" s="172"/>
      <c r="M175" s="172"/>
      <c r="N175" s="175"/>
    </row>
    <row r="176" spans="1:14" ht="15" customHeight="1" x14ac:dyDescent="0.3">
      <c r="A176" s="167" t="s">
        <v>216</v>
      </c>
      <c r="B176" s="167" t="s">
        <v>29</v>
      </c>
      <c r="C176" s="168">
        <v>37573</v>
      </c>
      <c r="D176" s="170">
        <v>12.01</v>
      </c>
      <c r="E176" s="170">
        <v>12.63</v>
      </c>
      <c r="F176" s="172">
        <v>2002</v>
      </c>
      <c r="G176" s="172"/>
      <c r="H176" s="172"/>
      <c r="I176" s="172"/>
      <c r="J176" s="172"/>
      <c r="K176" s="172"/>
      <c r="L176" s="172"/>
      <c r="M176" s="172"/>
      <c r="N176" s="175"/>
    </row>
    <row r="177" spans="1:14" ht="15" customHeight="1" x14ac:dyDescent="0.3">
      <c r="A177" s="167" t="s">
        <v>217</v>
      </c>
      <c r="B177" s="167" t="s">
        <v>29</v>
      </c>
      <c r="C177" s="168">
        <v>37600</v>
      </c>
      <c r="D177" s="170">
        <v>5.09</v>
      </c>
      <c r="E177" s="170">
        <v>6.31</v>
      </c>
      <c r="F177" s="172">
        <v>2002</v>
      </c>
      <c r="G177" s="172"/>
      <c r="H177" s="172"/>
      <c r="I177" s="172"/>
      <c r="J177" s="172"/>
      <c r="K177" s="172"/>
      <c r="L177" s="172"/>
      <c r="M177" s="172"/>
      <c r="N177" s="175"/>
    </row>
    <row r="178" spans="1:14" ht="15" customHeight="1" x14ac:dyDescent="0.3">
      <c r="A178" s="167" t="s">
        <v>218</v>
      </c>
      <c r="B178" s="167" t="s">
        <v>29</v>
      </c>
      <c r="C178" s="168">
        <v>37666</v>
      </c>
      <c r="D178" s="170">
        <v>-0.39</v>
      </c>
      <c r="E178" s="170">
        <v>-0.28999999999999998</v>
      </c>
      <c r="F178" s="172">
        <v>2003</v>
      </c>
      <c r="G178" s="172"/>
      <c r="H178" s="172"/>
      <c r="I178" s="172"/>
      <c r="J178" s="172"/>
      <c r="K178" s="172"/>
      <c r="L178" s="172"/>
      <c r="M178" s="172"/>
      <c r="N178" s="175"/>
    </row>
    <row r="179" spans="1:14" ht="15" customHeight="1" x14ac:dyDescent="0.3">
      <c r="A179" s="167" t="s">
        <v>219</v>
      </c>
      <c r="B179" s="167" t="s">
        <v>29</v>
      </c>
      <c r="C179" s="168">
        <v>37690</v>
      </c>
      <c r="D179" s="170">
        <v>-0.4</v>
      </c>
      <c r="E179" s="170">
        <v>-0.08</v>
      </c>
      <c r="F179" s="172">
        <v>2003</v>
      </c>
      <c r="G179" s="172"/>
      <c r="H179" s="172"/>
      <c r="I179" s="172"/>
      <c r="J179" s="172"/>
      <c r="K179" s="172"/>
      <c r="L179" s="172"/>
      <c r="M179" s="172"/>
      <c r="N179" s="175"/>
    </row>
    <row r="180" spans="1:14" ht="15" customHeight="1" x14ac:dyDescent="0.3">
      <c r="A180" s="167" t="s">
        <v>220</v>
      </c>
      <c r="B180" s="167" t="s">
        <v>29</v>
      </c>
      <c r="C180" s="168">
        <v>37698</v>
      </c>
      <c r="D180" s="170">
        <v>1.66</v>
      </c>
      <c r="E180" s="170">
        <v>0.76</v>
      </c>
      <c r="F180" s="172">
        <v>2003</v>
      </c>
      <c r="G180" s="172"/>
      <c r="H180" s="172"/>
      <c r="I180" s="172"/>
      <c r="J180" s="172"/>
      <c r="K180" s="172"/>
      <c r="L180" s="172"/>
      <c r="M180" s="172"/>
      <c r="N180" s="175"/>
    </row>
    <row r="181" spans="1:14" ht="15" customHeight="1" x14ac:dyDescent="0.3">
      <c r="A181" s="167" t="s">
        <v>221</v>
      </c>
      <c r="B181" s="167" t="s">
        <v>29</v>
      </c>
      <c r="C181" s="168">
        <v>37712</v>
      </c>
      <c r="D181" s="170">
        <v>4.68</v>
      </c>
      <c r="E181" s="170">
        <v>3.92</v>
      </c>
      <c r="F181" s="172">
        <v>2003</v>
      </c>
      <c r="G181" s="172"/>
      <c r="H181" s="172"/>
      <c r="I181" s="172"/>
      <c r="J181" s="172"/>
      <c r="K181" s="172"/>
      <c r="L181" s="172"/>
      <c r="M181" s="172"/>
      <c r="N181" s="175"/>
    </row>
    <row r="182" spans="1:14" ht="15" customHeight="1" x14ac:dyDescent="0.3">
      <c r="A182" s="167" t="s">
        <v>222</v>
      </c>
      <c r="B182" s="167" t="s">
        <v>29</v>
      </c>
      <c r="C182" s="168">
        <v>37747</v>
      </c>
      <c r="D182" s="170">
        <v>10.23</v>
      </c>
      <c r="E182" s="170">
        <v>7</v>
      </c>
      <c r="F182" s="172">
        <v>2003</v>
      </c>
      <c r="G182" s="172"/>
      <c r="H182" s="172"/>
      <c r="I182" s="172"/>
      <c r="J182" s="172"/>
      <c r="K182" s="172"/>
      <c r="L182" s="172"/>
      <c r="M182" s="172"/>
      <c r="N182" s="175"/>
    </row>
    <row r="183" spans="1:14" ht="15" customHeight="1" x14ac:dyDescent="0.3">
      <c r="A183" s="167" t="s">
        <v>223</v>
      </c>
      <c r="B183" s="167" t="s">
        <v>29</v>
      </c>
      <c r="C183" s="168">
        <v>37777</v>
      </c>
      <c r="D183" s="170">
        <v>13.97</v>
      </c>
      <c r="E183" s="170">
        <v>13.13</v>
      </c>
      <c r="F183" s="172">
        <v>2003</v>
      </c>
      <c r="G183" s="172"/>
      <c r="H183" s="172"/>
      <c r="I183" s="172"/>
      <c r="J183" s="172"/>
      <c r="K183" s="172"/>
      <c r="L183" s="172"/>
      <c r="M183" s="172"/>
      <c r="N183" s="175"/>
    </row>
    <row r="184" spans="1:14" ht="15" customHeight="1" x14ac:dyDescent="0.3">
      <c r="A184" s="167" t="s">
        <v>224</v>
      </c>
      <c r="B184" s="167" t="s">
        <v>29</v>
      </c>
      <c r="C184" s="168">
        <v>37791</v>
      </c>
      <c r="D184" s="170">
        <v>16.62</v>
      </c>
      <c r="E184" s="170">
        <v>13.98</v>
      </c>
      <c r="F184" s="172">
        <v>2003</v>
      </c>
      <c r="G184" s="172"/>
      <c r="H184" s="172"/>
      <c r="I184" s="172"/>
      <c r="J184" s="172"/>
      <c r="K184" s="172"/>
      <c r="L184" s="172"/>
      <c r="M184" s="172"/>
      <c r="N184" s="175"/>
    </row>
    <row r="185" spans="1:14" ht="15" customHeight="1" x14ac:dyDescent="0.3">
      <c r="A185" s="167" t="s">
        <v>225</v>
      </c>
      <c r="B185" s="167" t="s">
        <v>29</v>
      </c>
      <c r="C185" s="168">
        <v>37810</v>
      </c>
      <c r="D185" s="170">
        <v>19.93</v>
      </c>
      <c r="E185" s="170">
        <v>14</v>
      </c>
      <c r="F185" s="172">
        <v>2003</v>
      </c>
      <c r="G185" s="172"/>
      <c r="H185" s="172"/>
      <c r="I185" s="172"/>
      <c r="J185" s="172"/>
      <c r="K185" s="172"/>
      <c r="L185" s="172"/>
      <c r="M185" s="172"/>
      <c r="N185" s="175"/>
    </row>
    <row r="186" spans="1:14" ht="15" customHeight="1" x14ac:dyDescent="0.3">
      <c r="A186" s="167" t="s">
        <v>226</v>
      </c>
      <c r="B186" s="167" t="s">
        <v>29</v>
      </c>
      <c r="C186" s="168">
        <v>37830</v>
      </c>
      <c r="D186" s="170">
        <v>18.23</v>
      </c>
      <c r="E186" s="170">
        <v>15.72</v>
      </c>
      <c r="F186" s="172">
        <v>2003</v>
      </c>
      <c r="G186" s="172"/>
      <c r="H186" s="172"/>
      <c r="I186" s="172"/>
      <c r="J186" s="172"/>
      <c r="K186" s="172"/>
      <c r="L186" s="172"/>
      <c r="M186" s="172"/>
      <c r="N186" s="175"/>
    </row>
    <row r="187" spans="1:14" ht="15" customHeight="1" x14ac:dyDescent="0.3">
      <c r="A187" s="167" t="s">
        <v>227</v>
      </c>
      <c r="B187" s="167" t="s">
        <v>29</v>
      </c>
      <c r="C187" s="168">
        <v>37839</v>
      </c>
      <c r="D187" s="170">
        <v>21.18</v>
      </c>
      <c r="E187" s="170">
        <v>17.73</v>
      </c>
      <c r="F187" s="172">
        <v>2003</v>
      </c>
      <c r="G187" s="172"/>
      <c r="H187" s="172"/>
      <c r="I187" s="172"/>
      <c r="J187" s="172"/>
      <c r="K187" s="172"/>
      <c r="L187" s="172"/>
      <c r="M187" s="172"/>
      <c r="N187" s="175"/>
    </row>
    <row r="188" spans="1:14" ht="15" customHeight="1" x14ac:dyDescent="0.3">
      <c r="A188" s="167" t="s">
        <v>228</v>
      </c>
      <c r="B188" s="167" t="s">
        <v>29</v>
      </c>
      <c r="C188" s="168">
        <v>37853</v>
      </c>
      <c r="D188" s="170">
        <v>23.03</v>
      </c>
      <c r="E188" s="170">
        <v>19.25</v>
      </c>
      <c r="F188" s="172">
        <v>2003</v>
      </c>
      <c r="G188" s="172"/>
      <c r="H188" s="172"/>
      <c r="I188" s="172"/>
      <c r="J188" s="172"/>
      <c r="K188" s="172"/>
      <c r="L188" s="172"/>
      <c r="M188" s="172"/>
      <c r="N188" s="175"/>
    </row>
    <row r="189" spans="1:14" ht="15" customHeight="1" x14ac:dyDescent="0.3">
      <c r="A189" s="167" t="s">
        <v>229</v>
      </c>
      <c r="B189" s="167" t="s">
        <v>29</v>
      </c>
      <c r="C189" s="168">
        <v>37867</v>
      </c>
      <c r="D189" s="170">
        <v>20.53</v>
      </c>
      <c r="E189" s="170">
        <v>20.52</v>
      </c>
      <c r="F189" s="172">
        <v>2003</v>
      </c>
      <c r="G189" s="172"/>
      <c r="H189" s="172"/>
      <c r="I189" s="172"/>
      <c r="J189" s="172"/>
      <c r="K189" s="172"/>
      <c r="L189" s="172"/>
      <c r="M189" s="172"/>
      <c r="N189" s="175"/>
    </row>
    <row r="190" spans="1:14" ht="15" customHeight="1" x14ac:dyDescent="0.3">
      <c r="A190" s="167" t="s">
        <v>230</v>
      </c>
      <c r="B190" s="167" t="s">
        <v>29</v>
      </c>
      <c r="C190" s="168">
        <v>37900</v>
      </c>
      <c r="D190" s="170">
        <v>18.3</v>
      </c>
      <c r="E190" s="170">
        <v>18.71</v>
      </c>
      <c r="F190" s="172">
        <v>2003</v>
      </c>
      <c r="G190" s="172"/>
      <c r="H190" s="172"/>
      <c r="I190" s="172"/>
      <c r="J190" s="172"/>
      <c r="K190" s="172"/>
      <c r="L190" s="172"/>
      <c r="M190" s="172"/>
      <c r="N190" s="175"/>
    </row>
    <row r="191" spans="1:14" ht="15" customHeight="1" x14ac:dyDescent="0.3">
      <c r="A191" s="167" t="s">
        <v>231</v>
      </c>
      <c r="B191" s="167" t="s">
        <v>29</v>
      </c>
      <c r="C191" s="168">
        <v>37930</v>
      </c>
      <c r="D191" s="170">
        <v>14.96</v>
      </c>
      <c r="E191" s="170">
        <v>15</v>
      </c>
      <c r="F191" s="172">
        <v>2003</v>
      </c>
      <c r="G191" s="172"/>
      <c r="H191" s="172"/>
      <c r="I191" s="172"/>
      <c r="J191" s="172"/>
      <c r="K191" s="172"/>
      <c r="L191" s="172"/>
      <c r="M191" s="172"/>
      <c r="N191" s="175"/>
    </row>
    <row r="192" spans="1:14" ht="15" customHeight="1" x14ac:dyDescent="0.3">
      <c r="A192" s="167" t="s">
        <v>232</v>
      </c>
      <c r="B192" s="167" t="s">
        <v>29</v>
      </c>
      <c r="C192" s="168">
        <v>37964</v>
      </c>
      <c r="D192" s="170">
        <v>6.03</v>
      </c>
      <c r="E192" s="170">
        <v>6.21</v>
      </c>
      <c r="F192" s="172">
        <v>2003</v>
      </c>
      <c r="G192" s="172"/>
      <c r="H192" s="172"/>
      <c r="I192" s="172"/>
      <c r="J192" s="172"/>
      <c r="K192" s="172"/>
      <c r="L192" s="172"/>
      <c r="M192" s="172"/>
      <c r="N192" s="175"/>
    </row>
    <row r="193" spans="1:14" ht="15" customHeight="1" x14ac:dyDescent="0.3">
      <c r="A193" s="167" t="s">
        <v>233</v>
      </c>
      <c r="B193" s="167" t="s">
        <v>29</v>
      </c>
      <c r="C193" s="168">
        <v>38019</v>
      </c>
      <c r="D193" s="170">
        <v>-1.18</v>
      </c>
      <c r="E193" s="170">
        <v>-0.99</v>
      </c>
      <c r="F193" s="172">
        <v>2004</v>
      </c>
      <c r="G193" s="172"/>
      <c r="H193" s="172"/>
      <c r="I193" s="172"/>
      <c r="J193" s="172"/>
      <c r="K193" s="172"/>
      <c r="L193" s="172"/>
      <c r="M193" s="172"/>
      <c r="N193" s="175"/>
    </row>
    <row r="194" spans="1:14" ht="15" customHeight="1" x14ac:dyDescent="0.3">
      <c r="A194" s="167" t="s">
        <v>234</v>
      </c>
      <c r="B194" s="167" t="s">
        <v>29</v>
      </c>
      <c r="C194" s="168">
        <v>38036</v>
      </c>
      <c r="D194" s="170">
        <v>-0.33</v>
      </c>
      <c r="E194" s="170">
        <v>-0.37</v>
      </c>
      <c r="F194" s="172">
        <v>2004</v>
      </c>
      <c r="G194" s="172"/>
      <c r="H194" s="172"/>
      <c r="I194" s="172"/>
      <c r="J194" s="172"/>
      <c r="K194" s="172"/>
      <c r="L194" s="172"/>
      <c r="M194" s="172"/>
      <c r="N194" s="175"/>
    </row>
    <row r="195" spans="1:14" ht="15" customHeight="1" x14ac:dyDescent="0.3">
      <c r="A195" s="167" t="s">
        <v>235</v>
      </c>
      <c r="B195" s="167" t="s">
        <v>29</v>
      </c>
      <c r="C195" s="168">
        <v>38047</v>
      </c>
      <c r="D195" s="170">
        <v>1.1599999999999999</v>
      </c>
      <c r="E195" s="170">
        <v>0.78</v>
      </c>
      <c r="F195" s="172">
        <v>2004</v>
      </c>
      <c r="G195" s="172"/>
      <c r="H195" s="172"/>
      <c r="I195" s="172"/>
      <c r="J195" s="172"/>
      <c r="K195" s="172"/>
      <c r="L195" s="172"/>
      <c r="M195" s="172"/>
      <c r="N195" s="175"/>
    </row>
    <row r="196" spans="1:14" ht="15" customHeight="1" x14ac:dyDescent="0.3">
      <c r="A196" s="167" t="s">
        <v>236</v>
      </c>
      <c r="B196" s="167" t="s">
        <v>29</v>
      </c>
      <c r="C196" s="168">
        <v>38064</v>
      </c>
      <c r="D196" s="170">
        <v>2.0699999999999998</v>
      </c>
      <c r="E196" s="170">
        <v>1.92</v>
      </c>
      <c r="F196" s="172">
        <v>2004</v>
      </c>
      <c r="G196" s="172"/>
      <c r="H196" s="172"/>
      <c r="I196" s="172"/>
      <c r="J196" s="172"/>
      <c r="K196" s="172"/>
      <c r="L196" s="172"/>
      <c r="M196" s="172"/>
      <c r="N196" s="175"/>
    </row>
    <row r="197" spans="1:14" ht="15" customHeight="1" x14ac:dyDescent="0.3">
      <c r="A197" s="167" t="s">
        <v>237</v>
      </c>
      <c r="B197" s="167" t="s">
        <v>29</v>
      </c>
      <c r="C197" s="168">
        <v>38091</v>
      </c>
      <c r="D197" s="170">
        <v>6.36</v>
      </c>
      <c r="E197" s="170">
        <v>5.74</v>
      </c>
      <c r="F197" s="172">
        <v>2004</v>
      </c>
      <c r="G197" s="172"/>
      <c r="H197" s="172"/>
      <c r="I197" s="172"/>
      <c r="J197" s="172"/>
      <c r="K197" s="172"/>
      <c r="L197" s="172"/>
      <c r="M197" s="172"/>
      <c r="N197" s="175"/>
    </row>
    <row r="198" spans="1:14" ht="15" customHeight="1" x14ac:dyDescent="0.3">
      <c r="A198" s="167" t="s">
        <v>238</v>
      </c>
      <c r="B198" s="167" t="s">
        <v>29</v>
      </c>
      <c r="C198" s="168">
        <v>38113</v>
      </c>
      <c r="D198" s="170">
        <v>10.31</v>
      </c>
      <c r="E198" s="170">
        <v>7.29</v>
      </c>
      <c r="F198" s="172">
        <v>2004</v>
      </c>
      <c r="G198" s="172"/>
      <c r="H198" s="172"/>
      <c r="I198" s="172"/>
      <c r="J198" s="172"/>
      <c r="K198" s="172"/>
      <c r="L198" s="172"/>
      <c r="M198" s="172"/>
      <c r="N198" s="175"/>
    </row>
    <row r="199" spans="1:14" ht="15" customHeight="1" x14ac:dyDescent="0.3">
      <c r="A199" s="167" t="s">
        <v>239</v>
      </c>
      <c r="B199" s="167" t="s">
        <v>29</v>
      </c>
      <c r="C199" s="168">
        <v>38140</v>
      </c>
      <c r="D199" s="170">
        <v>16.920000000000002</v>
      </c>
      <c r="E199" s="170">
        <v>14.74</v>
      </c>
      <c r="F199" s="172">
        <v>2004</v>
      </c>
      <c r="G199" s="172"/>
      <c r="H199" s="172"/>
      <c r="I199" s="172"/>
      <c r="J199" s="172"/>
      <c r="K199" s="172"/>
      <c r="L199" s="172"/>
      <c r="M199" s="172"/>
      <c r="N199" s="175"/>
    </row>
    <row r="200" spans="1:14" ht="15" customHeight="1" x14ac:dyDescent="0.3">
      <c r="A200" s="167" t="s">
        <v>240</v>
      </c>
      <c r="B200" s="167" t="s">
        <v>29</v>
      </c>
      <c r="C200" s="168">
        <v>38167</v>
      </c>
      <c r="D200" s="170">
        <v>17.399999999999999</v>
      </c>
      <c r="E200" s="170">
        <v>13.72</v>
      </c>
      <c r="F200" s="172">
        <v>2004</v>
      </c>
      <c r="G200" s="172"/>
      <c r="H200" s="172"/>
      <c r="I200" s="172"/>
      <c r="J200" s="172"/>
      <c r="K200" s="172"/>
      <c r="L200" s="172"/>
      <c r="M200" s="172"/>
      <c r="N200" s="175"/>
    </row>
    <row r="201" spans="1:14" ht="15" customHeight="1" x14ac:dyDescent="0.3">
      <c r="A201" s="167" t="s">
        <v>241</v>
      </c>
      <c r="B201" s="167" t="s">
        <v>29</v>
      </c>
      <c r="C201" s="168">
        <v>38174</v>
      </c>
      <c r="D201" s="170">
        <v>20.3</v>
      </c>
      <c r="E201" s="170">
        <v>15.15</v>
      </c>
      <c r="F201" s="172">
        <v>2004</v>
      </c>
      <c r="G201" s="172"/>
      <c r="H201" s="172"/>
      <c r="I201" s="172"/>
      <c r="J201" s="172"/>
      <c r="K201" s="172"/>
      <c r="L201" s="172"/>
      <c r="M201" s="172"/>
      <c r="N201" s="175"/>
    </row>
    <row r="202" spans="1:14" ht="15" customHeight="1" x14ac:dyDescent="0.3">
      <c r="A202" s="167" t="s">
        <v>242</v>
      </c>
      <c r="B202" s="167" t="s">
        <v>29</v>
      </c>
      <c r="C202" s="168">
        <v>38188</v>
      </c>
      <c r="D202" s="170">
        <v>21.78</v>
      </c>
      <c r="E202" s="170">
        <v>18.440000000000001</v>
      </c>
      <c r="F202" s="172">
        <v>2004</v>
      </c>
      <c r="G202" s="172"/>
      <c r="H202" s="172"/>
      <c r="I202" s="172"/>
      <c r="J202" s="172"/>
      <c r="K202" s="172"/>
      <c r="L202" s="172"/>
      <c r="M202" s="172"/>
      <c r="N202" s="175"/>
    </row>
    <row r="203" spans="1:14" ht="15" customHeight="1" x14ac:dyDescent="0.3">
      <c r="A203" s="167" t="s">
        <v>243</v>
      </c>
      <c r="B203" s="167" t="s">
        <v>29</v>
      </c>
      <c r="C203" s="168">
        <v>38202</v>
      </c>
      <c r="D203" s="170">
        <v>23.09</v>
      </c>
      <c r="E203" s="170">
        <v>20.18</v>
      </c>
      <c r="F203" s="172">
        <v>2004</v>
      </c>
      <c r="G203" s="172"/>
      <c r="H203" s="172"/>
      <c r="I203" s="172"/>
      <c r="J203" s="172"/>
      <c r="K203" s="172"/>
      <c r="L203" s="172"/>
      <c r="M203" s="172"/>
      <c r="N203" s="175"/>
    </row>
    <row r="204" spans="1:14" ht="15" customHeight="1" x14ac:dyDescent="0.3">
      <c r="A204" s="167" t="s">
        <v>244</v>
      </c>
      <c r="B204" s="167" t="s">
        <v>29</v>
      </c>
      <c r="C204" s="168">
        <v>38222</v>
      </c>
      <c r="D204" s="170">
        <v>22.54</v>
      </c>
      <c r="E204" s="170">
        <v>20.37</v>
      </c>
      <c r="F204" s="172">
        <v>2004</v>
      </c>
      <c r="G204" s="172"/>
      <c r="H204" s="172"/>
      <c r="I204" s="172"/>
      <c r="J204" s="172"/>
      <c r="K204" s="172"/>
      <c r="L204" s="172"/>
      <c r="M204" s="172"/>
      <c r="N204" s="175"/>
    </row>
    <row r="205" spans="1:14" ht="15" customHeight="1" x14ac:dyDescent="0.3">
      <c r="A205" s="167" t="s">
        <v>245</v>
      </c>
      <c r="B205" s="167" t="s">
        <v>29</v>
      </c>
      <c r="C205" s="168">
        <v>38232</v>
      </c>
      <c r="D205" s="170">
        <v>22.93</v>
      </c>
      <c r="E205" s="170">
        <v>21.45</v>
      </c>
      <c r="F205" s="172">
        <v>2004</v>
      </c>
      <c r="G205" s="172"/>
      <c r="H205" s="172"/>
      <c r="I205" s="172"/>
      <c r="J205" s="172"/>
      <c r="K205" s="172"/>
      <c r="L205" s="172"/>
      <c r="M205" s="172"/>
      <c r="N205" s="175"/>
    </row>
    <row r="206" spans="1:14" ht="15" customHeight="1" x14ac:dyDescent="0.3">
      <c r="A206" s="167" t="s">
        <v>246</v>
      </c>
      <c r="B206" s="167" t="s">
        <v>29</v>
      </c>
      <c r="C206" s="168">
        <v>38273</v>
      </c>
      <c r="D206" s="170">
        <v>18.59</v>
      </c>
      <c r="E206" s="170">
        <v>18.82</v>
      </c>
      <c r="F206" s="172">
        <v>2004</v>
      </c>
      <c r="G206" s="172"/>
      <c r="H206" s="172"/>
      <c r="I206" s="172"/>
      <c r="J206" s="172"/>
      <c r="K206" s="172"/>
      <c r="L206" s="172"/>
      <c r="M206" s="172"/>
      <c r="N206" s="175"/>
    </row>
    <row r="207" spans="1:14" ht="15" customHeight="1" x14ac:dyDescent="0.3">
      <c r="A207" s="167" t="s">
        <v>247</v>
      </c>
      <c r="B207" s="167" t="s">
        <v>29</v>
      </c>
      <c r="C207" s="168">
        <v>38330</v>
      </c>
      <c r="D207" s="170">
        <v>8.4700000000000006</v>
      </c>
      <c r="E207" s="170">
        <v>8.6999999999999993</v>
      </c>
      <c r="F207" s="172">
        <v>2004</v>
      </c>
      <c r="G207" s="172"/>
      <c r="H207" s="172"/>
      <c r="I207" s="172"/>
      <c r="J207" s="172"/>
      <c r="K207" s="172"/>
      <c r="L207" s="172"/>
      <c r="M207" s="172"/>
      <c r="N207" s="175"/>
    </row>
    <row r="208" spans="1:14" ht="15" customHeight="1" x14ac:dyDescent="0.3">
      <c r="A208" s="167" t="s">
        <v>248</v>
      </c>
      <c r="B208" s="167" t="s">
        <v>29</v>
      </c>
      <c r="C208" s="168">
        <v>38365</v>
      </c>
      <c r="D208" s="170">
        <v>4.24</v>
      </c>
      <c r="E208" s="170">
        <v>4.2699999999999996</v>
      </c>
      <c r="F208" s="172">
        <v>2005</v>
      </c>
      <c r="G208" s="172"/>
      <c r="H208" s="172"/>
      <c r="I208" s="172"/>
      <c r="J208" s="172"/>
      <c r="K208" s="172"/>
      <c r="L208" s="172"/>
      <c r="M208" s="172"/>
      <c r="N208" s="175"/>
    </row>
    <row r="209" spans="1:14" ht="15" customHeight="1" x14ac:dyDescent="0.3">
      <c r="A209" s="167" t="s">
        <v>249</v>
      </c>
      <c r="B209" s="167" t="s">
        <v>29</v>
      </c>
      <c r="C209" s="168">
        <v>38383</v>
      </c>
      <c r="D209" s="170">
        <v>-0.11</v>
      </c>
      <c r="E209" s="170">
        <v>-0.1</v>
      </c>
      <c r="F209" s="172">
        <v>2005</v>
      </c>
      <c r="G209" s="172"/>
      <c r="H209" s="172"/>
      <c r="I209" s="172"/>
      <c r="J209" s="172"/>
      <c r="K209" s="172"/>
      <c r="L209" s="172"/>
      <c r="M209" s="172"/>
      <c r="N209" s="175"/>
    </row>
    <row r="210" spans="1:14" ht="15" customHeight="1" x14ac:dyDescent="0.3">
      <c r="A210" s="167" t="s">
        <v>250</v>
      </c>
      <c r="B210" s="167" t="s">
        <v>29</v>
      </c>
      <c r="C210" s="168">
        <v>38421</v>
      </c>
      <c r="D210" s="170">
        <v>0.87</v>
      </c>
      <c r="E210" s="170">
        <v>0.86</v>
      </c>
      <c r="F210" s="172">
        <v>2005</v>
      </c>
      <c r="G210" s="172"/>
      <c r="H210" s="172"/>
      <c r="I210" s="172"/>
      <c r="J210" s="172"/>
      <c r="K210" s="172"/>
      <c r="L210" s="172"/>
      <c r="M210" s="172"/>
      <c r="N210" s="175"/>
    </row>
    <row r="211" spans="1:14" ht="15" customHeight="1" x14ac:dyDescent="0.3">
      <c r="A211" s="167" t="s">
        <v>251</v>
      </c>
      <c r="B211" s="167" t="s">
        <v>29</v>
      </c>
      <c r="C211" s="168">
        <v>38448</v>
      </c>
      <c r="D211" s="170">
        <v>6.02</v>
      </c>
      <c r="E211" s="170">
        <v>4.34</v>
      </c>
      <c r="F211" s="172">
        <v>2005</v>
      </c>
      <c r="G211" s="172"/>
      <c r="H211" s="172"/>
      <c r="I211" s="172"/>
      <c r="J211" s="172"/>
      <c r="K211" s="172"/>
      <c r="L211" s="172"/>
      <c r="M211" s="172"/>
      <c r="N211" s="175"/>
    </row>
    <row r="212" spans="1:14" ht="15" customHeight="1" x14ac:dyDescent="0.3">
      <c r="A212" s="167" t="s">
        <v>252</v>
      </c>
      <c r="B212" s="167" t="s">
        <v>29</v>
      </c>
      <c r="C212" s="168">
        <v>38481</v>
      </c>
      <c r="D212" s="170">
        <v>9.4</v>
      </c>
      <c r="E212" s="170">
        <v>8.9</v>
      </c>
      <c r="F212" s="172">
        <v>2005</v>
      </c>
      <c r="G212" s="172"/>
      <c r="H212" s="172"/>
      <c r="I212" s="172"/>
      <c r="J212" s="172"/>
      <c r="K212" s="172"/>
      <c r="L212" s="172"/>
      <c r="M212" s="172"/>
      <c r="N212" s="175"/>
    </row>
    <row r="213" spans="1:14" ht="15" customHeight="1" x14ac:dyDescent="0.3">
      <c r="A213" s="167" t="s">
        <v>253</v>
      </c>
      <c r="B213" s="167" t="s">
        <v>29</v>
      </c>
      <c r="C213" s="168">
        <v>38512</v>
      </c>
      <c r="D213" s="170">
        <v>18.16</v>
      </c>
      <c r="E213" s="170">
        <v>12.24</v>
      </c>
      <c r="F213" s="172">
        <v>2005</v>
      </c>
      <c r="G213" s="172"/>
      <c r="H213" s="172"/>
      <c r="I213" s="172"/>
      <c r="J213" s="172"/>
      <c r="K213" s="172"/>
      <c r="L213" s="172"/>
      <c r="M213" s="172"/>
      <c r="N213" s="175"/>
    </row>
    <row r="214" spans="1:14" ht="15" customHeight="1" x14ac:dyDescent="0.3">
      <c r="A214" s="167" t="s">
        <v>254</v>
      </c>
      <c r="B214" s="167" t="s">
        <v>29</v>
      </c>
      <c r="C214" s="168">
        <v>38526</v>
      </c>
      <c r="D214" s="170">
        <v>18.170000000000002</v>
      </c>
      <c r="E214" s="170">
        <v>13.5</v>
      </c>
      <c r="F214" s="172">
        <v>2005</v>
      </c>
      <c r="G214" s="172"/>
      <c r="H214" s="172"/>
      <c r="I214" s="172"/>
      <c r="J214" s="172"/>
      <c r="K214" s="172"/>
      <c r="L214" s="172"/>
      <c r="M214" s="172"/>
      <c r="N214" s="175"/>
    </row>
    <row r="215" spans="1:14" ht="15" customHeight="1" x14ac:dyDescent="0.3">
      <c r="A215" s="167" t="s">
        <v>255</v>
      </c>
      <c r="B215" s="167" t="s">
        <v>29</v>
      </c>
      <c r="C215" s="168">
        <v>38544</v>
      </c>
      <c r="D215" s="169"/>
      <c r="E215" s="170">
        <v>19.440000000000001</v>
      </c>
      <c r="F215" s="172">
        <v>2005</v>
      </c>
      <c r="G215" s="172"/>
      <c r="H215" s="172"/>
      <c r="I215" s="172"/>
      <c r="J215" s="172"/>
      <c r="K215" s="172"/>
      <c r="L215" s="172"/>
      <c r="M215" s="172"/>
      <c r="N215" s="175"/>
    </row>
    <row r="216" spans="1:14" ht="15" customHeight="1" x14ac:dyDescent="0.3">
      <c r="A216" s="167" t="s">
        <v>256</v>
      </c>
      <c r="B216" s="167" t="s">
        <v>29</v>
      </c>
      <c r="C216" s="168">
        <v>38554</v>
      </c>
      <c r="D216" s="170">
        <v>23.38</v>
      </c>
      <c r="E216" s="170">
        <v>18.03</v>
      </c>
      <c r="F216" s="172">
        <v>2005</v>
      </c>
      <c r="G216" s="172"/>
      <c r="H216" s="172"/>
      <c r="I216" s="172"/>
      <c r="J216" s="172"/>
      <c r="K216" s="172"/>
      <c r="L216" s="172"/>
      <c r="M216" s="172"/>
      <c r="N216" s="175"/>
    </row>
    <row r="217" spans="1:14" ht="15" customHeight="1" x14ac:dyDescent="0.3">
      <c r="A217" s="167" t="s">
        <v>257</v>
      </c>
      <c r="B217" s="167" t="s">
        <v>29</v>
      </c>
      <c r="C217" s="168">
        <v>38567</v>
      </c>
      <c r="D217" s="170">
        <v>24.06</v>
      </c>
      <c r="E217" s="170">
        <v>18.350000000000001</v>
      </c>
      <c r="F217" s="172">
        <v>2005</v>
      </c>
      <c r="G217" s="172"/>
      <c r="H217" s="172"/>
      <c r="I217" s="172"/>
      <c r="J217" s="172"/>
      <c r="K217" s="172"/>
      <c r="L217" s="172"/>
      <c r="M217" s="172"/>
      <c r="N217" s="175"/>
    </row>
    <row r="218" spans="1:14" ht="15" customHeight="1" x14ac:dyDescent="0.3">
      <c r="A218" s="167" t="s">
        <v>258</v>
      </c>
      <c r="B218" s="167" t="s">
        <v>29</v>
      </c>
      <c r="C218" s="168">
        <v>38581</v>
      </c>
      <c r="D218" s="170">
        <v>24.02</v>
      </c>
      <c r="E218" s="170">
        <v>19.86</v>
      </c>
      <c r="F218" s="172">
        <v>2005</v>
      </c>
      <c r="G218" s="172"/>
      <c r="H218" s="172"/>
      <c r="I218" s="172"/>
      <c r="J218" s="172"/>
      <c r="K218" s="172"/>
      <c r="L218" s="172"/>
      <c r="M218" s="172"/>
      <c r="N218" s="175"/>
    </row>
    <row r="219" spans="1:14" ht="15" customHeight="1" x14ac:dyDescent="0.3">
      <c r="A219" s="167" t="s">
        <v>259</v>
      </c>
      <c r="B219" s="167" t="s">
        <v>29</v>
      </c>
      <c r="C219" s="168">
        <v>38594</v>
      </c>
      <c r="D219" s="170">
        <v>23.86</v>
      </c>
      <c r="E219" s="170">
        <v>21.29</v>
      </c>
      <c r="F219" s="172">
        <v>2005</v>
      </c>
      <c r="G219" s="172"/>
      <c r="H219" s="172"/>
      <c r="I219" s="172"/>
      <c r="J219" s="172"/>
      <c r="K219" s="172"/>
      <c r="L219" s="172"/>
      <c r="M219" s="172"/>
      <c r="N219" s="175"/>
    </row>
    <row r="220" spans="1:14" ht="15" customHeight="1" x14ac:dyDescent="0.3">
      <c r="A220" s="167" t="s">
        <v>261</v>
      </c>
      <c r="B220" s="167" t="s">
        <v>29</v>
      </c>
      <c r="C220" s="168">
        <v>38643</v>
      </c>
      <c r="D220" s="170">
        <v>17.43</v>
      </c>
      <c r="E220" s="170">
        <v>17.87</v>
      </c>
      <c r="F220" s="172">
        <v>2005</v>
      </c>
      <c r="G220" s="172"/>
      <c r="H220" s="172"/>
      <c r="I220" s="172"/>
      <c r="J220" s="172"/>
      <c r="K220" s="172"/>
      <c r="L220" s="172"/>
      <c r="M220" s="172"/>
      <c r="N220" s="175"/>
    </row>
    <row r="221" spans="1:14" ht="15" customHeight="1" x14ac:dyDescent="0.3">
      <c r="A221" s="167" t="s">
        <v>262</v>
      </c>
      <c r="B221" s="167" t="s">
        <v>29</v>
      </c>
      <c r="C221" s="168">
        <v>38674</v>
      </c>
      <c r="D221" s="170">
        <v>12.48</v>
      </c>
      <c r="E221" s="170">
        <v>12.51</v>
      </c>
      <c r="F221" s="172">
        <v>2005</v>
      </c>
      <c r="G221" s="172"/>
      <c r="H221" s="172"/>
      <c r="I221" s="172"/>
      <c r="J221" s="172"/>
      <c r="K221" s="172"/>
      <c r="L221" s="172"/>
      <c r="M221" s="172"/>
      <c r="N221" s="175"/>
    </row>
    <row r="222" spans="1:14" ht="15" customHeight="1" x14ac:dyDescent="0.3">
      <c r="A222" s="167" t="s">
        <v>263</v>
      </c>
      <c r="B222" s="167" t="s">
        <v>29</v>
      </c>
      <c r="C222" s="168">
        <v>38698</v>
      </c>
      <c r="D222" s="170">
        <v>6.53</v>
      </c>
      <c r="E222" s="170">
        <v>7.25</v>
      </c>
      <c r="F222" s="172">
        <v>2005</v>
      </c>
      <c r="G222" s="172"/>
      <c r="H222" s="172"/>
      <c r="I222" s="172"/>
      <c r="J222" s="172"/>
      <c r="K222" s="172"/>
      <c r="L222" s="172"/>
      <c r="M222" s="172"/>
      <c r="N222" s="175"/>
    </row>
    <row r="223" spans="1:14" ht="15" customHeight="1" x14ac:dyDescent="0.3">
      <c r="A223" s="167" t="s">
        <v>264</v>
      </c>
      <c r="B223" s="167" t="s">
        <v>29</v>
      </c>
      <c r="C223" s="168">
        <v>38782</v>
      </c>
      <c r="D223" s="170">
        <v>1.81</v>
      </c>
      <c r="E223" s="170">
        <v>2.0099999999999998</v>
      </c>
      <c r="F223" s="172">
        <v>2006</v>
      </c>
      <c r="G223" s="172"/>
      <c r="H223" s="172"/>
      <c r="I223" s="172"/>
      <c r="J223" s="172"/>
      <c r="K223" s="172"/>
      <c r="L223" s="172"/>
      <c r="M223" s="172"/>
      <c r="N223" s="175"/>
    </row>
    <row r="224" spans="1:14" ht="15" customHeight="1" x14ac:dyDescent="0.3">
      <c r="A224" s="167" t="s">
        <v>265</v>
      </c>
      <c r="B224" s="167" t="s">
        <v>29</v>
      </c>
      <c r="C224" s="168">
        <v>38840</v>
      </c>
      <c r="D224" s="170">
        <v>10.98</v>
      </c>
      <c r="E224" s="170">
        <v>10.75</v>
      </c>
      <c r="F224" s="172">
        <v>2006</v>
      </c>
      <c r="G224" s="172"/>
      <c r="H224" s="172"/>
      <c r="I224" s="172"/>
      <c r="J224" s="172"/>
      <c r="K224" s="172"/>
      <c r="L224" s="172"/>
      <c r="M224" s="172"/>
      <c r="N224" s="175"/>
    </row>
    <row r="225" spans="1:14" ht="15" customHeight="1" x14ac:dyDescent="0.3">
      <c r="A225" s="167" t="s">
        <v>266</v>
      </c>
      <c r="B225" s="167" t="s">
        <v>29</v>
      </c>
      <c r="C225" s="168">
        <v>38876</v>
      </c>
      <c r="D225" s="170">
        <v>16.940000000000001</v>
      </c>
      <c r="E225" s="170">
        <v>16.600000000000001</v>
      </c>
      <c r="F225" s="172">
        <v>2006</v>
      </c>
      <c r="G225" s="172"/>
      <c r="H225" s="172"/>
      <c r="I225" s="172"/>
      <c r="J225" s="172"/>
      <c r="K225" s="172"/>
      <c r="L225" s="172"/>
      <c r="M225" s="172"/>
      <c r="N225" s="175"/>
    </row>
    <row r="226" spans="1:14" ht="15" customHeight="1" x14ac:dyDescent="0.3">
      <c r="A226" s="167" t="s">
        <v>267</v>
      </c>
      <c r="B226" s="167" t="s">
        <v>29</v>
      </c>
      <c r="C226" s="168">
        <v>38891</v>
      </c>
      <c r="D226" s="170">
        <v>18.88</v>
      </c>
      <c r="E226" s="170">
        <v>14.75</v>
      </c>
      <c r="F226" s="172">
        <v>2006</v>
      </c>
      <c r="G226" s="172"/>
      <c r="H226" s="172"/>
      <c r="I226" s="172"/>
      <c r="J226" s="172"/>
      <c r="K226" s="172"/>
      <c r="L226" s="172"/>
      <c r="M226" s="172"/>
      <c r="N226" s="175"/>
    </row>
    <row r="227" spans="1:14" ht="15" customHeight="1" x14ac:dyDescent="0.3">
      <c r="A227" s="167" t="s">
        <v>268</v>
      </c>
      <c r="B227" s="167" t="s">
        <v>29</v>
      </c>
      <c r="C227" s="168">
        <v>38908</v>
      </c>
      <c r="D227" s="170">
        <v>20.059999999999999</v>
      </c>
      <c r="E227" s="170">
        <v>15.58</v>
      </c>
      <c r="F227" s="172">
        <v>2006</v>
      </c>
      <c r="G227" s="172"/>
      <c r="H227" s="172"/>
      <c r="I227" s="172"/>
      <c r="J227" s="172"/>
      <c r="K227" s="172"/>
      <c r="L227" s="172"/>
      <c r="M227" s="172"/>
      <c r="N227" s="175"/>
    </row>
    <row r="228" spans="1:14" ht="15" customHeight="1" x14ac:dyDescent="0.3">
      <c r="A228" s="167" t="s">
        <v>269</v>
      </c>
      <c r="B228" s="167" t="s">
        <v>29</v>
      </c>
      <c r="C228" s="168">
        <v>38916</v>
      </c>
      <c r="D228" s="170">
        <v>21.46</v>
      </c>
      <c r="E228" s="170">
        <v>16.84</v>
      </c>
      <c r="F228" s="172">
        <v>2006</v>
      </c>
      <c r="G228" s="172"/>
      <c r="H228" s="172"/>
      <c r="I228" s="172"/>
      <c r="J228" s="172"/>
      <c r="K228" s="172"/>
      <c r="L228" s="172"/>
      <c r="M228" s="172"/>
      <c r="N228" s="175"/>
    </row>
    <row r="229" spans="1:14" ht="15" customHeight="1" x14ac:dyDescent="0.3">
      <c r="A229" s="167" t="s">
        <v>270</v>
      </c>
      <c r="B229" s="167" t="s">
        <v>29</v>
      </c>
      <c r="C229" s="168">
        <v>38931</v>
      </c>
      <c r="D229" s="170">
        <v>22.78</v>
      </c>
      <c r="E229" s="170">
        <v>18.399999999999999</v>
      </c>
      <c r="F229" s="172">
        <v>2006</v>
      </c>
      <c r="G229" s="172"/>
      <c r="H229" s="172"/>
      <c r="I229" s="172"/>
      <c r="J229" s="172"/>
      <c r="K229" s="172"/>
      <c r="L229" s="172"/>
      <c r="M229" s="172"/>
      <c r="N229" s="175"/>
    </row>
    <row r="230" spans="1:14" ht="15" customHeight="1" x14ac:dyDescent="0.3">
      <c r="A230" s="167" t="s">
        <v>271</v>
      </c>
      <c r="B230" s="167" t="s">
        <v>29</v>
      </c>
      <c r="C230" s="168">
        <v>38946</v>
      </c>
      <c r="D230" s="170">
        <v>23.34</v>
      </c>
      <c r="E230" s="170">
        <v>21.1</v>
      </c>
      <c r="F230" s="172">
        <v>2006</v>
      </c>
      <c r="G230" s="172"/>
      <c r="H230" s="172"/>
      <c r="I230" s="172"/>
      <c r="J230" s="172"/>
      <c r="K230" s="172"/>
      <c r="L230" s="172"/>
      <c r="M230" s="172"/>
      <c r="N230" s="175"/>
    </row>
    <row r="231" spans="1:14" ht="15" customHeight="1" x14ac:dyDescent="0.3">
      <c r="A231" s="167" t="s">
        <v>272</v>
      </c>
      <c r="B231" s="167" t="s">
        <v>29</v>
      </c>
      <c r="C231" s="168">
        <v>38960</v>
      </c>
      <c r="D231" s="170">
        <v>21.68</v>
      </c>
      <c r="E231" s="170">
        <v>21.66</v>
      </c>
      <c r="F231" s="172">
        <v>2006</v>
      </c>
      <c r="G231" s="172"/>
      <c r="H231" s="172"/>
      <c r="I231" s="172"/>
      <c r="J231" s="172"/>
      <c r="K231" s="172"/>
      <c r="L231" s="172"/>
      <c r="M231" s="172"/>
      <c r="N231" s="175"/>
    </row>
    <row r="232" spans="1:14" ht="15" customHeight="1" x14ac:dyDescent="0.3">
      <c r="A232" s="167" t="s">
        <v>273</v>
      </c>
      <c r="B232" s="167" t="s">
        <v>29</v>
      </c>
      <c r="C232" s="168">
        <v>39006</v>
      </c>
      <c r="D232" s="169"/>
      <c r="E232" s="169"/>
      <c r="F232" s="172">
        <v>2006</v>
      </c>
      <c r="G232" s="172"/>
      <c r="H232" s="172"/>
      <c r="I232" s="172"/>
      <c r="J232" s="172"/>
      <c r="K232" s="172"/>
      <c r="L232" s="172"/>
      <c r="M232" s="172"/>
      <c r="N232" s="175"/>
    </row>
    <row r="233" spans="1:14" ht="15" customHeight="1" x14ac:dyDescent="0.3">
      <c r="A233" s="167" t="s">
        <v>274</v>
      </c>
      <c r="B233" s="167" t="s">
        <v>29</v>
      </c>
      <c r="C233" s="168">
        <v>39030</v>
      </c>
      <c r="D233" s="170">
        <v>13.05</v>
      </c>
      <c r="E233" s="170">
        <v>13.18</v>
      </c>
      <c r="F233" s="172">
        <v>2006</v>
      </c>
      <c r="G233" s="172"/>
      <c r="H233" s="172"/>
      <c r="I233" s="172"/>
      <c r="J233" s="172"/>
      <c r="K233" s="172"/>
      <c r="L233" s="172"/>
      <c r="M233" s="172"/>
      <c r="N233" s="175"/>
    </row>
    <row r="234" spans="1:14" ht="15" customHeight="1" x14ac:dyDescent="0.3">
      <c r="A234" s="167" t="s">
        <v>275</v>
      </c>
      <c r="B234" s="167" t="s">
        <v>29</v>
      </c>
      <c r="C234" s="168">
        <v>39065</v>
      </c>
      <c r="D234" s="170">
        <v>7.85</v>
      </c>
      <c r="E234" s="170">
        <v>9.2200000000000006</v>
      </c>
      <c r="F234" s="172">
        <v>2006</v>
      </c>
      <c r="G234" s="172"/>
      <c r="H234" s="172"/>
      <c r="I234" s="172"/>
      <c r="J234" s="172"/>
      <c r="K234" s="172"/>
      <c r="L234" s="172"/>
      <c r="M234" s="172"/>
      <c r="N234" s="175"/>
    </row>
    <row r="235" spans="1:14" ht="15" customHeight="1" x14ac:dyDescent="0.3">
      <c r="A235" s="167" t="s">
        <v>276</v>
      </c>
      <c r="B235" s="167" t="s">
        <v>29</v>
      </c>
      <c r="C235" s="168">
        <v>39101</v>
      </c>
      <c r="D235" s="170">
        <v>5.28</v>
      </c>
      <c r="E235" s="170">
        <v>5.81</v>
      </c>
      <c r="F235" s="172">
        <v>2007</v>
      </c>
      <c r="G235" s="172"/>
      <c r="H235" s="172"/>
      <c r="I235" s="172"/>
      <c r="J235" s="172"/>
      <c r="K235" s="172"/>
      <c r="L235" s="172"/>
      <c r="M235" s="172"/>
      <c r="N235" s="175"/>
    </row>
    <row r="236" spans="1:14" ht="15" customHeight="1" x14ac:dyDescent="0.3">
      <c r="A236" s="167" t="s">
        <v>277</v>
      </c>
      <c r="B236" s="167" t="s">
        <v>29</v>
      </c>
      <c r="C236" s="168">
        <v>39120</v>
      </c>
      <c r="D236" s="170">
        <v>1.43</v>
      </c>
      <c r="E236" s="170">
        <v>2.29</v>
      </c>
      <c r="F236" s="172">
        <v>2007</v>
      </c>
      <c r="G236" s="172"/>
      <c r="H236" s="172"/>
      <c r="I236" s="172"/>
      <c r="J236" s="172"/>
      <c r="K236" s="172"/>
      <c r="L236" s="172"/>
      <c r="M236" s="172"/>
      <c r="N236" s="175"/>
    </row>
    <row r="237" spans="1:14" ht="15" customHeight="1" x14ac:dyDescent="0.3">
      <c r="A237" s="167" t="s">
        <v>278</v>
      </c>
      <c r="B237" s="167" t="s">
        <v>29</v>
      </c>
      <c r="C237" s="168">
        <v>39153</v>
      </c>
      <c r="D237" s="170">
        <v>0.82</v>
      </c>
      <c r="E237" s="170">
        <v>1.01</v>
      </c>
      <c r="F237" s="172">
        <v>2007</v>
      </c>
      <c r="G237" s="172"/>
      <c r="H237" s="172"/>
      <c r="I237" s="172"/>
      <c r="J237" s="172"/>
      <c r="K237" s="172"/>
      <c r="L237" s="172"/>
      <c r="M237" s="172"/>
      <c r="N237" s="175"/>
    </row>
    <row r="238" spans="1:14" ht="15" customHeight="1" x14ac:dyDescent="0.3">
      <c r="A238" s="167" t="s">
        <v>279</v>
      </c>
      <c r="B238" s="167" t="s">
        <v>29</v>
      </c>
      <c r="C238" s="168">
        <v>39160</v>
      </c>
      <c r="D238" s="170">
        <v>1.4</v>
      </c>
      <c r="E238" s="170">
        <v>1.29</v>
      </c>
      <c r="F238" s="172">
        <v>2007</v>
      </c>
      <c r="G238" s="172"/>
      <c r="H238" s="172"/>
      <c r="I238" s="172"/>
      <c r="J238" s="172"/>
      <c r="K238" s="172"/>
      <c r="L238" s="172"/>
      <c r="M238" s="172"/>
      <c r="N238" s="175"/>
    </row>
    <row r="239" spans="1:14" ht="15" customHeight="1" x14ac:dyDescent="0.3">
      <c r="A239" s="167" t="s">
        <v>280</v>
      </c>
      <c r="B239" s="167" t="s">
        <v>29</v>
      </c>
      <c r="C239" s="168">
        <v>39175</v>
      </c>
      <c r="D239" s="170">
        <v>5.14</v>
      </c>
      <c r="E239" s="170">
        <v>3.36</v>
      </c>
      <c r="F239" s="172">
        <v>2007</v>
      </c>
      <c r="G239" s="172"/>
      <c r="H239" s="172"/>
      <c r="I239" s="172"/>
      <c r="J239" s="172"/>
      <c r="K239" s="172"/>
      <c r="L239" s="172"/>
      <c r="M239" s="172"/>
      <c r="N239" s="175"/>
    </row>
    <row r="240" spans="1:14" ht="15" customHeight="1" x14ac:dyDescent="0.3">
      <c r="A240" s="167" t="s">
        <v>281</v>
      </c>
      <c r="B240" s="167" t="s">
        <v>29</v>
      </c>
      <c r="C240" s="168">
        <v>39210</v>
      </c>
      <c r="D240" s="170">
        <v>12.72</v>
      </c>
      <c r="E240" s="170">
        <v>7.45</v>
      </c>
      <c r="F240" s="172">
        <v>2007</v>
      </c>
      <c r="G240" s="172"/>
      <c r="H240" s="172"/>
      <c r="I240" s="172"/>
      <c r="J240" s="172"/>
      <c r="K240" s="172"/>
      <c r="L240" s="172"/>
      <c r="M240" s="172"/>
      <c r="N240" s="175"/>
    </row>
    <row r="241" spans="1:14" ht="15" customHeight="1" x14ac:dyDescent="0.3">
      <c r="A241" s="167" t="s">
        <v>282</v>
      </c>
      <c r="B241" s="167" t="s">
        <v>29</v>
      </c>
      <c r="C241" s="168">
        <v>39239</v>
      </c>
      <c r="D241" s="170">
        <v>15.53</v>
      </c>
      <c r="E241" s="170">
        <v>13.25</v>
      </c>
      <c r="F241" s="172">
        <v>2007</v>
      </c>
      <c r="G241" s="172"/>
      <c r="H241" s="172"/>
      <c r="I241" s="172"/>
      <c r="J241" s="172"/>
      <c r="K241" s="172"/>
      <c r="L241" s="172"/>
      <c r="M241" s="172"/>
      <c r="N241" s="175"/>
    </row>
    <row r="242" spans="1:14" ht="15" customHeight="1" x14ac:dyDescent="0.3">
      <c r="A242" s="167" t="s">
        <v>283</v>
      </c>
      <c r="B242" s="167" t="s">
        <v>29</v>
      </c>
      <c r="C242" s="168">
        <v>39254</v>
      </c>
      <c r="D242" s="170">
        <v>17.91</v>
      </c>
      <c r="E242" s="170">
        <v>13.48</v>
      </c>
      <c r="F242" s="172">
        <v>2007</v>
      </c>
      <c r="G242" s="172"/>
      <c r="H242" s="172"/>
      <c r="I242" s="172"/>
      <c r="J242" s="172"/>
      <c r="K242" s="172"/>
      <c r="L242" s="172"/>
      <c r="M242" s="172"/>
      <c r="N242" s="175"/>
    </row>
    <row r="243" spans="1:14" ht="15" customHeight="1" x14ac:dyDescent="0.3">
      <c r="A243" s="167" t="s">
        <v>284</v>
      </c>
      <c r="B243" s="167" t="s">
        <v>29</v>
      </c>
      <c r="C243" s="168">
        <v>39273</v>
      </c>
      <c r="D243" s="169"/>
      <c r="E243" s="170">
        <v>15.06</v>
      </c>
      <c r="F243" s="172">
        <v>2007</v>
      </c>
      <c r="G243" s="172"/>
      <c r="H243" s="172"/>
      <c r="I243" s="172"/>
      <c r="J243" s="172"/>
      <c r="K243" s="172"/>
      <c r="L243" s="172"/>
      <c r="M243" s="172"/>
      <c r="N243" s="175"/>
    </row>
    <row r="244" spans="1:14" ht="15" customHeight="1" x14ac:dyDescent="0.3">
      <c r="A244" s="167" t="s">
        <v>285</v>
      </c>
      <c r="B244" s="167" t="s">
        <v>29</v>
      </c>
      <c r="C244" s="168">
        <v>39287</v>
      </c>
      <c r="D244" s="170">
        <v>20.52</v>
      </c>
      <c r="E244" s="170">
        <v>18.82</v>
      </c>
      <c r="F244" s="172">
        <v>2007</v>
      </c>
      <c r="G244" s="172"/>
      <c r="H244" s="172"/>
      <c r="I244" s="172"/>
      <c r="J244" s="172"/>
      <c r="K244" s="172"/>
      <c r="L244" s="172"/>
      <c r="M244" s="172"/>
      <c r="N244" s="175"/>
    </row>
    <row r="245" spans="1:14" ht="15" customHeight="1" x14ac:dyDescent="0.3">
      <c r="A245" s="167" t="s">
        <v>286</v>
      </c>
      <c r="B245" s="167" t="s">
        <v>29</v>
      </c>
      <c r="C245" s="168">
        <v>39295</v>
      </c>
      <c r="D245" s="170">
        <v>22.88</v>
      </c>
      <c r="E245" s="170">
        <v>18.98</v>
      </c>
      <c r="F245" s="172">
        <v>2007</v>
      </c>
      <c r="G245" s="172"/>
      <c r="H245" s="172"/>
      <c r="I245" s="172"/>
      <c r="J245" s="172"/>
      <c r="K245" s="172"/>
      <c r="L245" s="172"/>
      <c r="M245" s="172"/>
      <c r="N245" s="175"/>
    </row>
    <row r="246" spans="1:14" ht="15" customHeight="1" x14ac:dyDescent="0.3">
      <c r="A246" s="167" t="s">
        <v>287</v>
      </c>
      <c r="B246" s="167" t="s">
        <v>29</v>
      </c>
      <c r="C246" s="168">
        <v>39308</v>
      </c>
      <c r="D246" s="170">
        <v>23.38</v>
      </c>
      <c r="E246" s="170">
        <v>21.63</v>
      </c>
      <c r="F246" s="172">
        <v>2007</v>
      </c>
      <c r="G246" s="172"/>
      <c r="H246" s="172"/>
      <c r="I246" s="172"/>
      <c r="J246" s="172"/>
      <c r="K246" s="172"/>
      <c r="L246" s="172"/>
      <c r="M246" s="172"/>
      <c r="N246" s="175"/>
    </row>
    <row r="247" spans="1:14" ht="15" customHeight="1" x14ac:dyDescent="0.3">
      <c r="A247" s="167" t="s">
        <v>288</v>
      </c>
      <c r="B247" s="167" t="s">
        <v>29</v>
      </c>
      <c r="C247" s="168">
        <v>39323</v>
      </c>
      <c r="D247" s="170">
        <v>22.76</v>
      </c>
      <c r="E247" s="170">
        <v>21.23</v>
      </c>
      <c r="F247" s="172">
        <v>2007</v>
      </c>
      <c r="G247" s="172"/>
      <c r="H247" s="172"/>
      <c r="I247" s="172"/>
      <c r="J247" s="172"/>
      <c r="K247" s="172"/>
      <c r="L247" s="172"/>
      <c r="M247" s="172"/>
      <c r="N247" s="175"/>
    </row>
    <row r="248" spans="1:14" ht="15" customHeight="1" x14ac:dyDescent="0.3">
      <c r="A248" s="167" t="s">
        <v>289</v>
      </c>
      <c r="B248" s="167" t="s">
        <v>29</v>
      </c>
      <c r="C248" s="168">
        <v>39335</v>
      </c>
      <c r="D248" s="170">
        <v>23.14</v>
      </c>
      <c r="E248" s="170">
        <v>21.75</v>
      </c>
      <c r="F248" s="172">
        <v>2007</v>
      </c>
      <c r="G248" s="172"/>
      <c r="H248" s="172"/>
      <c r="I248" s="172"/>
      <c r="J248" s="172"/>
      <c r="K248" s="172"/>
      <c r="L248" s="172"/>
      <c r="M248" s="172"/>
      <c r="N248" s="175"/>
    </row>
    <row r="249" spans="1:14" ht="15" customHeight="1" x14ac:dyDescent="0.3">
      <c r="A249" s="167" t="s">
        <v>290</v>
      </c>
      <c r="B249" s="167" t="s">
        <v>29</v>
      </c>
      <c r="C249" s="168">
        <v>39358</v>
      </c>
      <c r="D249" s="170">
        <v>21.05</v>
      </c>
      <c r="E249" s="170">
        <v>21.08</v>
      </c>
      <c r="F249" s="172">
        <v>2007</v>
      </c>
      <c r="G249" s="172"/>
      <c r="H249" s="172"/>
      <c r="I249" s="172"/>
      <c r="J249" s="172"/>
      <c r="K249" s="172"/>
      <c r="L249" s="172"/>
      <c r="M249" s="172"/>
      <c r="N249" s="175"/>
    </row>
    <row r="250" spans="1:14" ht="15" customHeight="1" x14ac:dyDescent="0.3">
      <c r="A250" s="167" t="s">
        <v>291</v>
      </c>
      <c r="B250" s="167" t="s">
        <v>29</v>
      </c>
      <c r="C250" s="168">
        <v>39400</v>
      </c>
      <c r="D250" s="170">
        <v>12.57</v>
      </c>
      <c r="E250" s="170">
        <v>13.18</v>
      </c>
      <c r="F250" s="172">
        <v>2007</v>
      </c>
      <c r="G250" s="172"/>
      <c r="H250" s="172"/>
      <c r="I250" s="172"/>
      <c r="J250" s="172"/>
      <c r="K250" s="172"/>
      <c r="L250" s="172"/>
      <c r="M250" s="172"/>
      <c r="N250" s="175"/>
    </row>
    <row r="251" spans="1:14" ht="15" customHeight="1" x14ac:dyDescent="0.3">
      <c r="A251" s="167" t="s">
        <v>292</v>
      </c>
      <c r="B251" s="167" t="s">
        <v>29</v>
      </c>
      <c r="C251" s="168">
        <v>39422</v>
      </c>
      <c r="D251" s="170">
        <v>6.94</v>
      </c>
      <c r="E251" s="170">
        <v>8.7200000000000006</v>
      </c>
      <c r="F251" s="172">
        <v>2007</v>
      </c>
      <c r="G251" s="172"/>
      <c r="H251" s="172"/>
      <c r="I251" s="172"/>
      <c r="J251" s="172"/>
      <c r="K251" s="172"/>
      <c r="L251" s="172"/>
      <c r="M251" s="172"/>
      <c r="N251" s="175"/>
    </row>
    <row r="252" spans="1:14" ht="15" customHeight="1" x14ac:dyDescent="0.3">
      <c r="A252" s="167" t="s">
        <v>293</v>
      </c>
      <c r="B252" s="167" t="s">
        <v>29</v>
      </c>
      <c r="C252" s="168">
        <v>39457</v>
      </c>
      <c r="D252" s="170">
        <v>4.4800000000000004</v>
      </c>
      <c r="E252" s="170">
        <v>4.42</v>
      </c>
      <c r="F252" s="172">
        <v>2008</v>
      </c>
      <c r="G252" s="172"/>
      <c r="H252" s="172"/>
      <c r="I252" s="172"/>
      <c r="J252" s="172"/>
      <c r="K252" s="172"/>
      <c r="L252" s="172"/>
      <c r="M252" s="172"/>
      <c r="N252" s="175"/>
    </row>
    <row r="253" spans="1:14" ht="15" customHeight="1" x14ac:dyDescent="0.3">
      <c r="A253" s="167" t="s">
        <v>294</v>
      </c>
      <c r="B253" s="167" t="s">
        <v>29</v>
      </c>
      <c r="C253" s="168">
        <v>39484</v>
      </c>
      <c r="D253" s="170">
        <v>3.26</v>
      </c>
      <c r="E253" s="170">
        <v>2.94</v>
      </c>
      <c r="F253" s="172">
        <v>2008</v>
      </c>
      <c r="G253" s="172"/>
      <c r="H253" s="172"/>
      <c r="I253" s="172"/>
      <c r="J253" s="172"/>
      <c r="K253" s="172"/>
      <c r="L253" s="172"/>
      <c r="M253" s="172"/>
      <c r="N253" s="175"/>
    </row>
    <row r="254" spans="1:14" ht="15" customHeight="1" x14ac:dyDescent="0.3">
      <c r="A254" s="167" t="s">
        <v>295</v>
      </c>
      <c r="B254" s="167" t="s">
        <v>29</v>
      </c>
      <c r="C254" s="168">
        <v>39500</v>
      </c>
      <c r="D254" s="170">
        <v>2.54</v>
      </c>
      <c r="E254" s="170">
        <v>2.64</v>
      </c>
      <c r="F254" s="172">
        <v>2008</v>
      </c>
      <c r="G254" s="172"/>
      <c r="H254" s="172"/>
      <c r="I254" s="172"/>
      <c r="J254" s="172"/>
      <c r="K254" s="172"/>
      <c r="L254" s="172"/>
      <c r="M254" s="172"/>
      <c r="N254" s="175"/>
    </row>
    <row r="255" spans="1:14" ht="15" customHeight="1" x14ac:dyDescent="0.3">
      <c r="A255" s="167" t="s">
        <v>296</v>
      </c>
      <c r="B255" s="167" t="s">
        <v>29</v>
      </c>
      <c r="C255" s="168">
        <v>39510</v>
      </c>
      <c r="D255" s="170">
        <v>2.6</v>
      </c>
      <c r="E255" s="170">
        <v>2.4700000000000002</v>
      </c>
      <c r="F255" s="172">
        <v>2008</v>
      </c>
      <c r="G255" s="172"/>
      <c r="H255" s="172"/>
      <c r="I255" s="172"/>
      <c r="J255" s="172"/>
      <c r="K255" s="172"/>
      <c r="L255" s="172"/>
      <c r="M255" s="172"/>
      <c r="N255" s="175"/>
    </row>
    <row r="256" spans="1:14" ht="15" customHeight="1" x14ac:dyDescent="0.3">
      <c r="A256" s="167" t="s">
        <v>297</v>
      </c>
      <c r="B256" s="167" t="s">
        <v>29</v>
      </c>
      <c r="C256" s="168">
        <v>39525</v>
      </c>
      <c r="D256" s="170">
        <v>4.4400000000000004</v>
      </c>
      <c r="E256" s="170">
        <v>4.32</v>
      </c>
      <c r="F256" s="172">
        <v>2008</v>
      </c>
      <c r="G256" s="172"/>
      <c r="H256" s="172"/>
      <c r="I256" s="172"/>
      <c r="J256" s="172"/>
      <c r="K256" s="172"/>
      <c r="L256" s="172"/>
      <c r="M256" s="172"/>
      <c r="N256" s="175"/>
    </row>
    <row r="257" spans="1:14" ht="15" customHeight="1" x14ac:dyDescent="0.3">
      <c r="A257" s="167" t="s">
        <v>298</v>
      </c>
      <c r="B257" s="167" t="s">
        <v>29</v>
      </c>
      <c r="C257" s="168">
        <v>39546</v>
      </c>
      <c r="D257" s="170">
        <v>5.9</v>
      </c>
      <c r="E257" s="170">
        <v>5.71</v>
      </c>
      <c r="F257" s="172">
        <v>2008</v>
      </c>
      <c r="G257" s="172"/>
      <c r="H257" s="172"/>
      <c r="I257" s="172"/>
      <c r="J257" s="172"/>
      <c r="K257" s="172"/>
      <c r="L257" s="172"/>
      <c r="M257" s="172"/>
      <c r="N257" s="175"/>
    </row>
    <row r="258" spans="1:14" ht="15" customHeight="1" x14ac:dyDescent="0.3">
      <c r="A258" s="167" t="s">
        <v>299</v>
      </c>
      <c r="B258" s="167" t="s">
        <v>29</v>
      </c>
      <c r="C258" s="168">
        <v>39575</v>
      </c>
      <c r="D258" s="170">
        <v>12.76</v>
      </c>
      <c r="E258" s="170">
        <v>11.29</v>
      </c>
      <c r="F258" s="172">
        <v>2008</v>
      </c>
      <c r="G258" s="172"/>
      <c r="H258" s="172"/>
      <c r="I258" s="172"/>
      <c r="J258" s="172"/>
      <c r="K258" s="172"/>
      <c r="L258" s="172"/>
      <c r="M258" s="172"/>
      <c r="N258" s="175"/>
    </row>
    <row r="259" spans="1:14" ht="15" customHeight="1" x14ac:dyDescent="0.3">
      <c r="A259" s="167" t="s">
        <v>300</v>
      </c>
      <c r="B259" s="167" t="s">
        <v>29</v>
      </c>
      <c r="C259" s="168">
        <v>39602</v>
      </c>
      <c r="D259" s="170">
        <v>15.3</v>
      </c>
      <c r="E259" s="170">
        <v>11.72</v>
      </c>
      <c r="F259" s="172">
        <v>2008</v>
      </c>
      <c r="G259" s="172"/>
      <c r="H259" s="172"/>
      <c r="I259" s="172"/>
      <c r="J259" s="172"/>
      <c r="K259" s="172"/>
      <c r="L259" s="172"/>
      <c r="M259" s="172"/>
      <c r="N259" s="175"/>
    </row>
    <row r="260" spans="1:14" ht="15" customHeight="1" x14ac:dyDescent="0.3">
      <c r="A260" s="167" t="s">
        <v>301</v>
      </c>
      <c r="B260" s="167" t="s">
        <v>29</v>
      </c>
      <c r="C260" s="168">
        <v>39616</v>
      </c>
      <c r="D260" s="170">
        <v>19.739999999999998</v>
      </c>
      <c r="E260" s="170">
        <v>14.38</v>
      </c>
      <c r="F260" s="172">
        <v>2008</v>
      </c>
      <c r="G260" s="172"/>
      <c r="H260" s="172"/>
      <c r="I260" s="172"/>
      <c r="J260" s="172"/>
      <c r="K260" s="172"/>
      <c r="L260" s="172"/>
      <c r="M260" s="172"/>
      <c r="N260" s="175"/>
    </row>
    <row r="261" spans="1:14" ht="15" customHeight="1" x14ac:dyDescent="0.3">
      <c r="A261" s="167" t="s">
        <v>302</v>
      </c>
      <c r="B261" s="167" t="s">
        <v>29</v>
      </c>
      <c r="C261" s="168">
        <v>39632</v>
      </c>
      <c r="D261" s="170">
        <v>19.2</v>
      </c>
      <c r="E261" s="170">
        <v>14.59</v>
      </c>
      <c r="F261" s="172">
        <v>2008</v>
      </c>
      <c r="G261" s="172"/>
      <c r="H261" s="172"/>
      <c r="I261" s="172"/>
      <c r="J261" s="172"/>
      <c r="K261" s="172"/>
      <c r="L261" s="172"/>
      <c r="M261" s="172"/>
      <c r="N261" s="175"/>
    </row>
    <row r="262" spans="1:14" ht="15" customHeight="1" x14ac:dyDescent="0.3">
      <c r="A262" s="167" t="s">
        <v>303</v>
      </c>
      <c r="B262" s="167" t="s">
        <v>29</v>
      </c>
      <c r="C262" s="168">
        <v>39651</v>
      </c>
      <c r="D262" s="170">
        <v>22.06</v>
      </c>
      <c r="E262" s="170">
        <v>16.84</v>
      </c>
      <c r="F262" s="172">
        <v>2008</v>
      </c>
      <c r="G262" s="172"/>
      <c r="H262" s="172"/>
      <c r="I262" s="172"/>
      <c r="J262" s="172"/>
      <c r="K262" s="172"/>
      <c r="L262" s="172"/>
      <c r="M262" s="172"/>
      <c r="N262" s="175"/>
    </row>
    <row r="263" spans="1:14" ht="15" customHeight="1" x14ac:dyDescent="0.3">
      <c r="A263" s="167" t="s">
        <v>304</v>
      </c>
      <c r="B263" s="167" t="s">
        <v>29</v>
      </c>
      <c r="C263" s="168">
        <v>39665</v>
      </c>
      <c r="D263" s="170">
        <v>22.87</v>
      </c>
      <c r="E263" s="170">
        <v>19.88</v>
      </c>
      <c r="F263" s="172">
        <v>2008</v>
      </c>
      <c r="G263" s="172"/>
      <c r="H263" s="172"/>
      <c r="I263" s="172"/>
      <c r="J263" s="172"/>
      <c r="K263" s="172"/>
      <c r="L263" s="172"/>
      <c r="M263" s="172"/>
      <c r="N263" s="175"/>
    </row>
    <row r="264" spans="1:14" ht="15" customHeight="1" x14ac:dyDescent="0.3">
      <c r="A264" s="167" t="s">
        <v>305</v>
      </c>
      <c r="B264" s="167" t="s">
        <v>29</v>
      </c>
      <c r="C264" s="168">
        <v>39680</v>
      </c>
      <c r="D264" s="170">
        <v>22.14</v>
      </c>
      <c r="E264" s="170">
        <v>20.75</v>
      </c>
      <c r="F264" s="172">
        <v>2008</v>
      </c>
      <c r="G264" s="172"/>
      <c r="H264" s="172"/>
      <c r="I264" s="172"/>
      <c r="J264" s="172"/>
      <c r="K264" s="172"/>
      <c r="L264" s="172"/>
      <c r="M264" s="172"/>
      <c r="N264" s="175"/>
    </row>
    <row r="265" spans="1:14" ht="15" customHeight="1" x14ac:dyDescent="0.3">
      <c r="A265" s="167" t="s">
        <v>306</v>
      </c>
      <c r="B265" s="167" t="s">
        <v>29</v>
      </c>
      <c r="C265" s="168">
        <v>39694</v>
      </c>
      <c r="D265" s="170">
        <v>22.96</v>
      </c>
      <c r="E265" s="170">
        <v>22.04</v>
      </c>
      <c r="F265" s="172">
        <v>2008</v>
      </c>
      <c r="G265" s="172"/>
      <c r="H265" s="172"/>
      <c r="I265" s="172"/>
      <c r="J265" s="172"/>
      <c r="K265" s="172"/>
      <c r="L265" s="172"/>
      <c r="M265" s="172"/>
      <c r="N265" s="175"/>
    </row>
    <row r="266" spans="1:14" ht="15" customHeight="1" x14ac:dyDescent="0.3">
      <c r="A266" s="167" t="s">
        <v>307</v>
      </c>
      <c r="B266" s="167" t="s">
        <v>29</v>
      </c>
      <c r="C266" s="168">
        <v>39707</v>
      </c>
      <c r="D266" s="170">
        <v>22.29</v>
      </c>
      <c r="E266" s="170">
        <v>21.95</v>
      </c>
      <c r="F266" s="172">
        <v>2008</v>
      </c>
      <c r="G266" s="172"/>
      <c r="H266" s="172"/>
      <c r="I266" s="172"/>
      <c r="J266" s="172"/>
      <c r="K266" s="172"/>
      <c r="L266" s="172"/>
      <c r="M266" s="172"/>
      <c r="N266" s="175"/>
    </row>
    <row r="267" spans="1:14" ht="15" customHeight="1" x14ac:dyDescent="0.3">
      <c r="A267" s="167" t="s">
        <v>308</v>
      </c>
      <c r="B267" s="167" t="s">
        <v>29</v>
      </c>
      <c r="C267" s="168">
        <v>39728</v>
      </c>
      <c r="D267" s="170">
        <v>18.73</v>
      </c>
      <c r="E267" s="170">
        <v>18.72</v>
      </c>
      <c r="F267" s="172">
        <v>2008</v>
      </c>
      <c r="G267" s="172"/>
      <c r="H267" s="172"/>
      <c r="I267" s="172"/>
      <c r="J267" s="172"/>
      <c r="K267" s="172"/>
      <c r="L267" s="172"/>
      <c r="M267" s="172"/>
      <c r="N267" s="175"/>
    </row>
    <row r="268" spans="1:14" ht="15" customHeight="1" x14ac:dyDescent="0.3">
      <c r="A268" s="167" t="s">
        <v>309</v>
      </c>
      <c r="B268" s="167" t="s">
        <v>29</v>
      </c>
      <c r="C268" s="168">
        <v>39759</v>
      </c>
      <c r="D268" s="170">
        <v>13.82</v>
      </c>
      <c r="E268" s="170">
        <v>13.91</v>
      </c>
      <c r="F268" s="172">
        <v>2008</v>
      </c>
      <c r="G268" s="172"/>
      <c r="H268" s="172"/>
      <c r="I268" s="172"/>
      <c r="J268" s="172"/>
      <c r="K268" s="172"/>
      <c r="L268" s="172"/>
      <c r="M268" s="172"/>
      <c r="N268" s="175"/>
    </row>
    <row r="269" spans="1:14" ht="15" customHeight="1" x14ac:dyDescent="0.3">
      <c r="A269" s="167" t="s">
        <v>310</v>
      </c>
      <c r="B269" s="167" t="s">
        <v>29</v>
      </c>
      <c r="C269" s="168">
        <v>39799</v>
      </c>
      <c r="D269" s="170">
        <v>6.33</v>
      </c>
      <c r="E269" s="170">
        <v>6.72</v>
      </c>
      <c r="F269" s="172">
        <v>2008</v>
      </c>
      <c r="G269" s="172"/>
      <c r="H269" s="172"/>
      <c r="I269" s="172"/>
      <c r="J269" s="172"/>
      <c r="K269" s="172"/>
      <c r="L269" s="172"/>
      <c r="M269" s="172"/>
      <c r="N269" s="175"/>
    </row>
    <row r="270" spans="1:14" ht="15" customHeight="1" x14ac:dyDescent="0.3">
      <c r="A270" s="167" t="s">
        <v>311</v>
      </c>
      <c r="B270" s="167" t="s">
        <v>29</v>
      </c>
      <c r="C270" s="168">
        <v>39825</v>
      </c>
      <c r="D270" s="170">
        <v>2.4300000000000002</v>
      </c>
      <c r="E270" s="170">
        <v>2.54</v>
      </c>
      <c r="F270" s="172">
        <v>2009</v>
      </c>
      <c r="G270" s="172"/>
      <c r="H270" s="172"/>
      <c r="I270" s="172"/>
      <c r="J270" s="172"/>
      <c r="K270" s="172"/>
      <c r="L270" s="172"/>
      <c r="M270" s="172"/>
      <c r="N270" s="175"/>
    </row>
    <row r="271" spans="1:14" ht="15" customHeight="1" x14ac:dyDescent="0.3">
      <c r="A271" s="167" t="s">
        <v>312</v>
      </c>
      <c r="B271" s="167" t="s">
        <v>29</v>
      </c>
      <c r="C271" s="168">
        <v>39848</v>
      </c>
      <c r="D271" s="170">
        <v>0.34</v>
      </c>
      <c r="E271" s="170">
        <v>0.44</v>
      </c>
      <c r="F271" s="172">
        <v>2009</v>
      </c>
      <c r="G271" s="172"/>
      <c r="H271" s="172"/>
      <c r="I271" s="172"/>
      <c r="J271" s="172"/>
      <c r="K271" s="172"/>
      <c r="L271" s="172"/>
      <c r="M271" s="172"/>
      <c r="N271" s="175"/>
    </row>
    <row r="272" spans="1:14" ht="15" customHeight="1" x14ac:dyDescent="0.3">
      <c r="A272" s="167" t="s">
        <v>313</v>
      </c>
      <c r="B272" s="167" t="s">
        <v>29</v>
      </c>
      <c r="C272" s="168">
        <v>39861</v>
      </c>
      <c r="D272" s="170">
        <v>1.43</v>
      </c>
      <c r="E272" s="170">
        <v>1.24</v>
      </c>
      <c r="F272" s="172">
        <v>2009</v>
      </c>
      <c r="G272" s="172"/>
      <c r="H272" s="172"/>
      <c r="I272" s="172"/>
      <c r="J272" s="172"/>
      <c r="K272" s="172"/>
      <c r="L272" s="172"/>
      <c r="M272" s="172"/>
      <c r="N272" s="175"/>
    </row>
    <row r="273" spans="1:14" ht="15" customHeight="1" x14ac:dyDescent="0.3">
      <c r="A273" s="167" t="s">
        <v>314</v>
      </c>
      <c r="B273" s="167" t="s">
        <v>29</v>
      </c>
      <c r="C273" s="168">
        <v>39877</v>
      </c>
      <c r="D273" s="170">
        <v>0.99</v>
      </c>
      <c r="E273" s="170">
        <v>1.1000000000000001</v>
      </c>
      <c r="F273" s="172">
        <v>2009</v>
      </c>
      <c r="G273" s="172"/>
      <c r="H273" s="172"/>
      <c r="I273" s="172"/>
      <c r="J273" s="172"/>
      <c r="K273" s="172"/>
      <c r="L273" s="172"/>
      <c r="M273" s="172"/>
      <c r="N273" s="175"/>
    </row>
    <row r="274" spans="1:14" ht="15" customHeight="1" x14ac:dyDescent="0.3">
      <c r="A274" s="167" t="s">
        <v>315</v>
      </c>
      <c r="B274" s="167" t="s">
        <v>29</v>
      </c>
      <c r="C274" s="168">
        <v>39888</v>
      </c>
      <c r="D274" s="170">
        <v>3.14</v>
      </c>
      <c r="E274" s="170">
        <v>2.58</v>
      </c>
      <c r="F274" s="172">
        <v>2009</v>
      </c>
      <c r="G274" s="172"/>
      <c r="H274" s="172"/>
      <c r="I274" s="172"/>
      <c r="J274" s="172"/>
      <c r="K274" s="172"/>
      <c r="L274" s="172"/>
      <c r="M274" s="172"/>
      <c r="N274" s="175"/>
    </row>
    <row r="275" spans="1:14" ht="15" customHeight="1" x14ac:dyDescent="0.3">
      <c r="A275" s="167" t="s">
        <v>316</v>
      </c>
      <c r="B275" s="167" t="s">
        <v>29</v>
      </c>
      <c r="C275" s="168">
        <v>39904</v>
      </c>
      <c r="D275" s="170">
        <v>5.49</v>
      </c>
      <c r="E275" s="170">
        <v>4.54</v>
      </c>
      <c r="F275" s="172">
        <v>2009</v>
      </c>
      <c r="G275" s="172"/>
      <c r="H275" s="172"/>
      <c r="I275" s="172"/>
      <c r="J275" s="172"/>
      <c r="K275" s="172"/>
      <c r="L275" s="172"/>
      <c r="M275" s="172"/>
      <c r="N275" s="175"/>
    </row>
    <row r="276" spans="1:14" ht="15" customHeight="1" x14ac:dyDescent="0.3">
      <c r="A276" s="167" t="s">
        <v>317</v>
      </c>
      <c r="B276" s="167" t="s">
        <v>29</v>
      </c>
      <c r="C276" s="168">
        <v>39937</v>
      </c>
      <c r="D276" s="170">
        <v>11.21</v>
      </c>
      <c r="E276" s="170">
        <v>8.59</v>
      </c>
      <c r="F276" s="172">
        <v>2009</v>
      </c>
      <c r="G276" s="172"/>
      <c r="H276" s="172"/>
      <c r="I276" s="172"/>
      <c r="J276" s="172"/>
      <c r="K276" s="172"/>
      <c r="L276" s="172"/>
      <c r="M276" s="172"/>
      <c r="N276" s="175"/>
    </row>
    <row r="277" spans="1:14" ht="15" customHeight="1" x14ac:dyDescent="0.3">
      <c r="A277" s="167" t="s">
        <v>318</v>
      </c>
      <c r="B277" s="167" t="s">
        <v>29</v>
      </c>
      <c r="C277" s="168">
        <v>39973</v>
      </c>
      <c r="D277" s="170">
        <v>17.02</v>
      </c>
      <c r="E277" s="170">
        <v>14.25</v>
      </c>
      <c r="F277" s="172">
        <v>2009</v>
      </c>
      <c r="G277" s="172"/>
      <c r="H277" s="172"/>
      <c r="I277" s="172"/>
      <c r="J277" s="172"/>
      <c r="K277" s="172"/>
      <c r="L277" s="172"/>
      <c r="M277" s="172"/>
      <c r="N277" s="175"/>
    </row>
    <row r="278" spans="1:14" ht="15" customHeight="1" x14ac:dyDescent="0.3">
      <c r="A278" s="167" t="s">
        <v>319</v>
      </c>
      <c r="B278" s="167" t="s">
        <v>29</v>
      </c>
      <c r="C278" s="168">
        <v>39987</v>
      </c>
      <c r="D278" s="170">
        <v>18.23</v>
      </c>
      <c r="E278" s="170">
        <v>18.12</v>
      </c>
      <c r="F278" s="172">
        <v>2009</v>
      </c>
      <c r="G278" s="172"/>
      <c r="H278" s="172"/>
      <c r="I278" s="172"/>
      <c r="J278" s="172"/>
      <c r="K278" s="172"/>
      <c r="L278" s="172"/>
      <c r="M278" s="172"/>
      <c r="N278" s="175"/>
    </row>
    <row r="279" spans="1:14" ht="15" customHeight="1" x14ac:dyDescent="0.3">
      <c r="A279" s="167" t="s">
        <v>320</v>
      </c>
      <c r="B279" s="167" t="s">
        <v>29</v>
      </c>
      <c r="C279" s="168">
        <v>40002</v>
      </c>
      <c r="D279" s="170">
        <v>20.76</v>
      </c>
      <c r="E279" s="170">
        <v>15.28</v>
      </c>
      <c r="F279" s="172">
        <v>2009</v>
      </c>
      <c r="G279" s="172"/>
      <c r="H279" s="172"/>
      <c r="I279" s="172"/>
      <c r="J279" s="172"/>
      <c r="K279" s="172"/>
      <c r="L279" s="172"/>
      <c r="M279" s="172"/>
      <c r="N279" s="175"/>
    </row>
    <row r="280" spans="1:14" ht="15" customHeight="1" x14ac:dyDescent="0.3">
      <c r="A280" s="167" t="s">
        <v>321</v>
      </c>
      <c r="B280" s="167" t="s">
        <v>29</v>
      </c>
      <c r="C280" s="168">
        <v>40016</v>
      </c>
      <c r="D280" s="170">
        <v>20.09</v>
      </c>
      <c r="E280" s="170">
        <v>18.04</v>
      </c>
      <c r="F280" s="172">
        <v>2009</v>
      </c>
      <c r="G280" s="172"/>
      <c r="H280" s="172"/>
      <c r="I280" s="172"/>
      <c r="J280" s="172"/>
      <c r="K280" s="172"/>
      <c r="L280" s="172"/>
      <c r="M280" s="172"/>
      <c r="N280" s="175"/>
    </row>
    <row r="281" spans="1:14" ht="15" customHeight="1" x14ac:dyDescent="0.3">
      <c r="A281" s="167" t="s">
        <v>322</v>
      </c>
      <c r="B281" s="167" t="s">
        <v>29</v>
      </c>
      <c r="C281" s="168">
        <v>40030</v>
      </c>
      <c r="D281" s="170">
        <v>23.19</v>
      </c>
      <c r="E281" s="170">
        <v>18.22</v>
      </c>
      <c r="F281" s="172">
        <v>2009</v>
      </c>
      <c r="G281" s="172"/>
      <c r="H281" s="172"/>
      <c r="I281" s="172"/>
      <c r="J281" s="172"/>
      <c r="K281" s="172"/>
      <c r="L281" s="172"/>
      <c r="M281" s="172"/>
      <c r="N281" s="175"/>
    </row>
    <row r="282" spans="1:14" ht="15" customHeight="1" x14ac:dyDescent="0.3">
      <c r="A282" s="167" t="s">
        <v>323</v>
      </c>
      <c r="B282" s="167" t="s">
        <v>29</v>
      </c>
      <c r="C282" s="168">
        <v>40043</v>
      </c>
      <c r="D282" s="170">
        <v>22.38</v>
      </c>
      <c r="E282" s="170">
        <v>20.239999999999998</v>
      </c>
      <c r="F282" s="172">
        <v>2009</v>
      </c>
      <c r="G282" s="172"/>
      <c r="H282" s="172"/>
      <c r="I282" s="172"/>
      <c r="J282" s="172"/>
      <c r="K282" s="172"/>
      <c r="L282" s="172"/>
      <c r="M282" s="172"/>
      <c r="N282" s="175"/>
    </row>
    <row r="283" spans="1:14" ht="15" customHeight="1" x14ac:dyDescent="0.3">
      <c r="A283" s="167" t="s">
        <v>324</v>
      </c>
      <c r="B283" s="167" t="s">
        <v>29</v>
      </c>
      <c r="C283" s="168">
        <v>40058</v>
      </c>
      <c r="D283" s="170">
        <v>22.29</v>
      </c>
      <c r="E283" s="170">
        <v>21.93</v>
      </c>
      <c r="F283" s="172">
        <v>2009</v>
      </c>
      <c r="G283" s="172"/>
      <c r="H283" s="172"/>
      <c r="I283" s="172"/>
      <c r="J283" s="172"/>
      <c r="K283" s="172"/>
      <c r="L283" s="172"/>
      <c r="M283" s="172"/>
      <c r="N283" s="175"/>
    </row>
    <row r="284" spans="1:14" ht="15" customHeight="1" x14ac:dyDescent="0.3">
      <c r="A284" s="167" t="s">
        <v>325</v>
      </c>
      <c r="B284" s="167" t="s">
        <v>29</v>
      </c>
      <c r="C284" s="168">
        <v>40092</v>
      </c>
      <c r="D284" s="170">
        <v>18.48</v>
      </c>
      <c r="E284" s="170">
        <v>18.68</v>
      </c>
      <c r="F284" s="172">
        <v>2009</v>
      </c>
      <c r="G284" s="172"/>
      <c r="H284" s="172"/>
      <c r="I284" s="172"/>
      <c r="J284" s="172"/>
      <c r="K284" s="172"/>
      <c r="L284" s="172"/>
      <c r="M284" s="172"/>
      <c r="N284" s="175"/>
    </row>
    <row r="285" spans="1:14" ht="15" customHeight="1" x14ac:dyDescent="0.3">
      <c r="A285" s="167" t="s">
        <v>326</v>
      </c>
      <c r="B285" s="167" t="s">
        <v>29</v>
      </c>
      <c r="C285" s="168">
        <v>40121</v>
      </c>
      <c r="D285" s="170">
        <v>13.72</v>
      </c>
      <c r="E285" s="170">
        <v>13.7</v>
      </c>
      <c r="F285" s="172">
        <v>2009</v>
      </c>
      <c r="G285" s="172"/>
      <c r="H285" s="172"/>
      <c r="I285" s="172"/>
      <c r="J285" s="172"/>
      <c r="K285" s="172"/>
      <c r="L285" s="172"/>
      <c r="M285" s="172"/>
      <c r="N285" s="175"/>
    </row>
    <row r="286" spans="1:14" ht="15" customHeight="1" x14ac:dyDescent="0.3">
      <c r="A286" s="167" t="s">
        <v>327</v>
      </c>
      <c r="B286" s="167" t="s">
        <v>29</v>
      </c>
      <c r="C286" s="168">
        <v>40149</v>
      </c>
      <c r="D286" s="170">
        <v>10.15</v>
      </c>
      <c r="E286" s="170">
        <v>10.68</v>
      </c>
      <c r="F286" s="172">
        <v>2009</v>
      </c>
      <c r="G286" s="172"/>
      <c r="H286" s="172"/>
      <c r="I286" s="172"/>
      <c r="J286" s="172"/>
      <c r="K286" s="172"/>
      <c r="L286" s="172"/>
      <c r="M286" s="172"/>
      <c r="N286" s="175"/>
    </row>
    <row r="287" spans="1:14" ht="15" customHeight="1" x14ac:dyDescent="0.3">
      <c r="A287" s="167" t="s">
        <v>328</v>
      </c>
      <c r="B287" s="167" t="s">
        <v>29</v>
      </c>
      <c r="C287" s="168">
        <v>40190</v>
      </c>
      <c r="D287" s="170">
        <v>1.61</v>
      </c>
      <c r="E287" s="170">
        <v>2.21</v>
      </c>
      <c r="F287" s="172">
        <v>2010</v>
      </c>
      <c r="G287" s="172"/>
      <c r="H287" s="172"/>
      <c r="I287" s="172"/>
      <c r="J287" s="172"/>
      <c r="K287" s="172"/>
      <c r="L287" s="172"/>
      <c r="M287" s="172"/>
      <c r="N287" s="175"/>
    </row>
    <row r="288" spans="1:14" ht="15" customHeight="1" x14ac:dyDescent="0.3">
      <c r="A288" s="167" t="s">
        <v>329</v>
      </c>
      <c r="B288" s="167" t="s">
        <v>29</v>
      </c>
      <c r="C288" s="168">
        <v>40217</v>
      </c>
      <c r="D288" s="170">
        <v>0.96</v>
      </c>
      <c r="E288" s="170">
        <v>0.9</v>
      </c>
      <c r="F288" s="172">
        <v>2010</v>
      </c>
      <c r="G288" s="172"/>
      <c r="H288" s="172"/>
      <c r="I288" s="172"/>
      <c r="J288" s="172"/>
      <c r="K288" s="172"/>
      <c r="L288" s="172"/>
      <c r="M288" s="172"/>
      <c r="N288" s="175"/>
    </row>
    <row r="289" spans="1:14" ht="15" customHeight="1" x14ac:dyDescent="0.3">
      <c r="A289" s="167" t="s">
        <v>330</v>
      </c>
      <c r="B289" s="167" t="s">
        <v>29</v>
      </c>
      <c r="C289" s="168">
        <v>40239</v>
      </c>
      <c r="D289" s="170">
        <v>1.9</v>
      </c>
      <c r="E289" s="170">
        <v>1.89</v>
      </c>
      <c r="F289" s="172">
        <v>2010</v>
      </c>
      <c r="G289" s="172"/>
      <c r="H289" s="172"/>
      <c r="I289" s="172"/>
      <c r="J289" s="172"/>
      <c r="K289" s="172"/>
      <c r="L289" s="172"/>
      <c r="M289" s="172"/>
      <c r="N289" s="175"/>
    </row>
    <row r="290" spans="1:14" ht="15" customHeight="1" x14ac:dyDescent="0.3">
      <c r="A290" s="167" t="s">
        <v>331</v>
      </c>
      <c r="B290" s="167" t="s">
        <v>29</v>
      </c>
      <c r="C290" s="168">
        <v>40254</v>
      </c>
      <c r="D290" s="170">
        <v>4.8099999999999996</v>
      </c>
      <c r="E290" s="170">
        <v>4.08</v>
      </c>
      <c r="F290" s="172">
        <v>2010</v>
      </c>
      <c r="G290" s="172"/>
      <c r="H290" s="172"/>
      <c r="I290" s="172"/>
      <c r="J290" s="172"/>
      <c r="K290" s="172"/>
      <c r="L290" s="172"/>
      <c r="M290" s="172"/>
      <c r="N290" s="175"/>
    </row>
    <row r="291" spans="1:14" ht="15" customHeight="1" x14ac:dyDescent="0.3">
      <c r="A291" s="167" t="s">
        <v>332</v>
      </c>
      <c r="B291" s="167" t="s">
        <v>29</v>
      </c>
      <c r="C291" s="168">
        <v>40268</v>
      </c>
      <c r="D291" s="170">
        <v>6.07</v>
      </c>
      <c r="E291" s="170">
        <v>6.21</v>
      </c>
      <c r="F291" s="172">
        <v>2010</v>
      </c>
      <c r="G291" s="172"/>
      <c r="H291" s="172"/>
      <c r="I291" s="172"/>
      <c r="J291" s="172"/>
      <c r="K291" s="172"/>
      <c r="L291" s="172"/>
      <c r="M291" s="172"/>
      <c r="N291" s="175"/>
    </row>
    <row r="292" spans="1:14" ht="15" customHeight="1" x14ac:dyDescent="0.3">
      <c r="A292" s="167" t="s">
        <v>333</v>
      </c>
      <c r="B292" s="167" t="s">
        <v>29</v>
      </c>
      <c r="C292" s="168">
        <v>40302</v>
      </c>
      <c r="D292" s="170">
        <v>12.04</v>
      </c>
      <c r="E292" s="170">
        <v>8.51</v>
      </c>
      <c r="F292" s="172">
        <v>2010</v>
      </c>
      <c r="G292" s="172"/>
      <c r="H292" s="172"/>
      <c r="I292" s="172"/>
      <c r="J292" s="172"/>
      <c r="K292" s="172"/>
      <c r="L292" s="172"/>
      <c r="M292" s="172"/>
      <c r="N292" s="175"/>
    </row>
    <row r="293" spans="1:14" ht="15" customHeight="1" x14ac:dyDescent="0.3">
      <c r="A293" s="167" t="s">
        <v>334</v>
      </c>
      <c r="B293" s="167" t="s">
        <v>29</v>
      </c>
      <c r="C293" s="168">
        <v>40325</v>
      </c>
      <c r="D293" s="170">
        <v>15.69</v>
      </c>
      <c r="E293" s="170">
        <v>12.95</v>
      </c>
      <c r="F293" s="172">
        <v>2010</v>
      </c>
      <c r="G293" s="172"/>
      <c r="H293" s="172"/>
      <c r="I293" s="172"/>
      <c r="J293" s="172"/>
      <c r="K293" s="172"/>
      <c r="L293" s="172"/>
      <c r="M293" s="172"/>
      <c r="N293" s="175"/>
    </row>
    <row r="294" spans="1:14" ht="15" customHeight="1" x14ac:dyDescent="0.3">
      <c r="A294" s="167" t="s">
        <v>335</v>
      </c>
      <c r="B294" s="167" t="s">
        <v>29</v>
      </c>
      <c r="C294" s="168">
        <v>40347</v>
      </c>
      <c r="D294" s="170">
        <v>17.149999999999999</v>
      </c>
      <c r="E294" s="170">
        <v>13.71</v>
      </c>
      <c r="F294" s="172">
        <v>2010</v>
      </c>
      <c r="G294" s="172"/>
      <c r="H294" s="172"/>
      <c r="I294" s="172"/>
      <c r="J294" s="172"/>
      <c r="K294" s="172"/>
      <c r="L294" s="172"/>
      <c r="M294" s="172"/>
      <c r="N294" s="175"/>
    </row>
    <row r="295" spans="1:14" ht="15" customHeight="1" x14ac:dyDescent="0.3">
      <c r="A295" s="167" t="s">
        <v>336</v>
      </c>
      <c r="B295" s="167" t="s">
        <v>29</v>
      </c>
      <c r="C295" s="168">
        <v>40367</v>
      </c>
      <c r="D295" s="170">
        <v>20.309999999999999</v>
      </c>
      <c r="E295" s="170">
        <v>16.260000000000002</v>
      </c>
      <c r="F295" s="172">
        <v>2010</v>
      </c>
      <c r="G295" s="172"/>
      <c r="H295" s="172"/>
      <c r="I295" s="172"/>
      <c r="J295" s="172"/>
      <c r="K295" s="172"/>
      <c r="L295" s="172"/>
      <c r="M295" s="172"/>
      <c r="N295" s="175"/>
    </row>
    <row r="296" spans="1:14" ht="15" customHeight="1" x14ac:dyDescent="0.3">
      <c r="A296" s="167" t="s">
        <v>337</v>
      </c>
      <c r="B296" s="167" t="s">
        <v>29</v>
      </c>
      <c r="C296" s="168">
        <v>40382</v>
      </c>
      <c r="D296" s="170">
        <v>22.9</v>
      </c>
      <c r="E296" s="170">
        <v>18.600000000000001</v>
      </c>
      <c r="F296" s="172">
        <v>2010</v>
      </c>
      <c r="G296" s="172"/>
      <c r="H296" s="172"/>
      <c r="I296" s="172"/>
      <c r="J296" s="172"/>
      <c r="K296" s="172"/>
      <c r="L296" s="172"/>
      <c r="M296" s="172"/>
      <c r="N296" s="175"/>
    </row>
    <row r="297" spans="1:14" ht="15" customHeight="1" x14ac:dyDescent="0.3">
      <c r="A297" s="167" t="s">
        <v>338</v>
      </c>
      <c r="B297" s="167" t="s">
        <v>29</v>
      </c>
      <c r="C297" s="168">
        <v>40393</v>
      </c>
      <c r="D297" s="170">
        <v>23.2</v>
      </c>
      <c r="E297" s="170">
        <v>19.940000000000001</v>
      </c>
      <c r="F297" s="172">
        <v>2010</v>
      </c>
      <c r="G297" s="172"/>
      <c r="H297" s="172"/>
      <c r="I297" s="172"/>
      <c r="J297" s="172"/>
      <c r="K297" s="172"/>
      <c r="L297" s="172"/>
      <c r="M297" s="172"/>
      <c r="N297" s="175"/>
    </row>
    <row r="298" spans="1:14" ht="15" customHeight="1" x14ac:dyDescent="0.3">
      <c r="A298" s="167" t="s">
        <v>339</v>
      </c>
      <c r="B298" s="167" t="s">
        <v>29</v>
      </c>
      <c r="C298" s="168">
        <v>40407</v>
      </c>
      <c r="D298" s="170">
        <v>23.38</v>
      </c>
      <c r="E298" s="170">
        <v>22.47</v>
      </c>
      <c r="F298" s="172">
        <v>2010</v>
      </c>
      <c r="G298" s="172"/>
      <c r="H298" s="172"/>
      <c r="I298" s="172"/>
      <c r="J298" s="172"/>
      <c r="K298" s="172"/>
      <c r="L298" s="172"/>
      <c r="M298" s="172"/>
      <c r="N298" s="175"/>
    </row>
    <row r="299" spans="1:14" ht="15" customHeight="1" x14ac:dyDescent="0.3">
      <c r="A299" s="167" t="s">
        <v>340</v>
      </c>
      <c r="B299" s="167" t="s">
        <v>29</v>
      </c>
      <c r="C299" s="168">
        <v>40421</v>
      </c>
      <c r="D299" s="170">
        <v>24.14</v>
      </c>
      <c r="E299" s="170">
        <v>22.46</v>
      </c>
      <c r="F299" s="172">
        <v>2010</v>
      </c>
      <c r="G299" s="172"/>
      <c r="H299" s="172"/>
      <c r="I299" s="172"/>
      <c r="J299" s="172"/>
      <c r="K299" s="172"/>
      <c r="L299" s="172"/>
      <c r="M299" s="172"/>
      <c r="N299" s="175"/>
    </row>
    <row r="300" spans="1:14" ht="15" customHeight="1" x14ac:dyDescent="0.3">
      <c r="A300" s="167" t="s">
        <v>341</v>
      </c>
      <c r="B300" s="167" t="s">
        <v>29</v>
      </c>
      <c r="C300" s="168">
        <v>40463</v>
      </c>
      <c r="D300" s="170">
        <v>18.29</v>
      </c>
      <c r="E300" s="170">
        <v>18.82</v>
      </c>
      <c r="F300" s="172">
        <v>2010</v>
      </c>
      <c r="G300" s="172"/>
      <c r="H300" s="172"/>
      <c r="I300" s="172"/>
      <c r="J300" s="172"/>
      <c r="K300" s="172"/>
      <c r="L300" s="172"/>
      <c r="M300" s="172"/>
      <c r="N300" s="175"/>
    </row>
    <row r="301" spans="1:14" ht="15" customHeight="1" x14ac:dyDescent="0.3">
      <c r="A301" s="167" t="s">
        <v>342</v>
      </c>
      <c r="B301" s="167" t="s">
        <v>29</v>
      </c>
      <c r="C301" s="168">
        <v>40483</v>
      </c>
      <c r="D301" s="170">
        <v>14.9</v>
      </c>
      <c r="E301" s="170">
        <v>15.24</v>
      </c>
      <c r="F301" s="172">
        <v>2010</v>
      </c>
      <c r="G301" s="172"/>
      <c r="H301" s="172"/>
      <c r="I301" s="172"/>
      <c r="J301" s="172"/>
      <c r="K301" s="172"/>
      <c r="L301" s="172"/>
      <c r="M301" s="172"/>
      <c r="N301" s="175"/>
    </row>
    <row r="302" spans="1:14" ht="15" customHeight="1" x14ac:dyDescent="0.3">
      <c r="A302" s="167" t="s">
        <v>343</v>
      </c>
      <c r="B302" s="167" t="s">
        <v>29</v>
      </c>
      <c r="C302" s="168">
        <v>40514</v>
      </c>
      <c r="D302" s="170">
        <v>9.86</v>
      </c>
      <c r="E302" s="170">
        <v>10.039999999999999</v>
      </c>
      <c r="F302" s="172">
        <v>2010</v>
      </c>
      <c r="G302" s="172"/>
      <c r="H302" s="172"/>
      <c r="I302" s="172"/>
      <c r="J302" s="172"/>
      <c r="K302" s="172"/>
      <c r="L302" s="172"/>
      <c r="M302" s="172"/>
      <c r="N302" s="175"/>
    </row>
    <row r="303" spans="1:14" ht="15" customHeight="1" x14ac:dyDescent="0.3">
      <c r="A303" s="167" t="s">
        <v>344</v>
      </c>
      <c r="B303" s="167" t="s">
        <v>29</v>
      </c>
      <c r="C303" s="168">
        <v>40557</v>
      </c>
      <c r="D303" s="170">
        <v>1.04</v>
      </c>
      <c r="E303" s="170">
        <v>1.67</v>
      </c>
      <c r="F303" s="172">
        <v>2011</v>
      </c>
      <c r="G303" s="172"/>
      <c r="H303" s="172"/>
      <c r="I303" s="172"/>
      <c r="J303" s="172"/>
      <c r="K303" s="172"/>
      <c r="L303" s="172"/>
      <c r="M303" s="172"/>
      <c r="N303" s="175"/>
    </row>
    <row r="304" spans="1:14" ht="15" customHeight="1" x14ac:dyDescent="0.3">
      <c r="A304" s="167" t="s">
        <v>345</v>
      </c>
      <c r="B304" s="167" t="s">
        <v>29</v>
      </c>
      <c r="C304" s="168">
        <v>40584</v>
      </c>
      <c r="D304" s="170">
        <v>0.26</v>
      </c>
      <c r="E304" s="170">
        <v>0.24</v>
      </c>
      <c r="F304" s="172">
        <v>2011</v>
      </c>
      <c r="G304" s="172"/>
      <c r="H304" s="172"/>
      <c r="I304" s="172"/>
      <c r="J304" s="172"/>
      <c r="K304" s="172"/>
      <c r="L304" s="172"/>
      <c r="M304" s="172"/>
      <c r="N304" s="175"/>
    </row>
    <row r="305" spans="1:14" ht="15" customHeight="1" x14ac:dyDescent="0.3">
      <c r="A305" s="167" t="s">
        <v>346</v>
      </c>
      <c r="B305" s="167" t="s">
        <v>29</v>
      </c>
      <c r="C305" s="168">
        <v>40591</v>
      </c>
      <c r="D305" s="170">
        <v>0.9</v>
      </c>
      <c r="E305" s="170">
        <v>0.72</v>
      </c>
      <c r="F305" s="172">
        <v>2011</v>
      </c>
      <c r="G305" s="172"/>
      <c r="H305" s="172"/>
      <c r="I305" s="172"/>
      <c r="J305" s="172"/>
      <c r="K305" s="172"/>
      <c r="L305" s="172"/>
      <c r="M305" s="172"/>
      <c r="N305" s="175"/>
    </row>
    <row r="306" spans="1:14" ht="15" customHeight="1" x14ac:dyDescent="0.3">
      <c r="A306" s="167" t="s">
        <v>347</v>
      </c>
      <c r="B306" s="167" t="s">
        <v>29</v>
      </c>
      <c r="C306" s="168">
        <v>40610</v>
      </c>
      <c r="D306" s="170">
        <v>3.28</v>
      </c>
      <c r="E306" s="170">
        <v>2.67</v>
      </c>
      <c r="F306" s="172">
        <v>2011</v>
      </c>
      <c r="G306" s="172"/>
      <c r="H306" s="172"/>
      <c r="I306" s="172"/>
      <c r="J306" s="172"/>
      <c r="K306" s="172"/>
      <c r="L306" s="172"/>
      <c r="M306" s="172"/>
      <c r="N306" s="175"/>
    </row>
    <row r="307" spans="1:14" ht="15" customHeight="1" x14ac:dyDescent="0.3">
      <c r="A307" s="167" t="s">
        <v>348</v>
      </c>
      <c r="B307" s="167" t="s">
        <v>29</v>
      </c>
      <c r="C307" s="168">
        <v>40647</v>
      </c>
      <c r="D307" s="170">
        <v>6.84</v>
      </c>
      <c r="E307" s="170">
        <v>5.66</v>
      </c>
      <c r="F307" s="172">
        <v>2011</v>
      </c>
      <c r="G307" s="172"/>
      <c r="H307" s="172"/>
      <c r="I307" s="172"/>
      <c r="J307" s="172"/>
      <c r="K307" s="172"/>
      <c r="L307" s="172"/>
      <c r="M307" s="172"/>
      <c r="N307" s="175"/>
    </row>
    <row r="308" spans="1:14" ht="15" customHeight="1" x14ac:dyDescent="0.3">
      <c r="A308" s="167" t="s">
        <v>349</v>
      </c>
      <c r="B308" s="167" t="s">
        <v>29</v>
      </c>
      <c r="C308" s="168">
        <v>40666</v>
      </c>
      <c r="D308" s="170">
        <v>11.71</v>
      </c>
      <c r="E308" s="170">
        <v>7.4</v>
      </c>
      <c r="F308" s="172">
        <v>2011</v>
      </c>
      <c r="G308" s="172"/>
      <c r="H308" s="172"/>
      <c r="I308" s="172"/>
      <c r="J308" s="172"/>
      <c r="K308" s="172"/>
      <c r="L308" s="172"/>
      <c r="M308" s="172"/>
      <c r="N308" s="175"/>
    </row>
    <row r="309" spans="1:14" ht="15" customHeight="1" x14ac:dyDescent="0.3">
      <c r="A309" s="167" t="s">
        <v>350</v>
      </c>
      <c r="B309" s="167" t="s">
        <v>29</v>
      </c>
      <c r="C309" s="168">
        <v>40695</v>
      </c>
      <c r="D309" s="170">
        <v>18.86</v>
      </c>
      <c r="E309" s="170">
        <v>11.58</v>
      </c>
      <c r="F309" s="172">
        <v>2011</v>
      </c>
      <c r="G309" s="172"/>
      <c r="H309" s="172"/>
      <c r="I309" s="172"/>
      <c r="J309" s="172"/>
      <c r="K309" s="172"/>
      <c r="L309" s="172"/>
      <c r="M309" s="172"/>
      <c r="N309" s="175"/>
    </row>
    <row r="310" spans="1:14" ht="15" customHeight="1" x14ac:dyDescent="0.3">
      <c r="A310" s="167" t="s">
        <v>351</v>
      </c>
      <c r="B310" s="167" t="s">
        <v>29</v>
      </c>
      <c r="C310" s="168">
        <v>40710</v>
      </c>
      <c r="D310" s="170">
        <v>17.829999999999998</v>
      </c>
      <c r="E310" s="170">
        <v>16.989999999999998</v>
      </c>
      <c r="F310" s="172">
        <v>2011</v>
      </c>
      <c r="G310" s="172"/>
      <c r="H310" s="172"/>
      <c r="I310" s="172"/>
      <c r="J310" s="172"/>
      <c r="K310" s="172"/>
      <c r="L310" s="172"/>
      <c r="M310" s="172"/>
      <c r="N310" s="175"/>
    </row>
    <row r="311" spans="1:14" ht="15" customHeight="1" x14ac:dyDescent="0.3">
      <c r="A311" s="167" t="s">
        <v>352</v>
      </c>
      <c r="B311" s="167" t="s">
        <v>29</v>
      </c>
      <c r="C311" s="168">
        <v>40730</v>
      </c>
      <c r="D311" s="170">
        <v>19.440000000000001</v>
      </c>
      <c r="E311" s="170">
        <v>15.61</v>
      </c>
      <c r="F311" s="172">
        <v>2011</v>
      </c>
      <c r="G311" s="172"/>
      <c r="H311" s="172"/>
      <c r="I311" s="172"/>
      <c r="J311" s="172"/>
      <c r="K311" s="172"/>
      <c r="L311" s="172"/>
      <c r="M311" s="172"/>
      <c r="N311" s="175"/>
    </row>
    <row r="312" spans="1:14" ht="15" customHeight="1" x14ac:dyDescent="0.3">
      <c r="A312" s="167" t="s">
        <v>353</v>
      </c>
      <c r="B312" s="167" t="s">
        <v>29</v>
      </c>
      <c r="C312" s="168">
        <v>40742</v>
      </c>
      <c r="D312" s="170">
        <v>21.02</v>
      </c>
      <c r="E312" s="170">
        <v>17.420000000000002</v>
      </c>
      <c r="F312" s="172">
        <v>2011</v>
      </c>
      <c r="G312" s="172"/>
      <c r="H312" s="172"/>
      <c r="I312" s="172"/>
      <c r="J312" s="172"/>
      <c r="K312" s="172"/>
      <c r="L312" s="172"/>
      <c r="M312" s="172"/>
      <c r="N312" s="175"/>
    </row>
    <row r="313" spans="1:14" ht="15" customHeight="1" x14ac:dyDescent="0.3">
      <c r="A313" s="167" t="s">
        <v>354</v>
      </c>
      <c r="B313" s="167" t="s">
        <v>29</v>
      </c>
      <c r="C313" s="168">
        <v>40758</v>
      </c>
      <c r="D313" s="170">
        <v>23.81</v>
      </c>
      <c r="E313" s="170">
        <v>19.100000000000001</v>
      </c>
      <c r="F313" s="172">
        <v>2011</v>
      </c>
      <c r="G313" s="172"/>
      <c r="H313" s="172"/>
      <c r="I313" s="172"/>
      <c r="J313" s="172"/>
      <c r="K313" s="172"/>
      <c r="L313" s="172"/>
      <c r="M313" s="172"/>
      <c r="N313" s="175"/>
    </row>
    <row r="314" spans="1:14" ht="15" customHeight="1" x14ac:dyDescent="0.3">
      <c r="A314" s="167" t="s">
        <v>355</v>
      </c>
      <c r="B314" s="167" t="s">
        <v>29</v>
      </c>
      <c r="C314" s="168">
        <v>40770</v>
      </c>
      <c r="D314" s="170">
        <v>22.64</v>
      </c>
      <c r="E314" s="170">
        <v>20.98</v>
      </c>
      <c r="F314" s="172">
        <v>2011</v>
      </c>
      <c r="G314" s="172"/>
      <c r="H314" s="172"/>
      <c r="I314" s="172"/>
      <c r="J314" s="172"/>
      <c r="K314" s="172"/>
      <c r="L314" s="172"/>
      <c r="M314" s="172"/>
      <c r="N314" s="175"/>
    </row>
    <row r="315" spans="1:14" ht="15" customHeight="1" x14ac:dyDescent="0.3">
      <c r="A315" s="167" t="s">
        <v>356</v>
      </c>
      <c r="B315" s="167" t="s">
        <v>29</v>
      </c>
      <c r="C315" s="168">
        <v>40786</v>
      </c>
      <c r="D315" s="169"/>
      <c r="E315" s="169"/>
      <c r="F315" s="172">
        <v>2011</v>
      </c>
      <c r="G315" s="172"/>
      <c r="H315" s="172"/>
      <c r="I315" s="172"/>
      <c r="J315" s="172"/>
      <c r="K315" s="172"/>
      <c r="L315" s="172"/>
      <c r="M315" s="172"/>
      <c r="N315" s="175"/>
    </row>
    <row r="316" spans="1:14" ht="15" customHeight="1" x14ac:dyDescent="0.3">
      <c r="A316" s="167" t="s">
        <v>357</v>
      </c>
      <c r="B316" s="167" t="s">
        <v>29</v>
      </c>
      <c r="C316" s="168">
        <v>40822</v>
      </c>
      <c r="D316" s="170">
        <v>19.75</v>
      </c>
      <c r="E316" s="170">
        <v>20.11</v>
      </c>
      <c r="F316" s="172">
        <v>2011</v>
      </c>
      <c r="G316" s="172"/>
      <c r="H316" s="172"/>
      <c r="I316" s="172"/>
      <c r="J316" s="172"/>
      <c r="K316" s="172"/>
      <c r="L316" s="172"/>
      <c r="M316" s="172"/>
      <c r="N316" s="175"/>
    </row>
    <row r="317" spans="1:14" ht="15" customHeight="1" x14ac:dyDescent="0.3">
      <c r="A317" s="167" t="s">
        <v>358</v>
      </c>
      <c r="B317" s="167" t="s">
        <v>29</v>
      </c>
      <c r="C317" s="168">
        <v>40856</v>
      </c>
      <c r="D317" s="170">
        <v>13.4</v>
      </c>
      <c r="E317" s="170">
        <v>13.92</v>
      </c>
      <c r="F317" s="172">
        <v>2011</v>
      </c>
      <c r="G317" s="172"/>
      <c r="H317" s="172"/>
      <c r="I317" s="172"/>
      <c r="J317" s="172"/>
      <c r="K317" s="172"/>
      <c r="L317" s="172"/>
      <c r="M317" s="172"/>
      <c r="N317" s="175"/>
    </row>
    <row r="318" spans="1:14" ht="15" customHeight="1" x14ac:dyDescent="0.3">
      <c r="A318" s="167" t="s">
        <v>359</v>
      </c>
      <c r="B318" s="167" t="s">
        <v>29</v>
      </c>
      <c r="C318" s="168">
        <v>40876</v>
      </c>
      <c r="D318" s="170">
        <v>11.57</v>
      </c>
      <c r="E318" s="170">
        <v>11.86</v>
      </c>
      <c r="F318" s="172">
        <v>2011</v>
      </c>
      <c r="G318" s="172"/>
      <c r="H318" s="172"/>
      <c r="I318" s="172"/>
      <c r="J318" s="172"/>
      <c r="K318" s="172"/>
      <c r="L318" s="172"/>
      <c r="M318" s="172"/>
      <c r="N318" s="175"/>
    </row>
    <row r="319" spans="1:14" ht="15" customHeight="1" x14ac:dyDescent="0.3">
      <c r="A319" s="167" t="s">
        <v>360</v>
      </c>
      <c r="B319" s="167" t="s">
        <v>29</v>
      </c>
      <c r="C319" s="168">
        <v>40917</v>
      </c>
      <c r="D319" s="170">
        <v>5.73</v>
      </c>
      <c r="E319" s="170">
        <v>6.6</v>
      </c>
      <c r="F319" s="172">
        <v>2012</v>
      </c>
      <c r="G319" s="172"/>
      <c r="H319" s="172"/>
      <c r="I319" s="172"/>
      <c r="J319" s="172"/>
      <c r="K319" s="172"/>
      <c r="L319" s="172"/>
      <c r="M319" s="172"/>
      <c r="N319" s="175"/>
    </row>
    <row r="320" spans="1:14" ht="15" customHeight="1" x14ac:dyDescent="0.3">
      <c r="A320" s="167" t="s">
        <v>361</v>
      </c>
      <c r="B320" s="167" t="s">
        <v>29</v>
      </c>
      <c r="C320" s="168">
        <v>40941</v>
      </c>
      <c r="D320" s="170">
        <v>4.1900000000000004</v>
      </c>
      <c r="E320" s="170">
        <v>4.4800000000000004</v>
      </c>
      <c r="F320" s="172">
        <v>2012</v>
      </c>
      <c r="G320" s="172"/>
      <c r="H320" s="172"/>
      <c r="I320" s="172"/>
      <c r="J320" s="172"/>
      <c r="K320" s="172"/>
      <c r="L320" s="172"/>
      <c r="M320" s="172"/>
      <c r="N320" s="175"/>
    </row>
    <row r="321" spans="1:14" ht="15" customHeight="1" x14ac:dyDescent="0.3">
      <c r="A321" s="167" t="s">
        <v>362</v>
      </c>
      <c r="B321" s="167" t="s">
        <v>29</v>
      </c>
      <c r="C321" s="168">
        <v>40955</v>
      </c>
      <c r="D321" s="170">
        <v>3.82</v>
      </c>
      <c r="E321" s="170">
        <v>4.1900000000000004</v>
      </c>
      <c r="F321" s="172">
        <v>2012</v>
      </c>
      <c r="G321" s="172"/>
      <c r="H321" s="172"/>
      <c r="I321" s="172"/>
      <c r="J321" s="172"/>
      <c r="K321" s="172"/>
      <c r="L321" s="172"/>
      <c r="M321" s="172"/>
      <c r="N321" s="175"/>
    </row>
    <row r="322" spans="1:14" ht="15" customHeight="1" x14ac:dyDescent="0.3">
      <c r="A322" s="167" t="s">
        <v>363</v>
      </c>
      <c r="B322" s="167" t="s">
        <v>29</v>
      </c>
      <c r="C322" s="168">
        <v>40973</v>
      </c>
      <c r="D322" s="170">
        <v>4.76</v>
      </c>
      <c r="E322" s="170">
        <v>4.54</v>
      </c>
      <c r="F322" s="172">
        <v>2012</v>
      </c>
      <c r="G322" s="172"/>
      <c r="H322" s="172"/>
      <c r="I322" s="172"/>
      <c r="J322" s="172"/>
      <c r="K322" s="172"/>
      <c r="L322" s="172"/>
      <c r="M322" s="172"/>
      <c r="N322" s="175"/>
    </row>
    <row r="323" spans="1:14" ht="15" customHeight="1" x14ac:dyDescent="0.3">
      <c r="A323" s="167" t="s">
        <v>364</v>
      </c>
      <c r="B323" s="167" t="s">
        <v>29</v>
      </c>
      <c r="C323" s="168">
        <v>40983</v>
      </c>
      <c r="D323" s="170">
        <v>6.45</v>
      </c>
      <c r="E323" s="170">
        <v>5.25</v>
      </c>
      <c r="F323" s="172">
        <v>2012</v>
      </c>
      <c r="G323" s="172"/>
      <c r="H323" s="172"/>
      <c r="I323" s="172"/>
      <c r="J323" s="172"/>
      <c r="K323" s="172"/>
      <c r="L323" s="172"/>
      <c r="M323" s="172"/>
      <c r="N323" s="175"/>
    </row>
    <row r="324" spans="1:14" ht="15" customHeight="1" x14ac:dyDescent="0.3">
      <c r="A324" s="167" t="s">
        <v>365</v>
      </c>
      <c r="B324" s="167" t="s">
        <v>29</v>
      </c>
      <c r="C324" s="168">
        <v>41004</v>
      </c>
      <c r="D324" s="170">
        <v>8.5500000000000007</v>
      </c>
      <c r="E324" s="170">
        <v>8.16</v>
      </c>
      <c r="F324" s="172">
        <v>2012</v>
      </c>
      <c r="G324" s="172"/>
      <c r="H324" s="172"/>
      <c r="I324" s="172"/>
      <c r="J324" s="172"/>
      <c r="K324" s="172"/>
      <c r="L324" s="172"/>
      <c r="M324" s="172"/>
      <c r="N324" s="175"/>
    </row>
    <row r="325" spans="1:14" ht="15" customHeight="1" x14ac:dyDescent="0.3">
      <c r="A325" s="167" t="s">
        <v>366</v>
      </c>
      <c r="B325" s="167" t="s">
        <v>29</v>
      </c>
      <c r="C325" s="168">
        <v>41031</v>
      </c>
      <c r="D325" s="170">
        <v>11.42</v>
      </c>
      <c r="E325" s="170">
        <v>10.119999999999999</v>
      </c>
      <c r="F325" s="172">
        <v>2012</v>
      </c>
      <c r="G325" s="172"/>
      <c r="H325" s="172"/>
      <c r="I325" s="172"/>
      <c r="J325" s="172"/>
      <c r="K325" s="172"/>
      <c r="L325" s="172"/>
      <c r="M325" s="172"/>
      <c r="N325" s="175"/>
    </row>
    <row r="326" spans="1:14" ht="15" customHeight="1" x14ac:dyDescent="0.3">
      <c r="A326" s="167" t="s">
        <v>367</v>
      </c>
      <c r="B326" s="167" t="s">
        <v>29</v>
      </c>
      <c r="C326" s="168">
        <v>41059</v>
      </c>
      <c r="D326" s="170">
        <v>19.170000000000002</v>
      </c>
      <c r="E326" s="170">
        <v>14.35</v>
      </c>
      <c r="F326" s="172">
        <v>2012</v>
      </c>
      <c r="G326" s="172"/>
      <c r="H326" s="172"/>
      <c r="I326" s="172"/>
      <c r="J326" s="172"/>
      <c r="K326" s="172"/>
      <c r="L326" s="172"/>
      <c r="M326" s="172"/>
      <c r="N326" s="175"/>
    </row>
    <row r="327" spans="1:14" ht="15" customHeight="1" x14ac:dyDescent="0.3">
      <c r="A327" s="167" t="s">
        <v>368</v>
      </c>
      <c r="B327" s="167" t="s">
        <v>29</v>
      </c>
      <c r="C327" s="168">
        <v>41072</v>
      </c>
      <c r="D327" s="170">
        <v>18.8</v>
      </c>
      <c r="E327" s="170">
        <v>16.02</v>
      </c>
      <c r="F327" s="172">
        <v>2012</v>
      </c>
      <c r="G327" s="172"/>
      <c r="H327" s="172"/>
      <c r="I327" s="172"/>
      <c r="J327" s="172"/>
      <c r="K327" s="172"/>
      <c r="L327" s="172"/>
      <c r="M327" s="172"/>
      <c r="N327" s="175"/>
    </row>
    <row r="328" spans="1:14" ht="15" customHeight="1" x14ac:dyDescent="0.3">
      <c r="A328" s="167" t="s">
        <v>369</v>
      </c>
      <c r="B328" s="167" t="s">
        <v>29</v>
      </c>
      <c r="C328" s="168">
        <v>41087</v>
      </c>
      <c r="D328" s="170">
        <v>20.11</v>
      </c>
      <c r="E328" s="170">
        <v>17.2</v>
      </c>
      <c r="F328" s="172">
        <v>2012</v>
      </c>
      <c r="G328" s="172"/>
      <c r="H328" s="172"/>
      <c r="I328" s="172"/>
      <c r="J328" s="172"/>
      <c r="K328" s="172"/>
      <c r="L328" s="172"/>
      <c r="M328" s="172"/>
      <c r="N328" s="175"/>
    </row>
    <row r="329" spans="1:14" ht="15" customHeight="1" x14ac:dyDescent="0.3">
      <c r="A329" s="167" t="s">
        <v>370</v>
      </c>
      <c r="B329" s="167" t="s">
        <v>29</v>
      </c>
      <c r="C329" s="168">
        <v>41106</v>
      </c>
      <c r="D329" s="170">
        <v>22.98</v>
      </c>
      <c r="E329" s="170">
        <v>18.579999999999998</v>
      </c>
      <c r="F329" s="172">
        <v>2012</v>
      </c>
      <c r="G329" s="172"/>
      <c r="H329" s="172"/>
      <c r="I329" s="172"/>
      <c r="J329" s="172"/>
      <c r="K329" s="172"/>
      <c r="L329" s="172"/>
      <c r="M329" s="172"/>
      <c r="N329" s="175"/>
    </row>
    <row r="330" spans="1:14" ht="15" customHeight="1" x14ac:dyDescent="0.3">
      <c r="A330" s="167" t="s">
        <v>371</v>
      </c>
      <c r="B330" s="167" t="s">
        <v>29</v>
      </c>
      <c r="C330" s="168">
        <v>41122</v>
      </c>
      <c r="D330" s="170">
        <v>23.62</v>
      </c>
      <c r="E330" s="170">
        <v>21.59</v>
      </c>
      <c r="F330" s="172">
        <v>2012</v>
      </c>
      <c r="G330" s="172"/>
      <c r="H330" s="172"/>
      <c r="I330" s="172"/>
      <c r="J330" s="172"/>
      <c r="K330" s="172"/>
      <c r="L330" s="172"/>
      <c r="M330" s="172"/>
      <c r="N330" s="175"/>
    </row>
    <row r="331" spans="1:14" ht="15" customHeight="1" x14ac:dyDescent="0.3">
      <c r="A331" s="167" t="s">
        <v>372</v>
      </c>
      <c r="B331" s="167" t="s">
        <v>29</v>
      </c>
      <c r="C331" s="168">
        <v>41137</v>
      </c>
      <c r="D331" s="170">
        <v>24.42</v>
      </c>
      <c r="E331" s="170">
        <v>21.85</v>
      </c>
      <c r="F331" s="172">
        <v>2012</v>
      </c>
      <c r="G331" s="172"/>
      <c r="H331" s="172"/>
      <c r="I331" s="172"/>
      <c r="J331" s="172"/>
      <c r="K331" s="172"/>
      <c r="L331" s="172"/>
      <c r="M331" s="172"/>
      <c r="N331" s="175"/>
    </row>
    <row r="332" spans="1:14" ht="15" customHeight="1" x14ac:dyDescent="0.3">
      <c r="A332" s="167" t="s">
        <v>373</v>
      </c>
      <c r="B332" s="167" t="s">
        <v>29</v>
      </c>
      <c r="C332" s="168">
        <v>41150</v>
      </c>
      <c r="D332" s="170">
        <v>24.07</v>
      </c>
      <c r="E332" s="170">
        <v>23.83</v>
      </c>
      <c r="F332" s="172">
        <v>2012</v>
      </c>
      <c r="G332" s="172"/>
      <c r="H332" s="172"/>
      <c r="I332" s="172"/>
      <c r="J332" s="172"/>
      <c r="K332" s="172"/>
      <c r="L332" s="172"/>
      <c r="M332" s="172"/>
      <c r="N332" s="175"/>
    </row>
    <row r="333" spans="1:14" ht="15" customHeight="1" x14ac:dyDescent="0.3">
      <c r="A333" s="167" t="s">
        <v>374</v>
      </c>
      <c r="B333" s="167" t="s">
        <v>29</v>
      </c>
      <c r="C333" s="168">
        <v>41169</v>
      </c>
      <c r="D333" s="170">
        <v>23.17</v>
      </c>
      <c r="E333" s="170">
        <v>22.82</v>
      </c>
      <c r="F333" s="172">
        <v>2012</v>
      </c>
      <c r="G333" s="172"/>
      <c r="H333" s="172"/>
      <c r="I333" s="172"/>
      <c r="J333" s="172"/>
      <c r="K333" s="172"/>
      <c r="L333" s="172"/>
      <c r="M333" s="172"/>
      <c r="N333" s="175"/>
    </row>
    <row r="334" spans="1:14" ht="15" customHeight="1" x14ac:dyDescent="0.3">
      <c r="A334" s="167" t="s">
        <v>375</v>
      </c>
      <c r="B334" s="167" t="s">
        <v>29</v>
      </c>
      <c r="C334" s="168">
        <v>41185</v>
      </c>
      <c r="D334" s="170">
        <v>20.43</v>
      </c>
      <c r="E334" s="170">
        <v>20.63</v>
      </c>
      <c r="F334" s="172">
        <v>2012</v>
      </c>
      <c r="G334" s="172"/>
      <c r="H334" s="172"/>
      <c r="I334" s="172"/>
      <c r="J334" s="172"/>
      <c r="K334" s="172"/>
      <c r="L334" s="172"/>
      <c r="M334" s="172"/>
      <c r="N334" s="175"/>
    </row>
    <row r="335" spans="1:14" ht="15" customHeight="1" x14ac:dyDescent="0.3">
      <c r="A335" s="167" t="s">
        <v>376</v>
      </c>
      <c r="B335" s="167" t="s">
        <v>29</v>
      </c>
      <c r="C335" s="168">
        <v>41227</v>
      </c>
      <c r="D335" s="170">
        <v>11.21</v>
      </c>
      <c r="E335" s="170">
        <v>11.62</v>
      </c>
      <c r="F335" s="172">
        <v>2012</v>
      </c>
      <c r="G335" s="172"/>
      <c r="H335" s="172"/>
      <c r="I335" s="172"/>
      <c r="J335" s="172"/>
      <c r="K335" s="172"/>
      <c r="L335" s="172"/>
      <c r="M335" s="172"/>
      <c r="N335" s="175"/>
    </row>
    <row r="336" spans="1:14" ht="15" customHeight="1" x14ac:dyDescent="0.3">
      <c r="A336" s="167" t="s">
        <v>377</v>
      </c>
      <c r="B336" s="167" t="s">
        <v>29</v>
      </c>
      <c r="C336" s="168">
        <v>41247</v>
      </c>
      <c r="D336" s="170">
        <v>8.0399999999999991</v>
      </c>
      <c r="E336" s="170">
        <v>8.5500000000000007</v>
      </c>
      <c r="F336" s="172">
        <v>2012</v>
      </c>
      <c r="G336" s="172"/>
      <c r="H336" s="172"/>
      <c r="I336" s="172"/>
      <c r="J336" s="172"/>
      <c r="K336" s="172"/>
      <c r="L336" s="172"/>
      <c r="M336" s="172"/>
      <c r="N336" s="175"/>
    </row>
    <row r="337" spans="1:14" ht="15" customHeight="1" x14ac:dyDescent="0.3">
      <c r="A337" s="167" t="s">
        <v>378</v>
      </c>
      <c r="B337" s="167" t="s">
        <v>29</v>
      </c>
      <c r="C337" s="168">
        <v>41284</v>
      </c>
      <c r="D337" s="170">
        <v>4.62</v>
      </c>
      <c r="E337" s="170">
        <v>4.68</v>
      </c>
      <c r="F337" s="172">
        <v>2013</v>
      </c>
      <c r="G337" s="172"/>
      <c r="H337" s="172"/>
      <c r="I337" s="172"/>
      <c r="J337" s="172"/>
      <c r="K337" s="172"/>
      <c r="L337" s="172"/>
      <c r="M337" s="172"/>
      <c r="N337" s="175"/>
    </row>
    <row r="338" spans="1:14" ht="15" customHeight="1" x14ac:dyDescent="0.3">
      <c r="A338" s="167" t="s">
        <v>379</v>
      </c>
      <c r="B338" s="167" t="s">
        <v>29</v>
      </c>
      <c r="C338" s="168">
        <v>41304</v>
      </c>
      <c r="D338" s="170">
        <v>2.4</v>
      </c>
      <c r="E338" s="170">
        <v>2.87</v>
      </c>
      <c r="F338" s="172">
        <v>2013</v>
      </c>
      <c r="G338" s="172"/>
      <c r="H338" s="172"/>
      <c r="I338" s="172"/>
      <c r="J338" s="172"/>
      <c r="K338" s="172"/>
      <c r="L338" s="172"/>
      <c r="M338" s="172"/>
      <c r="N338" s="175"/>
    </row>
    <row r="339" spans="1:14" ht="15" customHeight="1" x14ac:dyDescent="0.3">
      <c r="A339" s="167" t="s">
        <v>380</v>
      </c>
      <c r="B339" s="167" t="s">
        <v>29</v>
      </c>
      <c r="C339" s="168">
        <v>41319</v>
      </c>
      <c r="D339" s="170">
        <v>1.87</v>
      </c>
      <c r="E339" s="170">
        <v>1.92</v>
      </c>
      <c r="F339" s="172">
        <v>2013</v>
      </c>
      <c r="G339" s="172"/>
      <c r="H339" s="172"/>
      <c r="I339" s="172"/>
      <c r="J339" s="172"/>
      <c r="K339" s="172"/>
      <c r="L339" s="172"/>
      <c r="M339" s="172"/>
      <c r="N339" s="175"/>
    </row>
    <row r="340" spans="1:14" ht="15" customHeight="1" x14ac:dyDescent="0.3">
      <c r="A340" s="167" t="s">
        <v>381</v>
      </c>
      <c r="B340" s="167" t="s">
        <v>29</v>
      </c>
      <c r="C340" s="168">
        <v>41344</v>
      </c>
      <c r="D340" s="170">
        <v>3.11</v>
      </c>
      <c r="E340" s="170">
        <v>2.79</v>
      </c>
      <c r="F340" s="172">
        <v>2013</v>
      </c>
      <c r="G340" s="172"/>
      <c r="H340" s="172"/>
      <c r="I340" s="172"/>
      <c r="J340" s="172"/>
      <c r="K340" s="172"/>
      <c r="L340" s="172"/>
      <c r="M340" s="172"/>
      <c r="N340" s="175"/>
    </row>
    <row r="341" spans="1:14" ht="15" customHeight="1" x14ac:dyDescent="0.3">
      <c r="A341" s="167" t="s">
        <v>382</v>
      </c>
      <c r="B341" s="167" t="s">
        <v>29</v>
      </c>
      <c r="C341" s="168">
        <v>41368</v>
      </c>
      <c r="D341" s="170">
        <v>5.0999999999999996</v>
      </c>
      <c r="E341" s="170">
        <v>4.21</v>
      </c>
      <c r="F341" s="172">
        <v>2013</v>
      </c>
      <c r="G341" s="172"/>
      <c r="H341" s="172"/>
      <c r="I341" s="172"/>
      <c r="J341" s="172"/>
      <c r="K341" s="172"/>
      <c r="L341" s="172"/>
      <c r="M341" s="172"/>
      <c r="N341" s="175"/>
    </row>
    <row r="342" spans="1:14" ht="15" customHeight="1" x14ac:dyDescent="0.3">
      <c r="A342" s="167" t="s">
        <v>383</v>
      </c>
      <c r="B342" s="167" t="s">
        <v>29</v>
      </c>
      <c r="C342" s="168">
        <v>41395</v>
      </c>
      <c r="D342" s="170">
        <v>10.84</v>
      </c>
      <c r="E342" s="170">
        <v>8.9700000000000006</v>
      </c>
      <c r="F342" s="172">
        <v>2013</v>
      </c>
      <c r="G342" s="172"/>
      <c r="H342" s="172"/>
      <c r="I342" s="172"/>
      <c r="J342" s="172"/>
      <c r="K342" s="172"/>
      <c r="L342" s="172"/>
      <c r="M342" s="172"/>
      <c r="N342" s="175"/>
    </row>
    <row r="343" spans="1:14" ht="15" customHeight="1" x14ac:dyDescent="0.3">
      <c r="A343" s="167" t="s">
        <v>384</v>
      </c>
      <c r="B343" s="167" t="s">
        <v>29</v>
      </c>
      <c r="C343" s="168">
        <v>41430</v>
      </c>
      <c r="D343" s="170">
        <v>17.149999999999999</v>
      </c>
      <c r="E343" s="170">
        <v>12.53</v>
      </c>
      <c r="F343" s="172">
        <v>2013</v>
      </c>
      <c r="G343" s="172"/>
      <c r="H343" s="172"/>
      <c r="I343" s="172"/>
      <c r="J343" s="172"/>
      <c r="K343" s="172"/>
      <c r="L343" s="172"/>
      <c r="M343" s="172"/>
      <c r="N343" s="175"/>
    </row>
    <row r="344" spans="1:14" ht="15" customHeight="1" x14ac:dyDescent="0.3">
      <c r="A344" s="167" t="s">
        <v>385</v>
      </c>
      <c r="B344" s="167" t="s">
        <v>29</v>
      </c>
      <c r="C344" s="168">
        <v>41446</v>
      </c>
      <c r="D344" s="170">
        <v>19.93</v>
      </c>
      <c r="E344" s="170">
        <v>16.079999999999998</v>
      </c>
      <c r="F344" s="172">
        <v>2013</v>
      </c>
      <c r="G344" s="172"/>
      <c r="H344" s="172"/>
      <c r="I344" s="172"/>
      <c r="J344" s="172"/>
      <c r="K344" s="172"/>
      <c r="L344" s="172"/>
      <c r="M344" s="172"/>
      <c r="N344" s="175"/>
    </row>
    <row r="345" spans="1:14" ht="15" customHeight="1" x14ac:dyDescent="0.3">
      <c r="A345" s="167" t="s">
        <v>386</v>
      </c>
      <c r="B345" s="167" t="s">
        <v>29</v>
      </c>
      <c r="C345" s="168">
        <v>41457</v>
      </c>
      <c r="D345" s="170">
        <v>21.23</v>
      </c>
      <c r="E345" s="170">
        <v>16.440000000000001</v>
      </c>
      <c r="F345" s="172">
        <v>2013</v>
      </c>
      <c r="G345" s="172"/>
      <c r="H345" s="172"/>
      <c r="I345" s="172"/>
      <c r="J345" s="172"/>
      <c r="K345" s="172"/>
      <c r="L345" s="172"/>
      <c r="M345" s="172"/>
      <c r="N345" s="175"/>
    </row>
    <row r="346" spans="1:14" ht="15" customHeight="1" x14ac:dyDescent="0.3">
      <c r="A346" s="167" t="s">
        <v>387</v>
      </c>
      <c r="B346" s="167" t="s">
        <v>29</v>
      </c>
      <c r="C346" s="168">
        <v>41470</v>
      </c>
      <c r="D346" s="170">
        <v>23</v>
      </c>
      <c r="E346" s="170">
        <v>19.14</v>
      </c>
      <c r="F346" s="172">
        <v>2013</v>
      </c>
      <c r="G346" s="172"/>
      <c r="H346" s="172"/>
      <c r="I346" s="172"/>
      <c r="J346" s="172"/>
      <c r="K346" s="172"/>
      <c r="L346" s="172"/>
      <c r="M346" s="172"/>
      <c r="N346" s="175"/>
    </row>
    <row r="347" spans="1:14" ht="15" customHeight="1" x14ac:dyDescent="0.3">
      <c r="A347" s="167" t="s">
        <v>388</v>
      </c>
      <c r="B347" s="167" t="s">
        <v>29</v>
      </c>
      <c r="C347" s="168">
        <v>41486</v>
      </c>
      <c r="D347" s="170">
        <v>23.22</v>
      </c>
      <c r="E347" s="170">
        <v>20.94</v>
      </c>
      <c r="F347" s="172">
        <v>2013</v>
      </c>
      <c r="G347" s="172"/>
      <c r="H347" s="172"/>
      <c r="I347" s="172"/>
      <c r="J347" s="172"/>
      <c r="K347" s="172"/>
      <c r="L347" s="172"/>
      <c r="M347" s="172"/>
      <c r="N347" s="175"/>
    </row>
    <row r="348" spans="1:14" ht="15" customHeight="1" x14ac:dyDescent="0.3">
      <c r="A348" s="167" t="s">
        <v>389</v>
      </c>
      <c r="B348" s="167" t="s">
        <v>29</v>
      </c>
      <c r="C348" s="168">
        <v>41498</v>
      </c>
      <c r="D348" s="170">
        <v>22.64</v>
      </c>
      <c r="E348" s="170">
        <v>20.75</v>
      </c>
      <c r="F348" s="172">
        <v>2013</v>
      </c>
      <c r="G348" s="172"/>
      <c r="H348" s="172"/>
      <c r="I348" s="172"/>
      <c r="J348" s="172"/>
      <c r="K348" s="172"/>
      <c r="L348" s="172"/>
      <c r="M348" s="172"/>
      <c r="N348" s="175"/>
    </row>
    <row r="349" spans="1:14" ht="15" customHeight="1" x14ac:dyDescent="0.3">
      <c r="A349" s="167" t="s">
        <v>390</v>
      </c>
      <c r="B349" s="167" t="s">
        <v>29</v>
      </c>
      <c r="C349" s="168">
        <v>41514</v>
      </c>
      <c r="D349" s="170">
        <v>23.42</v>
      </c>
      <c r="E349" s="170">
        <v>21.85</v>
      </c>
      <c r="F349" s="172">
        <v>2013</v>
      </c>
      <c r="G349" s="172"/>
      <c r="H349" s="172"/>
      <c r="I349" s="172"/>
      <c r="J349" s="172"/>
      <c r="K349" s="172"/>
      <c r="L349" s="172"/>
      <c r="M349" s="172"/>
      <c r="N349" s="175"/>
    </row>
    <row r="350" spans="1:14" ht="15" customHeight="1" x14ac:dyDescent="0.3">
      <c r="A350" s="167" t="s">
        <v>391</v>
      </c>
      <c r="B350" s="167" t="s">
        <v>29</v>
      </c>
      <c r="C350" s="168">
        <v>41526</v>
      </c>
      <c r="D350" s="170">
        <v>22.06</v>
      </c>
      <c r="E350" s="170">
        <v>22.13</v>
      </c>
      <c r="F350" s="172">
        <v>2013</v>
      </c>
      <c r="G350" s="172"/>
      <c r="H350" s="172"/>
      <c r="I350" s="172"/>
      <c r="J350" s="172"/>
      <c r="K350" s="172"/>
      <c r="L350" s="172"/>
      <c r="M350" s="172"/>
      <c r="N350" s="175"/>
    </row>
    <row r="351" spans="1:14" ht="15" customHeight="1" x14ac:dyDescent="0.3">
      <c r="A351" s="167" t="s">
        <v>392</v>
      </c>
      <c r="B351" s="167" t="s">
        <v>29</v>
      </c>
      <c r="C351" s="168">
        <v>41549</v>
      </c>
      <c r="D351" s="170">
        <v>20.45</v>
      </c>
      <c r="E351" s="170">
        <v>20.09</v>
      </c>
      <c r="F351" s="172">
        <v>2013</v>
      </c>
      <c r="G351" s="172"/>
      <c r="H351" s="172"/>
      <c r="I351" s="172"/>
      <c r="J351" s="172"/>
      <c r="K351" s="172"/>
      <c r="L351" s="172"/>
      <c r="M351" s="172"/>
      <c r="N351" s="175"/>
    </row>
    <row r="352" spans="1:14" ht="15" customHeight="1" x14ac:dyDescent="0.3">
      <c r="A352" s="167" t="s">
        <v>393</v>
      </c>
      <c r="B352" s="167" t="s">
        <v>29</v>
      </c>
      <c r="C352" s="168">
        <v>41583</v>
      </c>
      <c r="D352" s="170">
        <v>14.32</v>
      </c>
      <c r="E352" s="170">
        <v>14.3</v>
      </c>
      <c r="F352" s="172">
        <v>2013</v>
      </c>
      <c r="G352" s="172"/>
      <c r="H352" s="172"/>
      <c r="I352" s="172"/>
      <c r="J352" s="172"/>
      <c r="K352" s="172"/>
      <c r="L352" s="172"/>
      <c r="M352" s="172"/>
      <c r="N352" s="175"/>
    </row>
    <row r="353" spans="1:14" ht="15" customHeight="1" x14ac:dyDescent="0.3">
      <c r="A353" s="167" t="s">
        <v>394</v>
      </c>
      <c r="B353" s="167" t="s">
        <v>29</v>
      </c>
      <c r="C353" s="168">
        <v>41611</v>
      </c>
      <c r="D353" s="170">
        <v>8.17</v>
      </c>
      <c r="E353" s="170">
        <v>8.6199999999999992</v>
      </c>
      <c r="F353" s="172">
        <v>2013</v>
      </c>
      <c r="G353" s="172"/>
      <c r="H353" s="172"/>
      <c r="I353" s="172"/>
      <c r="J353" s="172"/>
      <c r="K353" s="172"/>
      <c r="L353" s="172"/>
      <c r="M353" s="172"/>
      <c r="N353" s="175"/>
    </row>
    <row r="354" spans="1:14" ht="15" customHeight="1" x14ac:dyDescent="0.3">
      <c r="A354" s="167" t="s">
        <v>395</v>
      </c>
      <c r="B354" s="167" t="s">
        <v>29</v>
      </c>
      <c r="C354" s="168">
        <v>41648</v>
      </c>
      <c r="D354" s="170">
        <v>0.95</v>
      </c>
      <c r="E354" s="170">
        <v>1.7</v>
      </c>
      <c r="F354" s="172">
        <v>2014</v>
      </c>
      <c r="G354" s="172"/>
      <c r="H354" s="172"/>
      <c r="I354" s="172"/>
      <c r="J354" s="172"/>
      <c r="K354" s="172"/>
      <c r="L354" s="172"/>
      <c r="M354" s="172"/>
      <c r="N354" s="175"/>
    </row>
    <row r="355" spans="1:14" ht="15" customHeight="1" x14ac:dyDescent="0.3">
      <c r="A355" s="167" t="s">
        <v>396</v>
      </c>
      <c r="B355" s="167" t="s">
        <v>29</v>
      </c>
      <c r="C355" s="168">
        <v>41676</v>
      </c>
      <c r="D355" s="170">
        <v>0.13</v>
      </c>
      <c r="E355" s="170">
        <v>0.14000000000000001</v>
      </c>
      <c r="F355" s="172">
        <v>2014</v>
      </c>
      <c r="G355" s="172"/>
      <c r="H355" s="172"/>
      <c r="I355" s="172"/>
      <c r="J355" s="172"/>
      <c r="K355" s="172"/>
      <c r="L355" s="172"/>
      <c r="M355" s="172"/>
      <c r="N355" s="175"/>
    </row>
    <row r="356" spans="1:14" ht="15" customHeight="1" x14ac:dyDescent="0.3">
      <c r="A356" s="167" t="s">
        <v>397</v>
      </c>
      <c r="B356" s="167" t="s">
        <v>29</v>
      </c>
      <c r="C356" s="168">
        <v>41690</v>
      </c>
      <c r="D356" s="170">
        <v>-0.25</v>
      </c>
      <c r="E356" s="170">
        <v>-0.17</v>
      </c>
      <c r="F356" s="172">
        <v>2014</v>
      </c>
      <c r="G356" s="172"/>
      <c r="H356" s="172"/>
      <c r="I356" s="172"/>
      <c r="J356" s="172"/>
      <c r="K356" s="172"/>
      <c r="L356" s="172"/>
      <c r="M356" s="172"/>
      <c r="N356" s="175"/>
    </row>
    <row r="357" spans="1:14" ht="15" customHeight="1" x14ac:dyDescent="0.3">
      <c r="A357" s="167" t="s">
        <v>398</v>
      </c>
      <c r="B357" s="167" t="s">
        <v>29</v>
      </c>
      <c r="C357" s="168">
        <v>41703</v>
      </c>
      <c r="D357" s="170">
        <v>-0.12</v>
      </c>
      <c r="E357" s="170">
        <v>0.02</v>
      </c>
      <c r="F357" s="172">
        <v>2014</v>
      </c>
      <c r="G357" s="172"/>
      <c r="H357" s="172"/>
      <c r="I357" s="172"/>
      <c r="J357" s="172"/>
      <c r="K357" s="172"/>
      <c r="L357" s="172"/>
      <c r="M357" s="172"/>
      <c r="N357" s="175"/>
    </row>
    <row r="358" spans="1:14" ht="15" customHeight="1" x14ac:dyDescent="0.3">
      <c r="A358" s="167" t="s">
        <v>399</v>
      </c>
      <c r="B358" s="167" t="s">
        <v>29</v>
      </c>
      <c r="C358" s="168">
        <v>41731</v>
      </c>
      <c r="D358" s="170">
        <v>3.35</v>
      </c>
      <c r="E358" s="170">
        <v>2.74</v>
      </c>
      <c r="F358" s="172">
        <v>2014</v>
      </c>
      <c r="G358" s="172"/>
      <c r="H358" s="172"/>
      <c r="I358" s="172"/>
      <c r="J358" s="172"/>
      <c r="K358" s="172"/>
      <c r="L358" s="172"/>
      <c r="M358" s="172"/>
      <c r="N358" s="175"/>
    </row>
    <row r="359" spans="1:14" ht="15" customHeight="1" x14ac:dyDescent="0.3">
      <c r="A359" s="167" t="s">
        <v>400</v>
      </c>
      <c r="B359" s="167" t="s">
        <v>29</v>
      </c>
      <c r="C359" s="168">
        <v>41766</v>
      </c>
      <c r="D359" s="170">
        <v>10.07</v>
      </c>
      <c r="E359" s="170">
        <v>7.76</v>
      </c>
      <c r="F359" s="172">
        <v>2014</v>
      </c>
      <c r="G359" s="172"/>
      <c r="H359" s="172"/>
      <c r="I359" s="172"/>
      <c r="J359" s="172"/>
      <c r="K359" s="172"/>
      <c r="L359" s="172"/>
      <c r="M359" s="172"/>
      <c r="N359" s="175"/>
    </row>
    <row r="360" spans="1:14" ht="15" customHeight="1" x14ac:dyDescent="0.3">
      <c r="A360" s="167" t="s">
        <v>401</v>
      </c>
      <c r="B360" s="167" t="s">
        <v>29</v>
      </c>
      <c r="C360" s="168">
        <v>41793</v>
      </c>
      <c r="D360" s="170">
        <v>16.2</v>
      </c>
      <c r="E360" s="170">
        <v>12.77</v>
      </c>
      <c r="F360" s="172">
        <v>2014</v>
      </c>
      <c r="G360" s="172"/>
      <c r="H360" s="172"/>
      <c r="I360" s="172"/>
      <c r="J360" s="172"/>
      <c r="K360" s="172"/>
      <c r="L360" s="172"/>
      <c r="M360" s="172"/>
      <c r="N360" s="175"/>
    </row>
    <row r="361" spans="1:14" ht="15" customHeight="1" x14ac:dyDescent="0.3">
      <c r="A361" s="167" t="s">
        <v>402</v>
      </c>
      <c r="B361" s="167" t="s">
        <v>29</v>
      </c>
      <c r="C361" s="168">
        <v>41809</v>
      </c>
      <c r="D361" s="170">
        <v>19.47</v>
      </c>
      <c r="E361" s="170">
        <v>15.65</v>
      </c>
      <c r="F361" s="172">
        <v>2014</v>
      </c>
      <c r="G361" s="172"/>
      <c r="H361" s="172"/>
      <c r="I361" s="172"/>
      <c r="J361" s="172"/>
      <c r="K361" s="172"/>
      <c r="L361" s="172"/>
      <c r="M361" s="172"/>
      <c r="N361" s="175"/>
    </row>
    <row r="362" spans="1:14" ht="15" customHeight="1" x14ac:dyDescent="0.3">
      <c r="A362" s="167" t="s">
        <v>403</v>
      </c>
      <c r="B362" s="167" t="s">
        <v>29</v>
      </c>
      <c r="C362" s="168">
        <v>41822</v>
      </c>
      <c r="D362" s="170">
        <v>20.87</v>
      </c>
      <c r="E362" s="170">
        <v>14.95</v>
      </c>
      <c r="F362" s="172">
        <v>2014</v>
      </c>
      <c r="G362" s="172"/>
      <c r="H362" s="172"/>
      <c r="I362" s="172"/>
      <c r="J362" s="172"/>
      <c r="K362" s="172"/>
      <c r="L362" s="172"/>
      <c r="M362" s="172"/>
      <c r="N362" s="175"/>
    </row>
    <row r="363" spans="1:14" ht="15" customHeight="1" x14ac:dyDescent="0.3">
      <c r="A363" s="167" t="s">
        <v>404</v>
      </c>
      <c r="B363" s="167" t="s">
        <v>29</v>
      </c>
      <c r="C363" s="168">
        <v>41834</v>
      </c>
      <c r="D363" s="170">
        <v>20.37</v>
      </c>
      <c r="E363" s="170">
        <v>17.149999999999999</v>
      </c>
      <c r="F363" s="172">
        <v>2014</v>
      </c>
      <c r="G363" s="172"/>
      <c r="H363" s="172"/>
      <c r="I363" s="172"/>
      <c r="J363" s="172"/>
      <c r="K363" s="172"/>
      <c r="L363" s="172"/>
      <c r="M363" s="172"/>
      <c r="N363" s="175"/>
    </row>
    <row r="364" spans="1:14" ht="15" customHeight="1" x14ac:dyDescent="0.3">
      <c r="A364" s="167" t="s">
        <v>405</v>
      </c>
      <c r="B364" s="167" t="s">
        <v>29</v>
      </c>
      <c r="C364" s="168">
        <v>41857</v>
      </c>
      <c r="D364" s="170">
        <v>23.25</v>
      </c>
      <c r="E364" s="170">
        <v>20.55</v>
      </c>
      <c r="F364" s="172">
        <v>2014</v>
      </c>
      <c r="G364" s="172"/>
      <c r="H364" s="172"/>
      <c r="I364" s="172"/>
      <c r="J364" s="172"/>
      <c r="K364" s="172"/>
      <c r="L364" s="172"/>
      <c r="M364" s="172"/>
      <c r="N364" s="175"/>
    </row>
    <row r="365" spans="1:14" ht="15" customHeight="1" x14ac:dyDescent="0.3">
      <c r="A365" s="167" t="s">
        <v>406</v>
      </c>
      <c r="B365" s="167" t="s">
        <v>29</v>
      </c>
      <c r="C365" s="168">
        <v>41870</v>
      </c>
      <c r="D365" s="170">
        <v>22.75</v>
      </c>
      <c r="E365" s="170">
        <v>21.78</v>
      </c>
      <c r="F365" s="172">
        <v>2014</v>
      </c>
      <c r="G365" s="172"/>
      <c r="H365" s="172"/>
      <c r="I365" s="172"/>
      <c r="J365" s="172"/>
      <c r="K365" s="172"/>
      <c r="L365" s="172"/>
      <c r="M365" s="172"/>
      <c r="N365" s="175"/>
    </row>
    <row r="366" spans="1:14" ht="15" customHeight="1" x14ac:dyDescent="0.3">
      <c r="A366" s="167" t="s">
        <v>407</v>
      </c>
      <c r="B366" s="167" t="s">
        <v>29</v>
      </c>
      <c r="C366" s="168">
        <v>41884</v>
      </c>
      <c r="D366" s="170">
        <v>24.97</v>
      </c>
      <c r="E366" s="170">
        <v>22.48</v>
      </c>
      <c r="F366" s="172">
        <v>2014</v>
      </c>
      <c r="G366" s="172"/>
      <c r="H366" s="172"/>
      <c r="I366" s="172"/>
      <c r="J366" s="172"/>
      <c r="K366" s="172"/>
      <c r="L366" s="172"/>
      <c r="M366" s="172"/>
      <c r="N366" s="175"/>
    </row>
    <row r="367" spans="1:14" ht="15" customHeight="1" x14ac:dyDescent="0.3">
      <c r="A367" s="167" t="s">
        <v>408</v>
      </c>
      <c r="B367" s="167" t="s">
        <v>29</v>
      </c>
      <c r="C367" s="168">
        <v>41898</v>
      </c>
      <c r="D367" s="170">
        <v>21.77</v>
      </c>
      <c r="E367" s="170">
        <v>21.74</v>
      </c>
      <c r="F367" s="172">
        <v>2014</v>
      </c>
      <c r="G367" s="172"/>
      <c r="H367" s="172"/>
      <c r="I367" s="172"/>
      <c r="J367" s="172"/>
      <c r="K367" s="172"/>
      <c r="L367" s="172"/>
      <c r="M367" s="172"/>
      <c r="N367" s="175"/>
    </row>
    <row r="368" spans="1:14" ht="15" customHeight="1" x14ac:dyDescent="0.3">
      <c r="A368" s="167" t="s">
        <v>409</v>
      </c>
      <c r="B368" s="167" t="s">
        <v>29</v>
      </c>
      <c r="C368" s="168">
        <v>41913</v>
      </c>
      <c r="D368" s="170">
        <v>20.36</v>
      </c>
      <c r="E368" s="170">
        <v>20.38</v>
      </c>
      <c r="F368" s="172">
        <v>2014</v>
      </c>
      <c r="G368" s="172"/>
      <c r="H368" s="172"/>
      <c r="I368" s="172"/>
      <c r="J368" s="172"/>
      <c r="K368" s="172"/>
      <c r="L368" s="172"/>
      <c r="M368" s="172"/>
      <c r="N368" s="175"/>
    </row>
    <row r="369" spans="1:14" ht="15" customHeight="1" x14ac:dyDescent="0.3">
      <c r="A369" s="167" t="s">
        <v>410</v>
      </c>
      <c r="B369" s="167" t="s">
        <v>29</v>
      </c>
      <c r="C369" s="168">
        <v>41953</v>
      </c>
      <c r="D369" s="170">
        <v>12.72</v>
      </c>
      <c r="E369" s="170">
        <v>13.1</v>
      </c>
      <c r="F369" s="172">
        <v>2014</v>
      </c>
      <c r="G369" s="172"/>
      <c r="H369" s="172"/>
      <c r="I369" s="172"/>
      <c r="J369" s="172"/>
      <c r="K369" s="172"/>
      <c r="L369" s="172"/>
      <c r="M369" s="172"/>
      <c r="N369" s="175"/>
    </row>
    <row r="370" spans="1:14" ht="15" customHeight="1" x14ac:dyDescent="0.3">
      <c r="A370" s="167" t="s">
        <v>411</v>
      </c>
      <c r="B370" s="167" t="s">
        <v>29</v>
      </c>
      <c r="C370" s="168">
        <v>41983</v>
      </c>
      <c r="D370" s="170">
        <v>6.81</v>
      </c>
      <c r="E370" s="170">
        <v>6.91</v>
      </c>
      <c r="F370" s="172">
        <v>2014</v>
      </c>
      <c r="G370" s="172"/>
      <c r="H370" s="172"/>
      <c r="I370" s="172"/>
      <c r="J370" s="172"/>
      <c r="K370" s="172"/>
      <c r="L370" s="172"/>
      <c r="M370" s="172"/>
      <c r="N370" s="175"/>
    </row>
    <row r="371" spans="1:14" ht="15" customHeight="1" x14ac:dyDescent="0.3">
      <c r="A371" s="167" t="s">
        <v>412</v>
      </c>
      <c r="B371" s="167" t="s">
        <v>29</v>
      </c>
      <c r="C371" s="168">
        <v>42018</v>
      </c>
      <c r="D371" s="170">
        <v>2.11</v>
      </c>
      <c r="E371" s="170">
        <v>2.57</v>
      </c>
      <c r="F371" s="172">
        <v>2015</v>
      </c>
      <c r="G371" s="172"/>
      <c r="H371" s="172"/>
      <c r="I371" s="172"/>
      <c r="J371" s="172"/>
      <c r="K371" s="172"/>
      <c r="L371" s="172"/>
      <c r="M371" s="172"/>
      <c r="N371" s="175"/>
    </row>
    <row r="372" spans="1:14" ht="15" customHeight="1" x14ac:dyDescent="0.3">
      <c r="A372" s="167" t="s">
        <v>413</v>
      </c>
      <c r="B372" s="167" t="s">
        <v>29</v>
      </c>
      <c r="C372" s="168">
        <v>42045</v>
      </c>
      <c r="D372" s="170">
        <v>-0.28000000000000003</v>
      </c>
      <c r="E372" s="170">
        <v>-0.17</v>
      </c>
      <c r="F372" s="172">
        <v>2015</v>
      </c>
      <c r="G372" s="172"/>
      <c r="H372" s="172"/>
      <c r="I372" s="172"/>
      <c r="J372" s="172"/>
      <c r="K372" s="172"/>
      <c r="L372" s="172"/>
      <c r="M372" s="172"/>
      <c r="N372" s="175"/>
    </row>
    <row r="373" spans="1:14" ht="15" customHeight="1" x14ac:dyDescent="0.3">
      <c r="A373" s="167" t="s">
        <v>414</v>
      </c>
      <c r="B373" s="167" t="s">
        <v>29</v>
      </c>
      <c r="C373" s="168">
        <v>42073</v>
      </c>
      <c r="D373" s="170">
        <v>-0.6</v>
      </c>
      <c r="E373" s="170">
        <v>-0.61</v>
      </c>
      <c r="F373" s="172">
        <v>2015</v>
      </c>
      <c r="G373" s="172"/>
      <c r="H373" s="172"/>
      <c r="I373" s="172"/>
      <c r="J373" s="172"/>
      <c r="K373" s="172"/>
      <c r="L373" s="172"/>
      <c r="M373" s="172"/>
      <c r="N373" s="175"/>
    </row>
    <row r="374" spans="1:14" ht="15" customHeight="1" x14ac:dyDescent="0.3">
      <c r="A374" s="167" t="s">
        <v>415</v>
      </c>
      <c r="B374" s="167" t="s">
        <v>29</v>
      </c>
      <c r="C374" s="168">
        <v>42082</v>
      </c>
      <c r="D374" s="170">
        <v>0.39</v>
      </c>
      <c r="E374" s="170">
        <v>0.25</v>
      </c>
      <c r="F374" s="172">
        <v>2015</v>
      </c>
      <c r="G374" s="172"/>
      <c r="H374" s="172"/>
      <c r="I374" s="172"/>
      <c r="J374" s="172"/>
      <c r="K374" s="172"/>
      <c r="L374" s="172"/>
      <c r="M374" s="172"/>
      <c r="N374" s="175"/>
    </row>
    <row r="375" spans="1:14" ht="15" customHeight="1" x14ac:dyDescent="0.3">
      <c r="A375" s="167" t="s">
        <v>416</v>
      </c>
      <c r="B375" s="167" t="s">
        <v>29</v>
      </c>
      <c r="C375" s="168">
        <v>42095</v>
      </c>
      <c r="D375" s="170">
        <v>1.86</v>
      </c>
      <c r="E375" s="170">
        <v>1.31</v>
      </c>
      <c r="F375" s="172">
        <v>2015</v>
      </c>
      <c r="G375" s="172"/>
      <c r="H375" s="172"/>
      <c r="I375" s="172"/>
      <c r="J375" s="172"/>
      <c r="K375" s="172"/>
      <c r="L375" s="172"/>
      <c r="M375" s="172"/>
      <c r="N375" s="175"/>
    </row>
    <row r="376" spans="1:14" ht="15" customHeight="1" x14ac:dyDescent="0.3">
      <c r="A376" s="167" t="s">
        <v>417</v>
      </c>
      <c r="B376" s="167" t="s">
        <v>29</v>
      </c>
      <c r="C376" s="168">
        <v>42125</v>
      </c>
      <c r="D376" s="170">
        <v>8.66</v>
      </c>
      <c r="E376" s="170">
        <v>6.74</v>
      </c>
      <c r="F376" s="172">
        <v>2015</v>
      </c>
      <c r="G376" s="172"/>
      <c r="H376" s="172"/>
      <c r="I376" s="172"/>
      <c r="J376" s="172"/>
      <c r="K376" s="172"/>
      <c r="L376" s="172"/>
      <c r="M376" s="172"/>
      <c r="N376" s="175"/>
    </row>
    <row r="377" spans="1:14" ht="15" customHeight="1" x14ac:dyDescent="0.3">
      <c r="A377" s="167" t="s">
        <v>418</v>
      </c>
      <c r="B377" s="167" t="s">
        <v>29</v>
      </c>
      <c r="C377" s="168">
        <v>42153</v>
      </c>
      <c r="D377" s="170">
        <v>16.25</v>
      </c>
      <c r="E377" s="170">
        <v>9.82</v>
      </c>
      <c r="F377" s="172">
        <v>2015</v>
      </c>
      <c r="G377" s="172"/>
      <c r="H377" s="172"/>
      <c r="I377" s="172"/>
      <c r="J377" s="172"/>
      <c r="K377" s="172"/>
      <c r="L377" s="172"/>
      <c r="M377" s="172"/>
      <c r="N377" s="175"/>
    </row>
    <row r="378" spans="1:14" ht="15" customHeight="1" x14ac:dyDescent="0.3">
      <c r="A378" s="167" t="s">
        <v>420</v>
      </c>
      <c r="B378" s="167" t="s">
        <v>29</v>
      </c>
      <c r="C378" s="168">
        <v>42192</v>
      </c>
      <c r="D378" s="170">
        <v>22</v>
      </c>
      <c r="E378" s="170">
        <v>17.46</v>
      </c>
      <c r="F378" s="172">
        <v>2015</v>
      </c>
      <c r="G378" s="172"/>
      <c r="H378" s="172"/>
      <c r="I378" s="172"/>
      <c r="J378" s="172"/>
      <c r="K378" s="172"/>
      <c r="L378" s="172"/>
      <c r="M378" s="172"/>
      <c r="N378" s="175"/>
    </row>
    <row r="379" spans="1:14" ht="15" customHeight="1" x14ac:dyDescent="0.3">
      <c r="A379" s="167" t="s">
        <v>421</v>
      </c>
      <c r="B379" s="167" t="s">
        <v>29</v>
      </c>
      <c r="C379" s="168">
        <v>42205</v>
      </c>
      <c r="D379" s="170">
        <v>22.34</v>
      </c>
      <c r="E379" s="170">
        <v>19.350000000000001</v>
      </c>
      <c r="F379" s="172">
        <v>2015</v>
      </c>
      <c r="G379" s="172"/>
      <c r="H379" s="172"/>
      <c r="I379" s="172"/>
      <c r="J379" s="172"/>
      <c r="K379" s="172"/>
      <c r="L379" s="172"/>
      <c r="M379" s="172"/>
      <c r="N379" s="175"/>
    </row>
    <row r="380" spans="1:14" ht="15" customHeight="1" x14ac:dyDescent="0.3">
      <c r="A380" s="167" t="s">
        <v>422</v>
      </c>
      <c r="B380" s="167" t="s">
        <v>29</v>
      </c>
      <c r="C380" s="168">
        <v>42220</v>
      </c>
      <c r="D380" s="170">
        <v>21.7</v>
      </c>
      <c r="E380" s="170">
        <v>19.46</v>
      </c>
      <c r="F380" s="172">
        <v>2015</v>
      </c>
      <c r="G380" s="172"/>
      <c r="H380" s="172"/>
      <c r="I380" s="172"/>
      <c r="J380" s="172"/>
      <c r="K380" s="172"/>
      <c r="L380" s="172"/>
      <c r="M380" s="172"/>
      <c r="N380" s="175"/>
    </row>
    <row r="381" spans="1:14" ht="15" customHeight="1" x14ac:dyDescent="0.3">
      <c r="A381" s="167" t="s">
        <v>423</v>
      </c>
      <c r="B381" s="167" t="s">
        <v>29</v>
      </c>
      <c r="C381" s="168">
        <v>42233</v>
      </c>
      <c r="D381" s="170">
        <v>24</v>
      </c>
      <c r="E381" s="170">
        <v>21.17</v>
      </c>
      <c r="F381" s="172">
        <v>2015</v>
      </c>
      <c r="G381" s="172"/>
      <c r="H381" s="172"/>
      <c r="I381" s="172"/>
      <c r="J381" s="172"/>
      <c r="K381" s="172"/>
      <c r="L381" s="172"/>
      <c r="M381" s="172"/>
      <c r="N381" s="175"/>
    </row>
    <row r="382" spans="1:14" ht="15" customHeight="1" x14ac:dyDescent="0.3">
      <c r="A382" s="167" t="s">
        <v>424</v>
      </c>
      <c r="B382" s="167" t="s">
        <v>29</v>
      </c>
      <c r="C382" s="168">
        <v>42248</v>
      </c>
      <c r="D382" s="170">
        <v>24.59</v>
      </c>
      <c r="E382" s="170">
        <v>23.03</v>
      </c>
      <c r="F382" s="172">
        <v>2015</v>
      </c>
      <c r="G382" s="172"/>
      <c r="H382" s="172"/>
      <c r="I382" s="172"/>
      <c r="J382" s="172"/>
      <c r="K382" s="172"/>
      <c r="L382" s="172"/>
      <c r="M382" s="172"/>
      <c r="N382" s="175"/>
    </row>
    <row r="383" spans="1:14" ht="15" customHeight="1" x14ac:dyDescent="0.3">
      <c r="A383" s="167" t="s">
        <v>425</v>
      </c>
      <c r="B383" s="167" t="s">
        <v>29</v>
      </c>
      <c r="C383" s="168">
        <v>42263</v>
      </c>
      <c r="D383" s="170">
        <v>23.22</v>
      </c>
      <c r="E383" s="170">
        <v>23.19</v>
      </c>
      <c r="F383" s="172">
        <v>2015</v>
      </c>
      <c r="G383" s="172"/>
      <c r="H383" s="172"/>
      <c r="I383" s="172"/>
      <c r="J383" s="172"/>
      <c r="K383" s="172"/>
      <c r="L383" s="172"/>
      <c r="M383" s="172"/>
      <c r="N383" s="175"/>
    </row>
    <row r="384" spans="1:14" ht="15" customHeight="1" x14ac:dyDescent="0.3">
      <c r="A384" s="167" t="s">
        <v>426</v>
      </c>
      <c r="B384" s="167" t="s">
        <v>29</v>
      </c>
      <c r="C384" s="168">
        <v>42285</v>
      </c>
      <c r="D384" s="170">
        <v>18.75</v>
      </c>
      <c r="E384" s="170">
        <v>18.73</v>
      </c>
      <c r="F384" s="172">
        <v>2015</v>
      </c>
      <c r="G384" s="172"/>
      <c r="H384" s="172"/>
      <c r="I384" s="172"/>
      <c r="J384" s="172"/>
      <c r="K384" s="172"/>
      <c r="L384" s="172"/>
      <c r="M384" s="172"/>
      <c r="N384" s="175"/>
    </row>
    <row r="385" spans="1:14" ht="15" customHeight="1" x14ac:dyDescent="0.3">
      <c r="A385" s="167" t="s">
        <v>427</v>
      </c>
      <c r="B385" s="167" t="s">
        <v>29</v>
      </c>
      <c r="C385" s="168">
        <v>42317</v>
      </c>
      <c r="D385" s="170">
        <v>14.75</v>
      </c>
      <c r="E385" s="170">
        <v>15.01</v>
      </c>
      <c r="F385" s="172">
        <v>2015</v>
      </c>
      <c r="G385" s="172"/>
      <c r="H385" s="172"/>
      <c r="I385" s="172"/>
      <c r="J385" s="172"/>
      <c r="K385" s="172"/>
      <c r="L385" s="172"/>
      <c r="M385" s="172"/>
      <c r="N385" s="175"/>
    </row>
    <row r="386" spans="1:14" ht="15" customHeight="1" x14ac:dyDescent="0.3">
      <c r="A386" s="167" t="s">
        <v>428</v>
      </c>
      <c r="B386" s="167" t="s">
        <v>29</v>
      </c>
      <c r="C386" s="168">
        <v>42338</v>
      </c>
      <c r="D386" s="170">
        <v>10.97</v>
      </c>
      <c r="E386" s="170">
        <v>10.88</v>
      </c>
      <c r="F386" s="172">
        <v>2015</v>
      </c>
      <c r="G386" s="172"/>
      <c r="H386" s="172"/>
      <c r="I386" s="172"/>
      <c r="J386" s="172"/>
      <c r="K386" s="172"/>
      <c r="L386" s="172"/>
      <c r="M386" s="172"/>
      <c r="N386" s="175"/>
    </row>
    <row r="387" spans="1:14" ht="15" customHeight="1" x14ac:dyDescent="0.3">
      <c r="A387" s="167" t="s">
        <v>429</v>
      </c>
      <c r="B387" s="167" t="s">
        <v>29</v>
      </c>
      <c r="C387" s="168">
        <v>42381</v>
      </c>
      <c r="D387" s="170">
        <v>5.89</v>
      </c>
      <c r="E387" s="170">
        <v>6.57</v>
      </c>
      <c r="F387" s="172">
        <v>2016</v>
      </c>
      <c r="G387" s="172"/>
      <c r="H387" s="172"/>
      <c r="I387" s="172"/>
      <c r="J387" s="172"/>
      <c r="K387" s="172"/>
      <c r="L387" s="172"/>
      <c r="M387" s="172"/>
      <c r="N387" s="175"/>
    </row>
    <row r="388" spans="1:14" ht="15" customHeight="1" x14ac:dyDescent="0.3">
      <c r="A388" s="167" t="s">
        <v>430</v>
      </c>
      <c r="B388" s="167" t="s">
        <v>29</v>
      </c>
      <c r="C388" s="168">
        <v>42401</v>
      </c>
      <c r="D388" s="170">
        <v>3.24</v>
      </c>
      <c r="E388" s="170">
        <v>3.82</v>
      </c>
      <c r="F388" s="172">
        <v>2016</v>
      </c>
      <c r="G388" s="172"/>
      <c r="H388" s="172"/>
      <c r="I388" s="172"/>
      <c r="J388" s="172"/>
      <c r="K388" s="172"/>
      <c r="L388" s="172"/>
      <c r="M388" s="172"/>
      <c r="N388" s="175"/>
    </row>
    <row r="389" spans="1:14" ht="15" customHeight="1" x14ac:dyDescent="0.3">
      <c r="A389" s="167" t="s">
        <v>431</v>
      </c>
      <c r="B389" s="167" t="s">
        <v>29</v>
      </c>
      <c r="C389" s="168">
        <v>42417</v>
      </c>
      <c r="D389" s="170">
        <v>2.0499999999999998</v>
      </c>
      <c r="E389" s="170">
        <v>2.08</v>
      </c>
      <c r="F389" s="172">
        <v>2016</v>
      </c>
      <c r="G389" s="172"/>
      <c r="H389" s="172"/>
      <c r="I389" s="172"/>
      <c r="J389" s="172"/>
      <c r="K389" s="172"/>
      <c r="L389" s="172"/>
      <c r="M389" s="172"/>
      <c r="N389" s="175"/>
    </row>
    <row r="390" spans="1:14" ht="15" customHeight="1" x14ac:dyDescent="0.3">
      <c r="A390" s="167" t="s">
        <v>432</v>
      </c>
      <c r="B390" s="167" t="s">
        <v>29</v>
      </c>
      <c r="C390" s="168">
        <v>42437</v>
      </c>
      <c r="D390" s="169"/>
      <c r="E390" s="170">
        <v>3.59</v>
      </c>
      <c r="F390" s="172">
        <v>2016</v>
      </c>
      <c r="G390" s="172"/>
      <c r="H390" s="172"/>
      <c r="I390" s="172"/>
      <c r="J390" s="172"/>
      <c r="K390" s="172"/>
      <c r="L390" s="172"/>
      <c r="M390" s="172"/>
      <c r="N390" s="175"/>
    </row>
    <row r="391" spans="1:14" ht="15" customHeight="1" x14ac:dyDescent="0.3">
      <c r="A391" s="167" t="s">
        <v>433</v>
      </c>
      <c r="B391" s="167" t="s">
        <v>29</v>
      </c>
      <c r="C391" s="168">
        <v>42452</v>
      </c>
      <c r="D391" s="170">
        <v>6.13</v>
      </c>
      <c r="E391" s="170">
        <v>5.85</v>
      </c>
      <c r="F391" s="172">
        <v>2016</v>
      </c>
      <c r="G391" s="172"/>
      <c r="H391" s="172"/>
      <c r="I391" s="172"/>
      <c r="J391" s="172"/>
      <c r="K391" s="172"/>
      <c r="L391" s="172"/>
      <c r="M391" s="172"/>
      <c r="N391" s="175"/>
    </row>
    <row r="392" spans="1:14" ht="15" customHeight="1" x14ac:dyDescent="0.3">
      <c r="A392" s="167" t="s">
        <v>434</v>
      </c>
      <c r="B392" s="167" t="s">
        <v>29</v>
      </c>
      <c r="C392" s="168">
        <v>42464</v>
      </c>
      <c r="D392" s="170">
        <v>7.62</v>
      </c>
      <c r="E392" s="170">
        <v>6.6</v>
      </c>
      <c r="F392" s="172">
        <v>2016</v>
      </c>
      <c r="G392" s="172"/>
      <c r="H392" s="172"/>
      <c r="I392" s="172"/>
      <c r="J392" s="172"/>
      <c r="K392" s="172"/>
      <c r="L392" s="172"/>
      <c r="M392" s="172"/>
      <c r="N392" s="175"/>
    </row>
    <row r="393" spans="1:14" ht="15" customHeight="1" x14ac:dyDescent="0.3">
      <c r="A393" s="167" t="s">
        <v>435</v>
      </c>
      <c r="B393" s="167" t="s">
        <v>29</v>
      </c>
      <c r="C393" s="168">
        <v>42502</v>
      </c>
      <c r="D393" s="170">
        <v>13.8</v>
      </c>
      <c r="E393" s="170">
        <v>11.24</v>
      </c>
      <c r="F393" s="172">
        <v>2016</v>
      </c>
      <c r="G393" s="172"/>
      <c r="H393" s="172"/>
      <c r="I393" s="172"/>
      <c r="J393" s="172"/>
      <c r="K393" s="172"/>
      <c r="L393" s="172"/>
      <c r="M393" s="172"/>
      <c r="N393" s="175"/>
    </row>
    <row r="394" spans="1:14" ht="15" customHeight="1" x14ac:dyDescent="0.3">
      <c r="A394" s="167" t="s">
        <v>436</v>
      </c>
      <c r="B394" s="167" t="s">
        <v>29</v>
      </c>
      <c r="C394" s="168">
        <v>42531</v>
      </c>
      <c r="D394" s="170">
        <v>16.66</v>
      </c>
      <c r="E394" s="170">
        <v>14.56</v>
      </c>
      <c r="F394" s="172">
        <v>2016</v>
      </c>
      <c r="G394" s="172"/>
      <c r="H394" s="172"/>
      <c r="I394" s="172"/>
      <c r="J394" s="172"/>
      <c r="K394" s="172"/>
      <c r="L394" s="172"/>
      <c r="M394" s="172"/>
      <c r="N394" s="175"/>
    </row>
    <row r="395" spans="1:14" ht="15" customHeight="1" x14ac:dyDescent="0.3">
      <c r="A395" s="167" t="s">
        <v>437</v>
      </c>
      <c r="B395" s="167" t="s">
        <v>29</v>
      </c>
      <c r="C395" s="168">
        <v>42541</v>
      </c>
      <c r="D395" s="170">
        <v>18.87</v>
      </c>
      <c r="E395" s="170">
        <v>14.69</v>
      </c>
      <c r="F395" s="172">
        <v>2016</v>
      </c>
      <c r="G395" s="172"/>
      <c r="H395" s="172"/>
      <c r="I395" s="172"/>
      <c r="J395" s="172"/>
      <c r="K395" s="172"/>
      <c r="L395" s="172"/>
      <c r="M395" s="172"/>
      <c r="N395" s="175"/>
    </row>
    <row r="396" spans="1:14" ht="15" customHeight="1" x14ac:dyDescent="0.3">
      <c r="A396" s="167" t="s">
        <v>438</v>
      </c>
      <c r="B396" s="167" t="s">
        <v>29</v>
      </c>
      <c r="C396" s="168">
        <v>42557</v>
      </c>
      <c r="D396" s="169"/>
      <c r="E396" s="170">
        <v>17.47</v>
      </c>
      <c r="F396" s="172">
        <v>2016</v>
      </c>
      <c r="G396" s="172"/>
      <c r="H396" s="172"/>
      <c r="I396" s="172"/>
      <c r="J396" s="172"/>
      <c r="K396" s="172"/>
      <c r="L396" s="172"/>
      <c r="M396" s="172"/>
      <c r="N396" s="175"/>
    </row>
    <row r="397" spans="1:14" ht="15" customHeight="1" x14ac:dyDescent="0.3">
      <c r="A397" s="167" t="s">
        <v>439</v>
      </c>
      <c r="B397" s="167" t="s">
        <v>29</v>
      </c>
      <c r="C397" s="168">
        <v>42570</v>
      </c>
      <c r="D397" s="170">
        <v>22.05</v>
      </c>
      <c r="E397" s="169"/>
      <c r="F397" s="172">
        <v>2016</v>
      </c>
      <c r="G397" s="172"/>
      <c r="H397" s="172"/>
      <c r="I397" s="172"/>
      <c r="J397" s="172"/>
      <c r="K397" s="172"/>
      <c r="L397" s="172"/>
      <c r="M397" s="172"/>
      <c r="N397" s="175"/>
    </row>
    <row r="398" spans="1:14" ht="15" customHeight="1" x14ac:dyDescent="0.3">
      <c r="A398" s="167" t="s">
        <v>440</v>
      </c>
      <c r="B398" s="167" t="s">
        <v>29</v>
      </c>
      <c r="C398" s="168">
        <v>42585</v>
      </c>
      <c r="D398" s="170">
        <v>23.1</v>
      </c>
      <c r="E398" s="170">
        <v>22.25</v>
      </c>
      <c r="F398" s="172">
        <v>2016</v>
      </c>
      <c r="G398" s="172"/>
      <c r="H398" s="172"/>
      <c r="I398" s="172"/>
      <c r="J398" s="172"/>
      <c r="K398" s="172"/>
      <c r="L398" s="172"/>
      <c r="M398" s="172"/>
      <c r="N398" s="175"/>
    </row>
    <row r="399" spans="1:14" ht="15" customHeight="1" x14ac:dyDescent="0.3">
      <c r="A399" s="167" t="s">
        <v>441</v>
      </c>
      <c r="B399" s="167" t="s">
        <v>29</v>
      </c>
      <c r="C399" s="168">
        <v>42600</v>
      </c>
      <c r="D399" s="170">
        <v>24.59</v>
      </c>
      <c r="E399" s="170">
        <v>21.73</v>
      </c>
      <c r="F399" s="172">
        <v>2016</v>
      </c>
      <c r="G399" s="172"/>
      <c r="H399" s="172"/>
      <c r="I399" s="172"/>
      <c r="J399" s="172"/>
      <c r="K399" s="172"/>
      <c r="L399" s="172"/>
      <c r="M399" s="172"/>
      <c r="N399" s="175"/>
    </row>
    <row r="400" spans="1:14" ht="15" customHeight="1" x14ac:dyDescent="0.3">
      <c r="A400" s="167" t="s">
        <v>442</v>
      </c>
      <c r="B400" s="167" t="s">
        <v>29</v>
      </c>
      <c r="C400" s="168">
        <v>42612</v>
      </c>
      <c r="D400" s="170">
        <v>25.54</v>
      </c>
      <c r="E400" s="170">
        <v>23.22</v>
      </c>
      <c r="F400" s="172">
        <v>2016</v>
      </c>
      <c r="G400" s="172"/>
      <c r="H400" s="172"/>
      <c r="I400" s="172"/>
      <c r="J400" s="172"/>
      <c r="K400" s="172"/>
      <c r="L400" s="172"/>
      <c r="M400" s="172"/>
      <c r="N400" s="175"/>
    </row>
    <row r="401" spans="1:14" ht="15" customHeight="1" x14ac:dyDescent="0.3">
      <c r="A401" s="167" t="s">
        <v>443</v>
      </c>
      <c r="B401" s="167" t="s">
        <v>29</v>
      </c>
      <c r="C401" s="168">
        <v>42626</v>
      </c>
      <c r="D401" s="170">
        <v>23.98</v>
      </c>
      <c r="E401" s="170">
        <v>23.69</v>
      </c>
      <c r="F401" s="172">
        <v>2016</v>
      </c>
      <c r="G401" s="172"/>
      <c r="H401" s="172"/>
      <c r="I401" s="172"/>
      <c r="J401" s="172"/>
      <c r="K401" s="172"/>
      <c r="L401" s="172"/>
      <c r="M401" s="172"/>
      <c r="N401" s="175"/>
    </row>
    <row r="402" spans="1:14" ht="15" customHeight="1" x14ac:dyDescent="0.3">
      <c r="A402" s="167" t="s">
        <v>444</v>
      </c>
      <c r="B402" s="167" t="s">
        <v>29</v>
      </c>
      <c r="C402" s="168">
        <v>42648</v>
      </c>
      <c r="D402" s="170">
        <v>19.91</v>
      </c>
      <c r="E402" s="170">
        <v>19.760000000000002</v>
      </c>
      <c r="F402" s="172">
        <v>2016</v>
      </c>
      <c r="G402" s="172"/>
      <c r="H402" s="172"/>
      <c r="I402" s="172"/>
      <c r="J402" s="172"/>
      <c r="K402" s="172"/>
      <c r="L402" s="172"/>
      <c r="M402" s="172"/>
      <c r="N402" s="175"/>
    </row>
    <row r="403" spans="1:14" ht="15" customHeight="1" x14ac:dyDescent="0.3">
      <c r="A403" s="167" t="s">
        <v>445</v>
      </c>
      <c r="B403" s="167" t="s">
        <v>29</v>
      </c>
      <c r="C403" s="168">
        <v>42683</v>
      </c>
      <c r="D403" s="170">
        <v>13.99</v>
      </c>
      <c r="E403" s="170">
        <v>14.34</v>
      </c>
      <c r="F403" s="172">
        <v>2016</v>
      </c>
      <c r="G403" s="172"/>
      <c r="H403" s="172"/>
      <c r="I403" s="172"/>
      <c r="J403" s="172"/>
      <c r="K403" s="172"/>
      <c r="L403" s="172"/>
      <c r="M403" s="172"/>
      <c r="N403" s="175"/>
    </row>
    <row r="404" spans="1:14" ht="15" customHeight="1" x14ac:dyDescent="0.3">
      <c r="A404" s="167" t="s">
        <v>446</v>
      </c>
      <c r="B404" s="167" t="s">
        <v>29</v>
      </c>
      <c r="C404" s="168">
        <v>42709</v>
      </c>
      <c r="D404" s="170">
        <v>9.3699999999999992</v>
      </c>
      <c r="E404" s="170">
        <v>10.16</v>
      </c>
      <c r="F404" s="172">
        <v>2016</v>
      </c>
      <c r="G404" s="172"/>
      <c r="H404" s="172"/>
      <c r="I404" s="172"/>
      <c r="J404" s="172"/>
      <c r="K404" s="172"/>
      <c r="L404" s="172"/>
      <c r="M404" s="172"/>
      <c r="N404" s="175"/>
    </row>
    <row r="405" spans="1:14" ht="15" customHeight="1" x14ac:dyDescent="0.3">
      <c r="A405" s="167" t="s">
        <v>447</v>
      </c>
      <c r="B405" s="167" t="s">
        <v>29</v>
      </c>
      <c r="C405" s="168">
        <v>42745</v>
      </c>
      <c r="D405" s="170">
        <v>2.72</v>
      </c>
      <c r="E405" s="170">
        <v>3.57</v>
      </c>
      <c r="F405" s="172">
        <v>2017</v>
      </c>
      <c r="G405" s="172"/>
      <c r="H405" s="172"/>
      <c r="I405" s="172"/>
      <c r="J405" s="172"/>
      <c r="K405" s="172"/>
      <c r="L405" s="172"/>
      <c r="M405" s="172"/>
      <c r="N405" s="175"/>
    </row>
    <row r="406" spans="1:14" ht="15" customHeight="1" x14ac:dyDescent="0.3">
      <c r="A406" s="167" t="s">
        <v>448</v>
      </c>
      <c r="B406" s="167" t="s">
        <v>29</v>
      </c>
      <c r="C406" s="168">
        <v>42774</v>
      </c>
      <c r="D406" s="170">
        <v>3.28</v>
      </c>
      <c r="E406" s="170">
        <v>3.26</v>
      </c>
      <c r="F406" s="172">
        <v>2017</v>
      </c>
      <c r="G406" s="172"/>
      <c r="H406" s="172"/>
      <c r="I406" s="172"/>
      <c r="J406" s="172"/>
      <c r="K406" s="172"/>
      <c r="L406" s="172"/>
      <c r="M406" s="172"/>
      <c r="N406" s="175"/>
    </row>
    <row r="407" spans="1:14" ht="15" customHeight="1" x14ac:dyDescent="0.3">
      <c r="A407" s="167" t="s">
        <v>449</v>
      </c>
      <c r="B407" s="167" t="s">
        <v>29</v>
      </c>
      <c r="C407" s="168">
        <v>42787</v>
      </c>
      <c r="D407" s="170">
        <v>3.17</v>
      </c>
      <c r="E407" s="170">
        <v>3.44</v>
      </c>
      <c r="F407" s="172">
        <v>2017</v>
      </c>
      <c r="G407" s="172"/>
      <c r="H407" s="172"/>
      <c r="I407" s="172"/>
      <c r="J407" s="172"/>
      <c r="K407" s="172"/>
      <c r="L407" s="172"/>
      <c r="M407" s="172"/>
      <c r="N407" s="175"/>
    </row>
    <row r="408" spans="1:14" ht="15" customHeight="1" x14ac:dyDescent="0.3">
      <c r="A408" s="167" t="s">
        <v>450</v>
      </c>
      <c r="B408" s="167" t="s">
        <v>29</v>
      </c>
      <c r="C408" s="168">
        <v>42801</v>
      </c>
      <c r="D408" s="170">
        <v>3.63</v>
      </c>
      <c r="E408" s="170">
        <v>3.3</v>
      </c>
      <c r="F408" s="172">
        <v>2017</v>
      </c>
      <c r="G408" s="172"/>
      <c r="H408" s="172"/>
      <c r="I408" s="172"/>
      <c r="J408" s="172"/>
      <c r="K408" s="172"/>
      <c r="L408" s="172"/>
      <c r="M408" s="172"/>
      <c r="N408" s="175"/>
    </row>
    <row r="409" spans="1:14" ht="15" customHeight="1" x14ac:dyDescent="0.3">
      <c r="A409" s="167" t="s">
        <v>451</v>
      </c>
      <c r="B409" s="167" t="s">
        <v>29</v>
      </c>
      <c r="C409" s="168">
        <v>42829</v>
      </c>
      <c r="D409" s="170">
        <v>5.44</v>
      </c>
      <c r="E409" s="170">
        <v>4.18</v>
      </c>
      <c r="F409" s="172">
        <v>2017</v>
      </c>
      <c r="G409" s="172"/>
      <c r="H409" s="172"/>
      <c r="I409" s="172"/>
      <c r="J409" s="172"/>
      <c r="K409" s="172"/>
      <c r="L409" s="172"/>
      <c r="M409" s="172"/>
      <c r="N409" s="175"/>
    </row>
    <row r="410" spans="1:14" ht="15" customHeight="1" x14ac:dyDescent="0.3">
      <c r="A410" s="167" t="s">
        <v>452</v>
      </c>
      <c r="B410" s="167" t="s">
        <v>29</v>
      </c>
      <c r="C410" s="168">
        <v>42858</v>
      </c>
      <c r="D410" s="170">
        <v>12.06</v>
      </c>
      <c r="E410" s="170">
        <v>11.86</v>
      </c>
      <c r="F410" s="172">
        <v>2017</v>
      </c>
      <c r="G410" s="172"/>
      <c r="H410" s="172"/>
      <c r="I410" s="172"/>
      <c r="J410" s="172"/>
      <c r="K410" s="172"/>
      <c r="L410" s="172"/>
      <c r="M410" s="172"/>
      <c r="N410" s="175"/>
    </row>
    <row r="411" spans="1:14" ht="15" customHeight="1" x14ac:dyDescent="0.3">
      <c r="A411" s="167" t="s">
        <v>453</v>
      </c>
      <c r="B411" s="167" t="s">
        <v>29</v>
      </c>
      <c r="C411" s="168">
        <v>42893</v>
      </c>
      <c r="D411" s="170">
        <v>15.43</v>
      </c>
      <c r="E411" s="170">
        <v>14.73</v>
      </c>
      <c r="F411" s="172">
        <v>2017</v>
      </c>
      <c r="G411" s="172"/>
      <c r="H411" s="172"/>
      <c r="I411" s="172"/>
      <c r="J411" s="172"/>
      <c r="K411" s="172"/>
      <c r="L411" s="172"/>
      <c r="M411" s="172"/>
      <c r="N411" s="175"/>
    </row>
    <row r="412" spans="1:14" ht="15" customHeight="1" x14ac:dyDescent="0.3">
      <c r="A412" s="167" t="s">
        <v>454</v>
      </c>
      <c r="B412" s="167" t="s">
        <v>29</v>
      </c>
      <c r="C412" s="168">
        <v>42907</v>
      </c>
      <c r="D412" s="170">
        <v>19.45</v>
      </c>
      <c r="E412" s="170">
        <v>14.46</v>
      </c>
      <c r="F412" s="172">
        <v>2017</v>
      </c>
      <c r="G412" s="172"/>
      <c r="H412" s="172"/>
      <c r="I412" s="172"/>
      <c r="J412" s="172"/>
      <c r="K412" s="172"/>
      <c r="L412" s="172"/>
      <c r="M412" s="172"/>
      <c r="N412" s="175"/>
    </row>
    <row r="413" spans="1:14" ht="15" customHeight="1" x14ac:dyDescent="0.3">
      <c r="A413" s="167" t="s">
        <v>455</v>
      </c>
      <c r="B413" s="167" t="s">
        <v>29</v>
      </c>
      <c r="C413" s="168">
        <v>42922</v>
      </c>
      <c r="D413" s="170">
        <v>20.25</v>
      </c>
      <c r="E413" s="170">
        <v>15.69</v>
      </c>
      <c r="F413" s="172">
        <v>2017</v>
      </c>
      <c r="G413" s="172"/>
      <c r="H413" s="172"/>
      <c r="I413" s="172"/>
      <c r="J413" s="172"/>
      <c r="K413" s="172"/>
      <c r="L413" s="172"/>
      <c r="M413" s="172"/>
      <c r="N413" s="175"/>
    </row>
    <row r="414" spans="1:14" ht="15" customHeight="1" x14ac:dyDescent="0.3">
      <c r="A414" s="167" t="s">
        <v>456</v>
      </c>
      <c r="B414" s="167" t="s">
        <v>29</v>
      </c>
      <c r="C414" s="168">
        <v>42934</v>
      </c>
      <c r="D414" s="170">
        <v>22.97</v>
      </c>
      <c r="E414" s="170">
        <v>18.98</v>
      </c>
      <c r="F414" s="172">
        <v>2017</v>
      </c>
      <c r="G414" s="172"/>
      <c r="H414" s="172"/>
      <c r="I414" s="172"/>
      <c r="J414" s="172"/>
      <c r="K414" s="172"/>
      <c r="L414" s="172"/>
      <c r="M414" s="172"/>
      <c r="N414" s="175"/>
    </row>
    <row r="415" spans="1:14" ht="15" customHeight="1" x14ac:dyDescent="0.3">
      <c r="A415" s="167" t="s">
        <v>457</v>
      </c>
      <c r="B415" s="167" t="s">
        <v>29</v>
      </c>
      <c r="C415" s="168">
        <v>42948</v>
      </c>
      <c r="D415" s="170">
        <v>23.49</v>
      </c>
      <c r="E415" s="170">
        <v>21.64</v>
      </c>
      <c r="F415" s="172">
        <v>2017</v>
      </c>
      <c r="G415" s="172"/>
      <c r="H415" s="172"/>
      <c r="I415" s="172"/>
      <c r="J415" s="172"/>
      <c r="K415" s="172"/>
      <c r="L415" s="172"/>
      <c r="M415" s="172"/>
      <c r="N415" s="175"/>
    </row>
    <row r="416" spans="1:14" ht="15" customHeight="1" x14ac:dyDescent="0.3">
      <c r="A416" s="167" t="s">
        <v>458</v>
      </c>
      <c r="B416" s="167" t="s">
        <v>29</v>
      </c>
      <c r="C416" s="168">
        <v>42962</v>
      </c>
      <c r="D416" s="170">
        <v>23.48</v>
      </c>
      <c r="E416" s="170">
        <v>21.27</v>
      </c>
      <c r="F416" s="172">
        <v>2017</v>
      </c>
      <c r="G416" s="172"/>
      <c r="H416" s="172"/>
      <c r="I416" s="172"/>
      <c r="J416" s="172"/>
      <c r="K416" s="172"/>
      <c r="L416" s="172"/>
      <c r="M416" s="172"/>
      <c r="N416" s="175"/>
    </row>
    <row r="417" spans="1:14" ht="15" customHeight="1" x14ac:dyDescent="0.3">
      <c r="A417" s="167" t="s">
        <v>459</v>
      </c>
      <c r="B417" s="167" t="s">
        <v>29</v>
      </c>
      <c r="C417" s="168">
        <v>42975</v>
      </c>
      <c r="D417" s="170">
        <v>22.76</v>
      </c>
      <c r="E417" s="170">
        <v>22.35</v>
      </c>
      <c r="F417" s="172">
        <v>2017</v>
      </c>
      <c r="G417" s="172"/>
      <c r="H417" s="172"/>
      <c r="I417" s="172"/>
      <c r="J417" s="172"/>
      <c r="K417" s="172"/>
      <c r="L417" s="172"/>
      <c r="M417" s="172"/>
      <c r="N417" s="175"/>
    </row>
    <row r="418" spans="1:14" ht="15" customHeight="1" x14ac:dyDescent="0.3">
      <c r="A418" s="167" t="s">
        <v>460</v>
      </c>
      <c r="B418" s="167" t="s">
        <v>29</v>
      </c>
      <c r="C418" s="168">
        <v>43018</v>
      </c>
      <c r="D418" s="170">
        <v>21.54</v>
      </c>
      <c r="E418" s="170">
        <v>21.42</v>
      </c>
      <c r="F418" s="172">
        <v>2017</v>
      </c>
      <c r="G418" s="172"/>
      <c r="H418" s="172"/>
      <c r="I418" s="172"/>
      <c r="J418" s="172"/>
      <c r="K418" s="172"/>
      <c r="L418" s="172"/>
      <c r="M418" s="172"/>
      <c r="N418" s="175"/>
    </row>
    <row r="419" spans="1:14" ht="15" customHeight="1" x14ac:dyDescent="0.3">
      <c r="A419" s="167" t="s">
        <v>461</v>
      </c>
      <c r="B419" s="167" t="s">
        <v>29</v>
      </c>
      <c r="C419" s="168">
        <v>43052</v>
      </c>
      <c r="D419" s="170">
        <v>13.48</v>
      </c>
      <c r="E419" s="170">
        <v>13.86</v>
      </c>
      <c r="F419" s="172">
        <v>2017</v>
      </c>
      <c r="G419" s="172"/>
      <c r="H419" s="172"/>
      <c r="I419" s="172"/>
      <c r="J419" s="172"/>
      <c r="K419" s="172"/>
      <c r="L419" s="172"/>
      <c r="M419" s="172"/>
      <c r="N419" s="175"/>
    </row>
    <row r="420" spans="1:14" ht="15" customHeight="1" x14ac:dyDescent="0.3">
      <c r="A420" s="167" t="s">
        <v>462</v>
      </c>
      <c r="B420" s="167" t="s">
        <v>29</v>
      </c>
      <c r="C420" s="168">
        <v>43069</v>
      </c>
      <c r="D420" s="170">
        <v>10.039999999999999</v>
      </c>
      <c r="E420" s="170">
        <v>10.97</v>
      </c>
      <c r="F420" s="172">
        <v>2017</v>
      </c>
      <c r="G420" s="172"/>
      <c r="H420" s="172"/>
      <c r="I420" s="172"/>
      <c r="J420" s="172"/>
      <c r="K420" s="172"/>
      <c r="L420" s="172"/>
      <c r="M420" s="172"/>
      <c r="N420" s="175"/>
    </row>
    <row r="421" spans="1:14" ht="15" customHeight="1" x14ac:dyDescent="0.3">
      <c r="A421" s="167" t="s">
        <v>463</v>
      </c>
      <c r="B421" s="167" t="s">
        <v>29</v>
      </c>
      <c r="C421" s="168">
        <v>43111</v>
      </c>
      <c r="D421" s="170">
        <v>0.18</v>
      </c>
      <c r="E421" s="170">
        <v>1.4</v>
      </c>
      <c r="F421" s="172">
        <v>2018</v>
      </c>
      <c r="G421" s="172"/>
      <c r="H421" s="172"/>
      <c r="I421" s="172"/>
      <c r="J421" s="172"/>
      <c r="K421" s="172"/>
      <c r="L421" s="172"/>
      <c r="M421" s="172"/>
      <c r="N421" s="175"/>
    </row>
    <row r="422" spans="1:14" ht="15" customHeight="1" x14ac:dyDescent="0.3">
      <c r="A422" s="167" t="s">
        <v>464</v>
      </c>
      <c r="B422" s="167" t="s">
        <v>29</v>
      </c>
      <c r="C422" s="168">
        <v>43139</v>
      </c>
      <c r="D422" s="170">
        <v>1.01</v>
      </c>
      <c r="E422" s="170">
        <v>1.1299999999999999</v>
      </c>
      <c r="F422" s="172">
        <v>2018</v>
      </c>
      <c r="G422" s="172"/>
      <c r="H422" s="172"/>
      <c r="I422" s="172"/>
      <c r="J422" s="172"/>
      <c r="K422" s="172"/>
      <c r="L422" s="172"/>
      <c r="M422" s="172"/>
      <c r="N422" s="175"/>
    </row>
    <row r="423" spans="1:14" ht="15" customHeight="1" x14ac:dyDescent="0.3">
      <c r="A423" s="167" t="s">
        <v>465</v>
      </c>
      <c r="B423" s="167" t="s">
        <v>29</v>
      </c>
      <c r="C423" s="168">
        <v>43151</v>
      </c>
      <c r="D423" s="170">
        <v>2.44</v>
      </c>
      <c r="E423" s="170">
        <v>1.6</v>
      </c>
      <c r="F423" s="172">
        <v>2018</v>
      </c>
      <c r="G423" s="172"/>
      <c r="H423" s="172"/>
      <c r="I423" s="172"/>
      <c r="J423" s="172"/>
      <c r="K423" s="172"/>
      <c r="L423" s="172"/>
      <c r="M423" s="172"/>
      <c r="N423" s="175"/>
    </row>
    <row r="424" spans="1:14" ht="15" customHeight="1" x14ac:dyDescent="0.3">
      <c r="A424" s="167" t="s">
        <v>466</v>
      </c>
      <c r="B424" s="167" t="s">
        <v>29</v>
      </c>
      <c r="C424" s="168">
        <v>43178</v>
      </c>
      <c r="D424" s="170">
        <v>3.34</v>
      </c>
      <c r="E424" s="170">
        <v>3.08</v>
      </c>
      <c r="F424" s="172">
        <v>2018</v>
      </c>
      <c r="G424" s="172"/>
      <c r="H424" s="172"/>
      <c r="I424" s="172"/>
      <c r="J424" s="172"/>
      <c r="K424" s="172"/>
      <c r="L424" s="172"/>
      <c r="M424" s="172"/>
      <c r="N424" s="175"/>
    </row>
    <row r="425" spans="1:14" ht="15" customHeight="1" x14ac:dyDescent="0.3">
      <c r="A425" s="167" t="s">
        <v>467</v>
      </c>
      <c r="B425" s="167" t="s">
        <v>29</v>
      </c>
      <c r="C425" s="168">
        <v>43200</v>
      </c>
      <c r="D425" s="170">
        <v>5.23</v>
      </c>
      <c r="E425" s="170">
        <v>4.99</v>
      </c>
      <c r="F425" s="172">
        <v>2018</v>
      </c>
      <c r="G425" s="172"/>
      <c r="H425" s="172"/>
      <c r="I425" s="172"/>
      <c r="J425" s="172"/>
      <c r="K425" s="172"/>
      <c r="L425" s="172"/>
      <c r="M425" s="172"/>
      <c r="N425" s="175"/>
    </row>
    <row r="426" spans="1:14" ht="15" customHeight="1" x14ac:dyDescent="0.3">
      <c r="A426" s="167" t="s">
        <v>468</v>
      </c>
      <c r="B426" s="167" t="s">
        <v>29</v>
      </c>
      <c r="C426" s="168">
        <v>43222</v>
      </c>
      <c r="D426" s="170">
        <v>9.9</v>
      </c>
      <c r="E426" s="170">
        <v>7.55</v>
      </c>
      <c r="F426" s="172">
        <v>2018</v>
      </c>
      <c r="G426" s="172"/>
      <c r="H426" s="172"/>
      <c r="I426" s="172"/>
      <c r="J426" s="172"/>
      <c r="K426" s="172"/>
      <c r="L426" s="172"/>
      <c r="M426" s="172"/>
      <c r="N426" s="175"/>
    </row>
    <row r="427" spans="1:14" ht="15" customHeight="1" x14ac:dyDescent="0.3">
      <c r="A427" s="167" t="s">
        <v>469</v>
      </c>
      <c r="B427" s="167" t="s">
        <v>29</v>
      </c>
      <c r="C427" s="168">
        <v>43256</v>
      </c>
      <c r="D427" s="170">
        <v>16.72</v>
      </c>
      <c r="E427" s="170">
        <v>15.04</v>
      </c>
      <c r="F427" s="172">
        <v>2018</v>
      </c>
      <c r="G427" s="172"/>
      <c r="H427" s="172"/>
      <c r="I427" s="172"/>
      <c r="J427" s="172"/>
      <c r="K427" s="172"/>
      <c r="L427" s="172"/>
      <c r="M427" s="172"/>
      <c r="N427" s="175"/>
    </row>
    <row r="428" spans="1:14" ht="15" customHeight="1" x14ac:dyDescent="0.3">
      <c r="A428" s="167" t="s">
        <v>470</v>
      </c>
      <c r="B428" s="167" t="s">
        <v>29</v>
      </c>
      <c r="C428" s="168">
        <v>43263</v>
      </c>
      <c r="D428" s="170">
        <v>18.14</v>
      </c>
      <c r="E428" s="170">
        <v>14.21</v>
      </c>
      <c r="F428" s="172">
        <v>2018</v>
      </c>
      <c r="G428" s="172"/>
      <c r="H428" s="172"/>
      <c r="I428" s="172"/>
      <c r="J428" s="172"/>
      <c r="K428" s="172"/>
      <c r="L428" s="172"/>
      <c r="M428" s="172"/>
      <c r="N428" s="175"/>
    </row>
    <row r="429" spans="1:14" ht="15" customHeight="1" x14ac:dyDescent="0.3">
      <c r="A429" s="167" t="s">
        <v>471</v>
      </c>
      <c r="B429" s="167" t="s">
        <v>29</v>
      </c>
      <c r="C429" s="168">
        <v>43286</v>
      </c>
      <c r="D429" s="170">
        <v>24.42</v>
      </c>
      <c r="E429" s="170">
        <v>15.63</v>
      </c>
      <c r="F429" s="172">
        <v>2018</v>
      </c>
      <c r="G429" s="172"/>
      <c r="H429" s="172"/>
      <c r="I429" s="172"/>
      <c r="J429" s="172"/>
      <c r="K429" s="172"/>
      <c r="L429" s="172"/>
      <c r="M429" s="172"/>
      <c r="N429" s="175"/>
    </row>
    <row r="430" spans="1:14" ht="15" customHeight="1" x14ac:dyDescent="0.3">
      <c r="A430" s="167" t="s">
        <v>472</v>
      </c>
      <c r="B430" s="167" t="s">
        <v>29</v>
      </c>
      <c r="C430" s="168">
        <v>43297</v>
      </c>
      <c r="D430" s="170">
        <v>20.09</v>
      </c>
      <c r="E430" s="170">
        <v>16.739999999999998</v>
      </c>
      <c r="F430" s="172">
        <v>2018</v>
      </c>
      <c r="G430" s="172"/>
      <c r="H430" s="172"/>
      <c r="I430" s="172"/>
      <c r="J430" s="172"/>
      <c r="K430" s="172"/>
      <c r="L430" s="172"/>
      <c r="M430" s="172"/>
      <c r="N430" s="175"/>
    </row>
    <row r="431" spans="1:14" ht="15" customHeight="1" x14ac:dyDescent="0.3">
      <c r="A431" s="167" t="s">
        <v>473</v>
      </c>
      <c r="B431" s="167" t="s">
        <v>29</v>
      </c>
      <c r="C431" s="168">
        <v>43314</v>
      </c>
      <c r="D431" s="170">
        <v>23.31</v>
      </c>
      <c r="E431" s="170">
        <v>20.48</v>
      </c>
      <c r="F431" s="172">
        <v>2018</v>
      </c>
      <c r="G431" s="172"/>
      <c r="H431" s="172"/>
      <c r="I431" s="172"/>
      <c r="J431" s="172"/>
      <c r="K431" s="172"/>
      <c r="L431" s="172"/>
      <c r="M431" s="172"/>
      <c r="N431" s="175"/>
    </row>
    <row r="432" spans="1:14" ht="15" customHeight="1" x14ac:dyDescent="0.3">
      <c r="A432" s="167" t="s">
        <v>474</v>
      </c>
      <c r="B432" s="167" t="s">
        <v>29</v>
      </c>
      <c r="C432" s="168">
        <v>43327</v>
      </c>
      <c r="D432" s="170">
        <v>24.26</v>
      </c>
      <c r="E432" s="170">
        <v>23.01</v>
      </c>
      <c r="F432" s="172">
        <v>2018</v>
      </c>
      <c r="G432" s="172"/>
      <c r="H432" s="172"/>
      <c r="I432" s="172"/>
      <c r="J432" s="172"/>
      <c r="K432" s="172"/>
      <c r="L432" s="172"/>
      <c r="M432" s="172"/>
      <c r="N432" s="175"/>
    </row>
    <row r="433" spans="1:14" ht="15" customHeight="1" x14ac:dyDescent="0.3">
      <c r="A433" s="167" t="s">
        <v>475</v>
      </c>
      <c r="B433" s="167" t="s">
        <v>29</v>
      </c>
      <c r="C433" s="168">
        <v>43339</v>
      </c>
      <c r="D433" s="170">
        <v>24.17</v>
      </c>
      <c r="E433" s="170">
        <v>22.81</v>
      </c>
      <c r="F433" s="172">
        <v>2018</v>
      </c>
      <c r="G433" s="172"/>
      <c r="H433" s="172"/>
      <c r="I433" s="172"/>
      <c r="J433" s="172"/>
      <c r="K433" s="172"/>
      <c r="L433" s="172"/>
      <c r="M433" s="172"/>
      <c r="N433" s="175"/>
    </row>
    <row r="434" spans="1:14" ht="15" customHeight="1" x14ac:dyDescent="0.3">
      <c r="A434" s="167" t="s">
        <v>476</v>
      </c>
      <c r="B434" s="167" t="s">
        <v>29</v>
      </c>
      <c r="C434" s="168">
        <v>43355</v>
      </c>
      <c r="D434" s="170">
        <v>22.64</v>
      </c>
      <c r="E434" s="170">
        <v>22.42</v>
      </c>
      <c r="F434" s="172">
        <v>2018</v>
      </c>
      <c r="G434" s="172"/>
      <c r="H434" s="172"/>
      <c r="I434" s="172"/>
      <c r="J434" s="172"/>
      <c r="K434" s="172"/>
      <c r="L434" s="172"/>
      <c r="M434" s="172"/>
      <c r="N434" s="175"/>
    </row>
    <row r="435" spans="1:14" ht="15" customHeight="1" x14ac:dyDescent="0.3">
      <c r="A435" s="167" t="s">
        <v>477</v>
      </c>
      <c r="B435" s="167" t="s">
        <v>29</v>
      </c>
      <c r="C435" s="168">
        <v>43376</v>
      </c>
      <c r="D435" s="170">
        <v>21.27</v>
      </c>
      <c r="E435" s="170">
        <v>21.09</v>
      </c>
      <c r="F435" s="172">
        <v>2018</v>
      </c>
      <c r="G435" s="172"/>
      <c r="H435" s="172"/>
      <c r="I435" s="172"/>
      <c r="J435" s="172"/>
      <c r="K435" s="172"/>
      <c r="L435" s="172"/>
      <c r="M435" s="172"/>
      <c r="N435" s="175"/>
    </row>
    <row r="436" spans="1:14" ht="15" customHeight="1" x14ac:dyDescent="0.3">
      <c r="A436" s="167" t="s">
        <v>478</v>
      </c>
      <c r="B436" s="167" t="s">
        <v>29</v>
      </c>
      <c r="C436" s="168">
        <v>43410</v>
      </c>
      <c r="D436" s="170">
        <v>14.21</v>
      </c>
      <c r="E436" s="170">
        <v>14.3</v>
      </c>
      <c r="F436" s="172">
        <v>2018</v>
      </c>
      <c r="G436" s="172"/>
      <c r="H436" s="172"/>
      <c r="I436" s="172"/>
      <c r="J436" s="172"/>
      <c r="K436" s="172"/>
      <c r="L436" s="172"/>
      <c r="M436" s="172"/>
      <c r="N436" s="175"/>
    </row>
    <row r="437" spans="1:14" ht="15" customHeight="1" x14ac:dyDescent="0.3">
      <c r="A437" s="167" t="s">
        <v>479</v>
      </c>
      <c r="B437" s="167" t="s">
        <v>29</v>
      </c>
      <c r="C437" s="168">
        <v>43437</v>
      </c>
      <c r="D437" s="170">
        <v>7.87</v>
      </c>
      <c r="E437" s="170">
        <v>8.0500000000000007</v>
      </c>
      <c r="F437" s="172">
        <v>2018</v>
      </c>
      <c r="G437" s="172"/>
      <c r="H437" s="172"/>
      <c r="I437" s="172"/>
      <c r="J437" s="172"/>
      <c r="K437" s="172"/>
      <c r="L437" s="172"/>
      <c r="M437" s="172"/>
      <c r="N437" s="175"/>
    </row>
    <row r="438" spans="1:14" ht="15" customHeight="1" x14ac:dyDescent="0.3">
      <c r="A438" s="167" t="s">
        <v>6</v>
      </c>
      <c r="B438" s="167" t="s">
        <v>29</v>
      </c>
      <c r="C438" s="168">
        <v>43468</v>
      </c>
      <c r="D438" s="170">
        <v>5.34</v>
      </c>
      <c r="E438" s="170">
        <v>5.54</v>
      </c>
      <c r="F438" s="172">
        <v>2019</v>
      </c>
      <c r="G438" s="172"/>
      <c r="H438" s="172"/>
      <c r="I438" s="172"/>
      <c r="J438" s="172"/>
      <c r="K438" s="172"/>
      <c r="L438" s="172"/>
      <c r="M438" s="172"/>
      <c r="N438" s="175"/>
    </row>
    <row r="439" spans="1:14" ht="15" customHeight="1" x14ac:dyDescent="0.3">
      <c r="A439" s="167" t="s">
        <v>7</v>
      </c>
      <c r="B439" s="167" t="s">
        <v>29</v>
      </c>
      <c r="C439" s="168">
        <v>43503</v>
      </c>
      <c r="D439" s="170">
        <v>1.85</v>
      </c>
      <c r="E439" s="170">
        <v>1.75</v>
      </c>
      <c r="F439" s="172">
        <v>2019</v>
      </c>
      <c r="G439" s="172"/>
      <c r="H439" s="172"/>
      <c r="I439" s="172"/>
      <c r="J439" s="172"/>
      <c r="K439" s="172"/>
      <c r="L439" s="172"/>
      <c r="M439" s="172"/>
      <c r="N439" s="175"/>
    </row>
    <row r="440" spans="1:14" ht="15" customHeight="1" x14ac:dyDescent="0.3">
      <c r="A440" s="167" t="s">
        <v>8</v>
      </c>
      <c r="B440" s="167" t="s">
        <v>29</v>
      </c>
      <c r="C440" s="168">
        <v>43517</v>
      </c>
      <c r="D440" s="170">
        <v>1.75</v>
      </c>
      <c r="E440" s="170">
        <v>1.64</v>
      </c>
      <c r="F440" s="172">
        <v>2019</v>
      </c>
      <c r="G440" s="172"/>
      <c r="H440" s="172"/>
      <c r="I440" s="172"/>
      <c r="J440" s="172"/>
      <c r="K440" s="172"/>
      <c r="L440" s="172"/>
      <c r="M440" s="172"/>
      <c r="N440" s="175"/>
    </row>
    <row r="441" spans="1:14" ht="15" customHeight="1" x14ac:dyDescent="0.3">
      <c r="A441" s="167" t="s">
        <v>9</v>
      </c>
      <c r="B441" s="167" t="s">
        <v>29</v>
      </c>
      <c r="C441" s="168">
        <v>43529</v>
      </c>
      <c r="D441" s="170">
        <v>1.88</v>
      </c>
      <c r="E441" s="170">
        <v>1.73</v>
      </c>
      <c r="F441" s="172">
        <v>2019</v>
      </c>
      <c r="G441" s="172"/>
      <c r="H441" s="172"/>
      <c r="I441" s="172"/>
      <c r="J441" s="172"/>
      <c r="K441" s="172"/>
      <c r="L441" s="172"/>
      <c r="M441" s="172"/>
      <c r="N441" s="175"/>
    </row>
    <row r="442" spans="1:14" ht="15" customHeight="1" x14ac:dyDescent="0.3">
      <c r="A442" s="167" t="s">
        <v>10</v>
      </c>
      <c r="B442" s="167" t="s">
        <v>29</v>
      </c>
      <c r="C442" s="168">
        <v>43558</v>
      </c>
      <c r="D442" s="170">
        <v>5.43</v>
      </c>
      <c r="E442" s="170">
        <v>4.24</v>
      </c>
      <c r="F442" s="172">
        <v>2019</v>
      </c>
      <c r="G442" s="172"/>
      <c r="H442" s="172"/>
      <c r="I442" s="172"/>
      <c r="J442" s="172"/>
      <c r="K442" s="172"/>
      <c r="L442" s="172"/>
      <c r="M442" s="172"/>
      <c r="N442" s="175"/>
    </row>
    <row r="443" spans="1:14" ht="15" customHeight="1" x14ac:dyDescent="0.3">
      <c r="A443" s="167" t="s">
        <v>11</v>
      </c>
      <c r="B443" s="167" t="s">
        <v>29</v>
      </c>
      <c r="C443" s="168">
        <v>43592</v>
      </c>
      <c r="D443" s="170">
        <v>12.27</v>
      </c>
      <c r="E443" s="170">
        <v>10.87</v>
      </c>
      <c r="F443" s="172">
        <v>2019</v>
      </c>
      <c r="G443" s="172"/>
      <c r="H443" s="172"/>
      <c r="I443" s="172"/>
      <c r="J443" s="172"/>
      <c r="K443" s="172"/>
      <c r="L443" s="172"/>
      <c r="M443" s="172"/>
      <c r="N443" s="175"/>
    </row>
    <row r="444" spans="1:14" ht="15" customHeight="1" x14ac:dyDescent="0.3">
      <c r="A444" s="167" t="s">
        <v>12</v>
      </c>
      <c r="B444" s="167" t="s">
        <v>29</v>
      </c>
      <c r="C444" s="168">
        <v>43615</v>
      </c>
      <c r="D444" s="170">
        <v>15.31</v>
      </c>
      <c r="E444" s="170">
        <v>11.28</v>
      </c>
      <c r="F444" s="172">
        <v>2019</v>
      </c>
      <c r="G444" s="172"/>
      <c r="H444" s="172"/>
      <c r="I444" s="172"/>
      <c r="J444" s="172"/>
      <c r="K444" s="172"/>
      <c r="L444" s="172"/>
      <c r="M444" s="172"/>
      <c r="N444" s="175"/>
    </row>
    <row r="445" spans="1:14" ht="15" customHeight="1" x14ac:dyDescent="0.3">
      <c r="A445" s="167" t="s">
        <v>13</v>
      </c>
      <c r="B445" s="167" t="s">
        <v>29</v>
      </c>
      <c r="C445" s="168">
        <v>43628</v>
      </c>
      <c r="D445" s="170">
        <v>16.95</v>
      </c>
      <c r="E445" s="170">
        <v>16.48</v>
      </c>
      <c r="F445" s="172">
        <v>2019</v>
      </c>
      <c r="G445" s="172"/>
      <c r="H445" s="172"/>
      <c r="I445" s="172"/>
      <c r="J445" s="172"/>
      <c r="K445" s="172"/>
      <c r="L445" s="172"/>
      <c r="M445" s="172"/>
      <c r="N445" s="175"/>
    </row>
    <row r="446" spans="1:14" ht="15" customHeight="1" x14ac:dyDescent="0.3">
      <c r="A446" s="167" t="s">
        <v>14</v>
      </c>
      <c r="B446" s="167" t="s">
        <v>29</v>
      </c>
      <c r="C446" s="168">
        <v>43648</v>
      </c>
      <c r="D446" s="170">
        <v>19.29</v>
      </c>
      <c r="E446" s="170">
        <v>14.54</v>
      </c>
      <c r="F446" s="172">
        <v>2019</v>
      </c>
      <c r="G446" s="172"/>
      <c r="H446" s="172"/>
      <c r="I446" s="172"/>
      <c r="J446" s="172"/>
      <c r="K446" s="172"/>
      <c r="L446" s="172"/>
      <c r="M446" s="172"/>
      <c r="N446" s="175"/>
    </row>
    <row r="447" spans="1:14" ht="15" customHeight="1" x14ac:dyDescent="0.3">
      <c r="A447" s="167" t="s">
        <v>15</v>
      </c>
      <c r="B447" s="167" t="s">
        <v>29</v>
      </c>
      <c r="C447" s="168">
        <v>43661</v>
      </c>
      <c r="D447" s="170">
        <v>20.77</v>
      </c>
      <c r="E447" s="170">
        <v>17.25</v>
      </c>
      <c r="F447" s="172">
        <v>2019</v>
      </c>
      <c r="G447" s="172"/>
      <c r="H447" s="172"/>
      <c r="I447" s="172"/>
      <c r="J447" s="172"/>
      <c r="K447" s="172"/>
      <c r="L447" s="172"/>
      <c r="M447" s="172"/>
      <c r="N447" s="175"/>
    </row>
    <row r="448" spans="1:14" ht="15" customHeight="1" x14ac:dyDescent="0.3">
      <c r="A448" s="167" t="s">
        <v>16</v>
      </c>
      <c r="B448" s="167" t="s">
        <v>29</v>
      </c>
      <c r="C448" s="168">
        <v>43676</v>
      </c>
      <c r="D448" s="170">
        <v>23.22</v>
      </c>
      <c r="E448" s="170">
        <v>18.260000000000002</v>
      </c>
      <c r="F448" s="172">
        <v>2019</v>
      </c>
      <c r="G448" s="172"/>
      <c r="H448" s="172"/>
      <c r="I448" s="172"/>
      <c r="J448" s="172"/>
      <c r="K448" s="172"/>
      <c r="L448" s="172"/>
      <c r="M448" s="172"/>
      <c r="N448" s="175"/>
    </row>
    <row r="449" spans="1:14" ht="15" customHeight="1" x14ac:dyDescent="0.3">
      <c r="A449" s="167" t="s">
        <v>17</v>
      </c>
      <c r="B449" s="167" t="s">
        <v>29</v>
      </c>
      <c r="C449" s="168">
        <v>43689</v>
      </c>
      <c r="D449" s="170">
        <v>23.34</v>
      </c>
      <c r="E449" s="170">
        <v>20.25</v>
      </c>
      <c r="F449" s="172">
        <v>2019</v>
      </c>
      <c r="G449" s="172"/>
      <c r="H449" s="172"/>
      <c r="I449" s="172"/>
      <c r="J449" s="172"/>
      <c r="K449" s="172"/>
      <c r="L449" s="172"/>
      <c r="M449" s="172"/>
      <c r="N449" s="175"/>
    </row>
    <row r="450" spans="1:14" ht="15" customHeight="1" x14ac:dyDescent="0.3">
      <c r="A450" s="167" t="s">
        <v>18</v>
      </c>
      <c r="B450" s="167" t="s">
        <v>29</v>
      </c>
      <c r="C450" s="168">
        <v>43705</v>
      </c>
      <c r="D450" s="170">
        <v>22.69</v>
      </c>
      <c r="E450" s="170">
        <v>22.29</v>
      </c>
      <c r="F450" s="172">
        <v>2019</v>
      </c>
      <c r="G450" s="172"/>
      <c r="H450" s="172"/>
      <c r="I450" s="172"/>
      <c r="J450" s="172"/>
      <c r="K450" s="172"/>
      <c r="L450" s="172"/>
      <c r="M450" s="172"/>
      <c r="N450" s="175"/>
    </row>
    <row r="451" spans="1:14" ht="15" customHeight="1" x14ac:dyDescent="0.3">
      <c r="A451" s="167" t="s">
        <v>19</v>
      </c>
      <c r="B451" s="167" t="s">
        <v>29</v>
      </c>
      <c r="C451" s="168">
        <v>43718</v>
      </c>
      <c r="D451" s="170">
        <v>22.15</v>
      </c>
      <c r="E451" s="170">
        <v>22.08</v>
      </c>
      <c r="F451" s="172">
        <v>2019</v>
      </c>
      <c r="G451" s="172"/>
      <c r="H451" s="172"/>
      <c r="I451" s="172"/>
      <c r="J451" s="172"/>
      <c r="K451" s="172"/>
      <c r="L451" s="172"/>
      <c r="M451" s="172"/>
      <c r="N451" s="175"/>
    </row>
    <row r="452" spans="1:14" ht="15" customHeight="1" x14ac:dyDescent="0.3">
      <c r="A452" s="167" t="s">
        <v>39</v>
      </c>
      <c r="B452" s="167" t="s">
        <v>29</v>
      </c>
      <c r="C452" s="168">
        <v>43739</v>
      </c>
      <c r="D452" s="170">
        <v>21.24</v>
      </c>
      <c r="E452" s="170">
        <v>21.31</v>
      </c>
      <c r="F452" s="172">
        <v>2019</v>
      </c>
      <c r="G452" s="172"/>
      <c r="H452" s="172"/>
      <c r="I452" s="172"/>
      <c r="J452" s="172"/>
      <c r="K452" s="172"/>
      <c r="L452" s="172"/>
      <c r="M452" s="172"/>
      <c r="N452" s="175"/>
    </row>
    <row r="453" spans="1:14" ht="15" customHeight="1" x14ac:dyDescent="0.3">
      <c r="A453" s="167" t="s">
        <v>40</v>
      </c>
      <c r="B453" s="167" t="s">
        <v>29</v>
      </c>
      <c r="C453" s="168">
        <v>43774</v>
      </c>
      <c r="D453" s="170">
        <v>14.7</v>
      </c>
      <c r="E453" s="170">
        <v>15.51</v>
      </c>
      <c r="F453" s="172">
        <v>2019</v>
      </c>
      <c r="G453" s="172"/>
      <c r="H453" s="172"/>
      <c r="I453" s="172"/>
      <c r="J453" s="172"/>
      <c r="K453" s="172"/>
      <c r="L453" s="172"/>
      <c r="M453" s="172"/>
      <c r="N453" s="175"/>
    </row>
    <row r="454" spans="1:14" ht="15" customHeight="1" x14ac:dyDescent="0.3">
      <c r="A454" s="167" t="s">
        <v>41</v>
      </c>
      <c r="B454" s="167" t="s">
        <v>29</v>
      </c>
      <c r="C454" s="168">
        <v>43805</v>
      </c>
      <c r="D454" s="170">
        <v>6.23</v>
      </c>
      <c r="E454" s="170">
        <v>7.34</v>
      </c>
      <c r="F454" s="172">
        <v>2019</v>
      </c>
      <c r="G454" s="172"/>
      <c r="H454" s="172"/>
      <c r="I454" s="172"/>
      <c r="J454" s="172"/>
      <c r="K454" s="172"/>
      <c r="L454" s="172"/>
      <c r="M454" s="172"/>
      <c r="N454" s="175"/>
    </row>
    <row r="455" spans="1:14" ht="15" customHeight="1" x14ac:dyDescent="0.3">
      <c r="A455" s="167" t="s">
        <v>502</v>
      </c>
      <c r="B455" s="167" t="s">
        <v>29</v>
      </c>
      <c r="C455" s="168">
        <v>43839</v>
      </c>
      <c r="D455" s="170">
        <v>4.08</v>
      </c>
      <c r="E455" s="170">
        <v>4.5199999999999996</v>
      </c>
      <c r="F455" s="172">
        <v>2020</v>
      </c>
      <c r="G455" s="172"/>
      <c r="H455" s="172"/>
      <c r="I455" s="172"/>
      <c r="J455" s="172"/>
      <c r="K455" s="172"/>
      <c r="L455" s="172"/>
      <c r="M455" s="172"/>
      <c r="N455" s="175"/>
    </row>
    <row r="456" spans="1:14" ht="15" customHeight="1" x14ac:dyDescent="0.3">
      <c r="A456" s="167" t="s">
        <v>503</v>
      </c>
      <c r="B456" s="167" t="s">
        <v>29</v>
      </c>
      <c r="C456" s="168">
        <v>43864</v>
      </c>
      <c r="D456" s="169"/>
      <c r="E456" s="169"/>
      <c r="F456" s="172">
        <v>2020</v>
      </c>
      <c r="G456" s="172"/>
      <c r="H456" s="172"/>
      <c r="I456" s="172"/>
      <c r="J456" s="172"/>
      <c r="K456" s="172"/>
      <c r="L456" s="172"/>
      <c r="M456" s="172"/>
      <c r="N456" s="175"/>
    </row>
    <row r="457" spans="1:14" ht="15" customHeight="1" x14ac:dyDescent="0.3">
      <c r="A457" s="167" t="s">
        <v>504</v>
      </c>
      <c r="B457" s="167" t="s">
        <v>29</v>
      </c>
      <c r="C457" s="168">
        <v>43900</v>
      </c>
      <c r="D457" s="170">
        <v>5.09</v>
      </c>
      <c r="E457" s="170">
        <v>4.68</v>
      </c>
      <c r="F457" s="172">
        <v>2020</v>
      </c>
      <c r="G457" s="172"/>
      <c r="H457" s="172"/>
      <c r="I457" s="172"/>
      <c r="J457" s="172"/>
      <c r="K457" s="172"/>
      <c r="L457" s="172"/>
      <c r="M457" s="172"/>
      <c r="N457" s="175"/>
    </row>
    <row r="458" spans="1:14" ht="15" customHeight="1" x14ac:dyDescent="0.3">
      <c r="A458" s="167" t="s">
        <v>510</v>
      </c>
      <c r="B458" s="167" t="s">
        <v>29</v>
      </c>
      <c r="C458" s="168">
        <v>43999</v>
      </c>
      <c r="D458" s="170">
        <v>18.8</v>
      </c>
      <c r="E458" s="170">
        <v>14.21</v>
      </c>
      <c r="F458" s="172">
        <v>2020</v>
      </c>
      <c r="G458" s="172"/>
      <c r="H458" s="172"/>
      <c r="I458" s="172"/>
      <c r="J458" s="172"/>
      <c r="K458" s="172"/>
      <c r="L458" s="172"/>
      <c r="M458" s="172"/>
      <c r="N458" s="175"/>
    </row>
    <row r="459" spans="1:14" ht="15" customHeight="1" x14ac:dyDescent="0.3">
      <c r="A459" s="167" t="s">
        <v>505</v>
      </c>
      <c r="B459" s="167" t="s">
        <v>29</v>
      </c>
      <c r="C459" s="168">
        <v>44019</v>
      </c>
      <c r="D459" s="170">
        <v>21.99</v>
      </c>
      <c r="E459" s="170">
        <v>16.5</v>
      </c>
      <c r="F459" s="172">
        <v>2020</v>
      </c>
      <c r="G459" s="172"/>
      <c r="H459" s="172"/>
      <c r="I459" s="172"/>
      <c r="J459" s="172"/>
      <c r="K459" s="172"/>
      <c r="L459" s="172"/>
      <c r="M459" s="172"/>
      <c r="N459" s="175"/>
    </row>
    <row r="460" spans="1:14" ht="15" customHeight="1" x14ac:dyDescent="0.3">
      <c r="A460" s="167" t="s">
        <v>511</v>
      </c>
      <c r="B460" s="167" t="s">
        <v>29</v>
      </c>
      <c r="C460" s="168">
        <v>44032</v>
      </c>
      <c r="D460" s="170">
        <v>23.9</v>
      </c>
      <c r="E460" s="170">
        <v>17.54</v>
      </c>
      <c r="F460" s="172">
        <v>2020</v>
      </c>
      <c r="G460" s="172"/>
      <c r="H460" s="172"/>
      <c r="I460" s="172"/>
      <c r="J460" s="172"/>
      <c r="K460" s="172"/>
      <c r="L460" s="172"/>
      <c r="M460" s="172"/>
      <c r="N460" s="175"/>
    </row>
    <row r="461" spans="1:14" ht="15" customHeight="1" x14ac:dyDescent="0.3">
      <c r="A461" s="167" t="s">
        <v>506</v>
      </c>
      <c r="B461" s="167" t="s">
        <v>29</v>
      </c>
      <c r="C461" s="168">
        <v>44055</v>
      </c>
      <c r="D461" s="170">
        <v>24.94</v>
      </c>
      <c r="E461" s="170">
        <v>21.46</v>
      </c>
      <c r="F461" s="172">
        <v>2020</v>
      </c>
      <c r="G461" s="172"/>
      <c r="H461" s="172"/>
      <c r="I461" s="172"/>
      <c r="J461" s="172"/>
      <c r="K461" s="172"/>
      <c r="L461" s="172"/>
      <c r="M461" s="172"/>
      <c r="N461" s="175"/>
    </row>
    <row r="462" spans="1:14" ht="15" customHeight="1" x14ac:dyDescent="0.3">
      <c r="A462" s="167" t="s">
        <v>512</v>
      </c>
      <c r="B462" s="167" t="s">
        <v>29</v>
      </c>
      <c r="C462" s="168">
        <v>44075</v>
      </c>
      <c r="D462" s="170">
        <v>23.86</v>
      </c>
      <c r="E462" s="170">
        <v>23.11</v>
      </c>
      <c r="F462" s="172">
        <v>2020</v>
      </c>
      <c r="G462" s="172"/>
      <c r="H462" s="172"/>
      <c r="I462" s="172"/>
      <c r="J462" s="172"/>
      <c r="K462" s="172"/>
      <c r="L462" s="172"/>
      <c r="M462" s="172"/>
      <c r="N462" s="175"/>
    </row>
    <row r="463" spans="1:14" ht="15" customHeight="1" x14ac:dyDescent="0.3">
      <c r="A463" s="167" t="s">
        <v>507</v>
      </c>
      <c r="B463" s="167" t="s">
        <v>29</v>
      </c>
      <c r="C463" s="168">
        <v>44083</v>
      </c>
      <c r="D463" s="170">
        <v>24.22</v>
      </c>
      <c r="E463" s="170">
        <v>23.25</v>
      </c>
      <c r="F463" s="172">
        <v>2020</v>
      </c>
      <c r="G463" s="172"/>
      <c r="H463" s="172"/>
      <c r="I463" s="172"/>
      <c r="J463" s="172"/>
      <c r="K463" s="172"/>
      <c r="L463" s="172"/>
      <c r="M463" s="172"/>
      <c r="N463" s="175"/>
    </row>
    <row r="464" spans="1:14" ht="15" customHeight="1" x14ac:dyDescent="0.3">
      <c r="A464" s="167" t="s">
        <v>508</v>
      </c>
      <c r="B464" s="167" t="s">
        <v>29</v>
      </c>
      <c r="C464" s="168">
        <v>44118</v>
      </c>
      <c r="D464" s="170">
        <v>18.100000000000001</v>
      </c>
      <c r="E464" s="170">
        <v>18.28</v>
      </c>
      <c r="F464" s="172">
        <v>2020</v>
      </c>
      <c r="G464" s="172"/>
      <c r="H464" s="172"/>
      <c r="I464" s="172"/>
      <c r="J464" s="172"/>
      <c r="K464" s="172"/>
      <c r="L464" s="172"/>
      <c r="M464" s="172"/>
      <c r="N464" s="175"/>
    </row>
    <row r="465" spans="1:14" ht="15" customHeight="1" x14ac:dyDescent="0.3">
      <c r="A465" s="167" t="s">
        <v>509</v>
      </c>
      <c r="B465" s="167" t="s">
        <v>29</v>
      </c>
      <c r="C465" s="168">
        <v>44141</v>
      </c>
      <c r="D465" s="170">
        <v>13.39</v>
      </c>
      <c r="E465" s="170">
        <v>14.26</v>
      </c>
      <c r="F465" s="172">
        <v>2020</v>
      </c>
      <c r="G465" s="172"/>
      <c r="H465" s="172"/>
      <c r="I465" s="172"/>
      <c r="J465" s="172"/>
      <c r="K465" s="172"/>
      <c r="L465" s="172"/>
      <c r="M465" s="172"/>
      <c r="N465" s="175"/>
    </row>
    <row r="466" spans="1:14" ht="15" customHeight="1" x14ac:dyDescent="0.3">
      <c r="A466" s="167" t="s">
        <v>522</v>
      </c>
      <c r="B466" s="167" t="s">
        <v>29</v>
      </c>
      <c r="C466" s="168">
        <v>44265</v>
      </c>
      <c r="D466" s="170">
        <v>2.94</v>
      </c>
      <c r="E466" s="170">
        <v>2.4</v>
      </c>
      <c r="F466" s="172">
        <v>2021</v>
      </c>
      <c r="G466" s="172"/>
      <c r="H466" s="172"/>
      <c r="I466" s="172"/>
      <c r="J466" s="172"/>
      <c r="K466" s="172"/>
      <c r="L466" s="172"/>
      <c r="M466" s="172"/>
      <c r="N466" s="175"/>
    </row>
    <row r="467" spans="1:14" ht="15" customHeight="1" x14ac:dyDescent="0.3">
      <c r="A467" s="167" t="s">
        <v>523</v>
      </c>
      <c r="B467" s="167" t="s">
        <v>29</v>
      </c>
      <c r="C467" s="168">
        <v>44293</v>
      </c>
      <c r="D467" s="170">
        <v>7.76</v>
      </c>
      <c r="E467" s="170">
        <v>5.69</v>
      </c>
      <c r="F467" s="172">
        <v>2021</v>
      </c>
      <c r="G467" s="172"/>
      <c r="H467" s="172"/>
      <c r="I467" s="172"/>
      <c r="J467" s="172"/>
      <c r="K467" s="172"/>
      <c r="L467" s="172"/>
      <c r="M467" s="172"/>
      <c r="N467" s="175"/>
    </row>
    <row r="468" spans="1:14" ht="15" customHeight="1" x14ac:dyDescent="0.3">
      <c r="A468" s="167" t="s">
        <v>524</v>
      </c>
      <c r="B468" s="167" t="s">
        <v>29</v>
      </c>
      <c r="C468" s="168">
        <v>44321</v>
      </c>
      <c r="D468" s="170">
        <v>10.31</v>
      </c>
      <c r="E468" s="170">
        <v>9.3699999999999992</v>
      </c>
      <c r="F468" s="172">
        <v>2021</v>
      </c>
      <c r="G468" s="172"/>
      <c r="H468" s="172"/>
      <c r="I468" s="172"/>
      <c r="J468" s="172"/>
      <c r="K468" s="172"/>
      <c r="L468" s="172"/>
      <c r="M468" s="172"/>
      <c r="N468" s="175"/>
    </row>
    <row r="469" spans="1:14" ht="15" customHeight="1" x14ac:dyDescent="0.3">
      <c r="A469" s="167" t="s">
        <v>525</v>
      </c>
      <c r="B469" s="167" t="s">
        <v>29</v>
      </c>
      <c r="C469" s="168">
        <v>44355</v>
      </c>
      <c r="D469" s="170">
        <v>17.62</v>
      </c>
      <c r="E469" s="170">
        <v>13.57</v>
      </c>
      <c r="F469" s="172">
        <v>2021</v>
      </c>
      <c r="G469" s="172"/>
      <c r="H469" s="172"/>
      <c r="I469" s="172"/>
      <c r="J469" s="172"/>
      <c r="K469" s="172"/>
      <c r="L469" s="172"/>
      <c r="M469" s="172"/>
      <c r="N469" s="175"/>
    </row>
    <row r="470" spans="1:14" ht="15" customHeight="1" x14ac:dyDescent="0.3">
      <c r="A470" s="167" t="s">
        <v>526</v>
      </c>
      <c r="B470" s="167" t="s">
        <v>29</v>
      </c>
      <c r="C470" s="168">
        <v>44369</v>
      </c>
      <c r="D470" s="170">
        <v>18.71</v>
      </c>
      <c r="E470" s="170">
        <v>14.04</v>
      </c>
      <c r="F470" s="172">
        <v>2021</v>
      </c>
      <c r="G470" s="172"/>
      <c r="H470" s="172"/>
      <c r="I470" s="172"/>
      <c r="J470" s="172"/>
      <c r="K470" s="172"/>
      <c r="L470" s="172"/>
      <c r="M470" s="172"/>
      <c r="N470" s="175"/>
    </row>
    <row r="471" spans="1:14" ht="15" customHeight="1" x14ac:dyDescent="0.3">
      <c r="A471" s="167" t="s">
        <v>527</v>
      </c>
      <c r="B471" s="167" t="s">
        <v>29</v>
      </c>
      <c r="C471" s="168">
        <v>44385</v>
      </c>
      <c r="D471" s="170">
        <v>22.4</v>
      </c>
      <c r="E471" s="170">
        <v>18.04</v>
      </c>
      <c r="F471" s="172">
        <v>2021</v>
      </c>
      <c r="G471" s="172"/>
      <c r="H471" s="172"/>
      <c r="I471" s="172"/>
      <c r="J471" s="172"/>
      <c r="K471" s="172"/>
      <c r="L471" s="172"/>
      <c r="M471" s="172"/>
      <c r="N471" s="175"/>
    </row>
    <row r="472" spans="1:14" ht="15" customHeight="1" x14ac:dyDescent="0.3">
      <c r="A472" s="167" t="s">
        <v>528</v>
      </c>
      <c r="B472" s="167" t="s">
        <v>29</v>
      </c>
      <c r="C472" s="168">
        <v>44396</v>
      </c>
      <c r="D472" s="170">
        <v>23.74</v>
      </c>
      <c r="E472" s="170">
        <v>18.489999999999998</v>
      </c>
      <c r="F472" s="172">
        <v>2021</v>
      </c>
      <c r="G472" s="172"/>
      <c r="H472" s="172"/>
      <c r="I472" s="172"/>
      <c r="J472" s="172"/>
      <c r="K472" s="172"/>
      <c r="L472" s="172"/>
      <c r="M472" s="172"/>
      <c r="N472" s="175"/>
    </row>
    <row r="473" spans="1:14" ht="15" customHeight="1" x14ac:dyDescent="0.3">
      <c r="A473" s="167" t="s">
        <v>529</v>
      </c>
      <c r="B473" s="167" t="s">
        <v>29</v>
      </c>
      <c r="C473" s="168">
        <v>44411</v>
      </c>
      <c r="D473" s="170">
        <v>22.44</v>
      </c>
      <c r="E473" s="170">
        <v>19.850000000000001</v>
      </c>
      <c r="F473" s="172">
        <v>2021</v>
      </c>
      <c r="G473" s="172"/>
      <c r="H473" s="172"/>
      <c r="I473" s="172"/>
      <c r="J473" s="172"/>
      <c r="K473" s="172"/>
      <c r="L473" s="172"/>
      <c r="M473" s="172"/>
      <c r="N473" s="175"/>
    </row>
    <row r="474" spans="1:14" ht="15" customHeight="1" x14ac:dyDescent="0.3">
      <c r="A474" s="167" t="s">
        <v>530</v>
      </c>
      <c r="B474" s="167" t="s">
        <v>29</v>
      </c>
      <c r="C474" s="168">
        <v>44424</v>
      </c>
      <c r="D474" s="170">
        <v>23.91</v>
      </c>
      <c r="E474" s="170">
        <v>21.62</v>
      </c>
      <c r="F474" s="172">
        <v>2021</v>
      </c>
      <c r="G474" s="172"/>
      <c r="H474" s="172"/>
      <c r="I474" s="172"/>
      <c r="J474" s="172"/>
      <c r="K474" s="172"/>
      <c r="L474" s="172"/>
      <c r="M474" s="172"/>
      <c r="N474" s="175"/>
    </row>
    <row r="475" spans="1:14" ht="15" customHeight="1" x14ac:dyDescent="0.3">
      <c r="A475" s="167" t="s">
        <v>531</v>
      </c>
      <c r="B475" s="167" t="s">
        <v>29</v>
      </c>
      <c r="C475" s="168">
        <v>44439</v>
      </c>
      <c r="D475" s="170">
        <v>24.33</v>
      </c>
      <c r="E475" s="170">
        <v>22.63</v>
      </c>
      <c r="F475" s="172">
        <v>2021</v>
      </c>
      <c r="G475" s="172"/>
      <c r="H475" s="172"/>
      <c r="I475" s="172"/>
      <c r="J475" s="172"/>
      <c r="K475" s="172"/>
      <c r="L475" s="172"/>
      <c r="M475" s="172"/>
      <c r="N475" s="175"/>
    </row>
    <row r="476" spans="1:14" ht="15" customHeight="1" x14ac:dyDescent="0.3">
      <c r="A476" s="167" t="s">
        <v>532</v>
      </c>
      <c r="B476" s="167" t="s">
        <v>29</v>
      </c>
      <c r="C476" s="168">
        <v>44452</v>
      </c>
      <c r="D476" s="170">
        <v>22.91</v>
      </c>
      <c r="E476" s="170">
        <v>22.67</v>
      </c>
      <c r="F476" s="172">
        <v>2021</v>
      </c>
      <c r="G476" s="172"/>
      <c r="H476" s="172"/>
      <c r="I476" s="172"/>
      <c r="J476" s="172"/>
      <c r="K476" s="172"/>
      <c r="L476" s="172"/>
      <c r="M476" s="172"/>
      <c r="N476" s="175"/>
    </row>
    <row r="477" spans="1:14" ht="15" customHeight="1" x14ac:dyDescent="0.3">
      <c r="A477" s="167" t="s">
        <v>533</v>
      </c>
      <c r="B477" s="167" t="s">
        <v>29</v>
      </c>
      <c r="C477" s="168">
        <v>44474</v>
      </c>
      <c r="D477" s="170">
        <v>21.18</v>
      </c>
      <c r="E477" s="170">
        <v>21.24</v>
      </c>
      <c r="F477" s="172">
        <v>2021</v>
      </c>
      <c r="G477" s="172"/>
      <c r="H477" s="172"/>
      <c r="I477" s="172"/>
      <c r="J477" s="172"/>
      <c r="K477" s="172"/>
      <c r="L477" s="172"/>
      <c r="M477" s="172"/>
      <c r="N477" s="175"/>
    </row>
    <row r="478" spans="1:14" ht="15" customHeight="1" x14ac:dyDescent="0.3">
      <c r="A478" s="167" t="s">
        <v>534</v>
      </c>
      <c r="B478" s="167" t="s">
        <v>29</v>
      </c>
      <c r="C478" s="168">
        <v>44508</v>
      </c>
      <c r="D478" s="170">
        <v>14.94</v>
      </c>
      <c r="E478" s="170">
        <v>14.92</v>
      </c>
      <c r="F478" s="172">
        <v>2021</v>
      </c>
      <c r="G478" s="172"/>
      <c r="H478" s="172"/>
      <c r="I478" s="172"/>
      <c r="J478" s="172"/>
      <c r="K478" s="172"/>
      <c r="L478" s="172"/>
      <c r="M478" s="172"/>
      <c r="N478" s="175"/>
    </row>
    <row r="479" spans="1:14" ht="15" customHeight="1" x14ac:dyDescent="0.3">
      <c r="A479" s="167" t="s">
        <v>535</v>
      </c>
      <c r="B479" s="167" t="s">
        <v>29</v>
      </c>
      <c r="C479" s="168">
        <v>44537</v>
      </c>
      <c r="D479" s="170">
        <v>9.5299999999999994</v>
      </c>
      <c r="E479" s="170">
        <v>9.6999999999999993</v>
      </c>
      <c r="F479" s="172">
        <v>2021</v>
      </c>
      <c r="G479" s="172"/>
      <c r="H479" s="172"/>
      <c r="I479" s="172"/>
      <c r="J479" s="172"/>
      <c r="K479" s="172"/>
      <c r="L479" s="172"/>
      <c r="M479" s="172"/>
      <c r="N479" s="175"/>
    </row>
    <row r="480" spans="1:14" ht="15" customHeight="1" x14ac:dyDescent="0.3">
      <c r="A480" s="167" t="s">
        <v>539</v>
      </c>
      <c r="B480" s="167" t="s">
        <v>29</v>
      </c>
      <c r="C480" s="168">
        <v>44594</v>
      </c>
      <c r="D480" s="170">
        <v>1.31</v>
      </c>
      <c r="E480" s="170">
        <v>1.83</v>
      </c>
      <c r="F480" s="172">
        <v>2022</v>
      </c>
      <c r="G480" s="172"/>
      <c r="H480" s="172"/>
      <c r="I480" s="172"/>
      <c r="J480" s="172"/>
      <c r="K480" s="172"/>
      <c r="L480" s="172"/>
      <c r="M480" s="172"/>
      <c r="N480" s="175"/>
    </row>
    <row r="481" spans="1:14" ht="15" customHeight="1" x14ac:dyDescent="0.3">
      <c r="A481" s="167" t="s">
        <v>540</v>
      </c>
      <c r="B481" s="167" t="s">
        <v>29</v>
      </c>
      <c r="C481" s="168">
        <v>44607</v>
      </c>
      <c r="D481" s="170">
        <v>1.7</v>
      </c>
      <c r="E481" s="170">
        <v>1.94</v>
      </c>
      <c r="F481" s="172">
        <v>2022</v>
      </c>
      <c r="G481" s="172"/>
      <c r="H481" s="172"/>
      <c r="I481" s="172"/>
      <c r="J481" s="172"/>
      <c r="K481" s="172"/>
      <c r="L481" s="172"/>
      <c r="M481" s="172"/>
      <c r="N481" s="175"/>
    </row>
    <row r="482" spans="1:14" ht="15" customHeight="1" x14ac:dyDescent="0.3">
      <c r="A482" s="167" t="s">
        <v>541</v>
      </c>
      <c r="B482" s="167" t="s">
        <v>29</v>
      </c>
      <c r="C482" s="168">
        <v>44623</v>
      </c>
      <c r="D482" s="170">
        <v>3.03</v>
      </c>
      <c r="E482" s="170">
        <v>2.88</v>
      </c>
      <c r="F482" s="172">
        <v>2022</v>
      </c>
      <c r="G482" s="172"/>
      <c r="H482" s="172"/>
      <c r="I482" s="172"/>
      <c r="J482" s="172"/>
      <c r="K482" s="172"/>
      <c r="L482" s="172"/>
      <c r="M482" s="172"/>
      <c r="N482" s="175"/>
    </row>
    <row r="483" spans="1:14" ht="15" customHeight="1" x14ac:dyDescent="0.3">
      <c r="A483" s="167" t="s">
        <v>542</v>
      </c>
      <c r="B483" s="167" t="s">
        <v>29</v>
      </c>
      <c r="C483" s="168">
        <v>44656</v>
      </c>
      <c r="D483" s="170">
        <v>5.81</v>
      </c>
      <c r="E483" s="170">
        <v>5.31</v>
      </c>
      <c r="F483" s="172">
        <v>2022</v>
      </c>
      <c r="G483" s="172"/>
      <c r="H483" s="172"/>
      <c r="I483" s="172"/>
      <c r="J483" s="172"/>
      <c r="K483" s="172"/>
      <c r="L483" s="172"/>
      <c r="M483" s="172"/>
      <c r="N483" s="175"/>
    </row>
    <row r="484" spans="1:14" ht="15" customHeight="1" x14ac:dyDescent="0.3">
      <c r="A484" s="167" t="s">
        <v>543</v>
      </c>
      <c r="B484" s="167" t="s">
        <v>29</v>
      </c>
      <c r="C484" s="168">
        <v>44686</v>
      </c>
      <c r="D484" s="170">
        <v>10.82</v>
      </c>
      <c r="E484" s="170">
        <v>9.8000000000000007</v>
      </c>
      <c r="F484" s="172">
        <v>2022</v>
      </c>
      <c r="G484" s="172"/>
      <c r="H484" s="172"/>
      <c r="I484" s="172"/>
      <c r="J484" s="172"/>
      <c r="K484" s="172"/>
      <c r="L484" s="172"/>
      <c r="M484" s="172"/>
      <c r="N484" s="175"/>
    </row>
    <row r="485" spans="1:14" ht="15" customHeight="1" x14ac:dyDescent="0.3">
      <c r="A485" s="167" t="s">
        <v>544</v>
      </c>
      <c r="B485" s="167" t="s">
        <v>29</v>
      </c>
      <c r="C485" s="168">
        <v>44715</v>
      </c>
      <c r="D485" s="170">
        <v>16.649999999999999</v>
      </c>
      <c r="E485" s="170">
        <v>13.95</v>
      </c>
      <c r="F485" s="172">
        <v>2022</v>
      </c>
      <c r="G485" s="172"/>
      <c r="H485" s="172"/>
      <c r="I485" s="172"/>
      <c r="J485" s="172"/>
      <c r="K485" s="172"/>
      <c r="L485" s="172"/>
      <c r="M485" s="172"/>
      <c r="N485" s="175"/>
    </row>
    <row r="486" spans="1:14" ht="15" customHeight="1" x14ac:dyDescent="0.3">
      <c r="A486" s="167" t="s">
        <v>545</v>
      </c>
      <c r="B486" s="167" t="s">
        <v>29</v>
      </c>
      <c r="C486" s="168">
        <v>44726</v>
      </c>
      <c r="D486" s="170">
        <v>17.34</v>
      </c>
      <c r="E486" s="170">
        <v>12.83</v>
      </c>
      <c r="F486" s="172">
        <v>2022</v>
      </c>
      <c r="G486" s="172"/>
      <c r="H486" s="172"/>
      <c r="I486" s="172"/>
      <c r="J486" s="172"/>
      <c r="K486" s="172"/>
      <c r="L486" s="172"/>
      <c r="M486" s="172"/>
      <c r="N486" s="175"/>
    </row>
    <row r="487" spans="1:14" ht="15" customHeight="1" x14ac:dyDescent="0.3">
      <c r="A487" s="167" t="s">
        <v>546</v>
      </c>
      <c r="B487" s="167" t="s">
        <v>29</v>
      </c>
      <c r="C487" s="168">
        <v>44749</v>
      </c>
      <c r="D487" s="170">
        <v>19.420000000000002</v>
      </c>
      <c r="E487" s="170">
        <v>16.13</v>
      </c>
      <c r="F487" s="172">
        <v>2022</v>
      </c>
      <c r="G487" s="172"/>
      <c r="H487" s="172"/>
      <c r="I487" s="172"/>
      <c r="J487" s="172"/>
      <c r="K487" s="172"/>
      <c r="L487" s="172"/>
      <c r="M487" s="172"/>
      <c r="N487" s="175"/>
    </row>
    <row r="488" spans="1:14" ht="15" customHeight="1" x14ac:dyDescent="0.3">
      <c r="A488" s="167" t="s">
        <v>547</v>
      </c>
      <c r="B488" s="167" t="s">
        <v>29</v>
      </c>
      <c r="C488" s="168">
        <v>44761</v>
      </c>
      <c r="D488" s="170">
        <v>22.67</v>
      </c>
      <c r="E488" s="170">
        <v>19.09</v>
      </c>
      <c r="F488" s="172">
        <v>2022</v>
      </c>
      <c r="G488" s="172"/>
      <c r="H488" s="172"/>
      <c r="I488" s="172"/>
      <c r="J488" s="172"/>
      <c r="K488" s="172"/>
      <c r="L488" s="172"/>
      <c r="M488" s="172"/>
      <c r="N488" s="175"/>
    </row>
    <row r="489" spans="1:14" ht="15" customHeight="1" x14ac:dyDescent="0.3">
      <c r="A489" s="167" t="s">
        <v>548</v>
      </c>
      <c r="B489" s="167" t="s">
        <v>29</v>
      </c>
      <c r="C489" s="168">
        <v>44775</v>
      </c>
      <c r="D489" s="170">
        <v>23.12</v>
      </c>
      <c r="E489" s="170">
        <v>20.010000000000002</v>
      </c>
      <c r="F489" s="172">
        <v>2022</v>
      </c>
      <c r="G489" s="172"/>
      <c r="H489" s="172"/>
      <c r="I489" s="172"/>
      <c r="J489" s="172"/>
      <c r="K489" s="172"/>
      <c r="L489" s="172"/>
      <c r="M489" s="172"/>
      <c r="N489" s="175"/>
    </row>
    <row r="490" spans="1:14" ht="15" customHeight="1" x14ac:dyDescent="0.3">
      <c r="A490" s="167" t="s">
        <v>549</v>
      </c>
      <c r="B490" s="167" t="s">
        <v>29</v>
      </c>
      <c r="C490" s="168">
        <v>44790</v>
      </c>
      <c r="D490" s="170">
        <v>23.29</v>
      </c>
      <c r="E490" s="170">
        <v>21.96</v>
      </c>
      <c r="F490" s="172">
        <v>2022</v>
      </c>
      <c r="G490" s="172"/>
      <c r="H490" s="172"/>
      <c r="I490" s="172"/>
      <c r="J490" s="172"/>
      <c r="K490" s="172"/>
      <c r="L490" s="172"/>
      <c r="M490" s="172"/>
      <c r="N490" s="175"/>
    </row>
    <row r="491" spans="1:14" ht="15" customHeight="1" x14ac:dyDescent="0.3">
      <c r="A491" s="167" t="s">
        <v>550</v>
      </c>
      <c r="B491" s="167" t="s">
        <v>29</v>
      </c>
      <c r="C491" s="168">
        <v>44805</v>
      </c>
      <c r="D491" s="170">
        <v>24.34</v>
      </c>
      <c r="E491" s="170">
        <v>24.01</v>
      </c>
      <c r="F491" s="172">
        <v>2022</v>
      </c>
      <c r="G491" s="172"/>
      <c r="H491" s="172"/>
      <c r="I491" s="172"/>
      <c r="J491" s="172"/>
      <c r="K491" s="172"/>
      <c r="L491" s="172"/>
      <c r="M491" s="172"/>
      <c r="N491" s="175"/>
    </row>
    <row r="492" spans="1:14" ht="15" customHeight="1" x14ac:dyDescent="0.3">
      <c r="A492" s="167" t="s">
        <v>551</v>
      </c>
      <c r="B492" s="167" t="s">
        <v>29</v>
      </c>
      <c r="C492" s="168">
        <v>44817</v>
      </c>
      <c r="D492" s="170">
        <v>23.38</v>
      </c>
      <c r="E492" s="170">
        <v>23.26</v>
      </c>
      <c r="F492" s="172">
        <v>2022</v>
      </c>
      <c r="G492" s="172"/>
      <c r="H492" s="172"/>
      <c r="I492" s="172"/>
      <c r="J492" s="172"/>
      <c r="K492" s="172"/>
      <c r="L492" s="172"/>
      <c r="M492" s="172"/>
      <c r="N492" s="175"/>
    </row>
    <row r="493" spans="1:14" ht="15" customHeight="1" x14ac:dyDescent="0.3">
      <c r="A493" s="167" t="s">
        <v>552</v>
      </c>
      <c r="B493" s="167" t="s">
        <v>29</v>
      </c>
      <c r="C493" s="168">
        <v>44845</v>
      </c>
      <c r="D493" s="170">
        <v>17.489999999999998</v>
      </c>
      <c r="E493" s="170">
        <v>17.47</v>
      </c>
      <c r="F493" s="172">
        <v>2022</v>
      </c>
      <c r="G493" s="172"/>
      <c r="H493" s="172"/>
      <c r="I493" s="172"/>
      <c r="J493" s="172"/>
      <c r="K493" s="172"/>
      <c r="L493" s="172"/>
      <c r="M493" s="172"/>
      <c r="N493" s="175"/>
    </row>
    <row r="494" spans="1:14" ht="15" customHeight="1" x14ac:dyDescent="0.3">
      <c r="A494" s="167" t="s">
        <v>553</v>
      </c>
      <c r="B494" s="167" t="s">
        <v>29</v>
      </c>
      <c r="C494" s="168">
        <v>44874</v>
      </c>
      <c r="D494" s="170">
        <v>15.54</v>
      </c>
      <c r="E494" s="170">
        <v>15.73</v>
      </c>
      <c r="F494" s="172">
        <v>2022</v>
      </c>
      <c r="G494" s="172"/>
      <c r="H494" s="172"/>
      <c r="I494" s="172"/>
      <c r="J494" s="172"/>
      <c r="K494" s="172"/>
      <c r="L494" s="172"/>
      <c r="M494" s="172"/>
      <c r="N494" s="175"/>
    </row>
    <row r="495" spans="1:14" ht="15" customHeight="1" x14ac:dyDescent="0.3">
      <c r="A495" s="167" t="s">
        <v>556</v>
      </c>
      <c r="B495" s="167" t="s">
        <v>29</v>
      </c>
      <c r="C495" s="168">
        <v>44900</v>
      </c>
      <c r="D495" s="170">
        <v>9.44</v>
      </c>
      <c r="E495" s="170">
        <v>10.3</v>
      </c>
      <c r="F495" s="172">
        <v>2022</v>
      </c>
      <c r="G495" s="172"/>
      <c r="H495" s="172"/>
      <c r="I495" s="172"/>
      <c r="J495" s="172"/>
      <c r="K495" s="172"/>
      <c r="L495" s="172"/>
      <c r="M495" s="172"/>
      <c r="N495" s="175"/>
    </row>
    <row r="496" spans="1:14" ht="15" customHeight="1" x14ac:dyDescent="0.3">
      <c r="A496" s="167" t="s">
        <v>557</v>
      </c>
      <c r="B496" s="167" t="s">
        <v>29</v>
      </c>
      <c r="C496" s="168">
        <v>44931</v>
      </c>
      <c r="D496" s="170">
        <v>5.31</v>
      </c>
      <c r="E496" s="170">
        <v>5.45</v>
      </c>
      <c r="F496" s="172">
        <v>2023</v>
      </c>
      <c r="G496" s="172"/>
      <c r="H496" s="172"/>
      <c r="I496" s="172"/>
      <c r="J496" s="172"/>
      <c r="K496" s="172"/>
      <c r="L496" s="172"/>
      <c r="M496" s="172"/>
      <c r="N496" s="175"/>
    </row>
    <row r="497" spans="1:14" ht="15" customHeight="1" x14ac:dyDescent="0.3">
      <c r="A497" s="167" t="s">
        <v>558</v>
      </c>
      <c r="B497" s="167" t="s">
        <v>29</v>
      </c>
      <c r="C497" s="168">
        <v>44964</v>
      </c>
      <c r="D497" s="170">
        <v>3.23</v>
      </c>
      <c r="E497" s="170">
        <v>3.87</v>
      </c>
      <c r="F497" s="172">
        <v>2023</v>
      </c>
      <c r="G497" s="172"/>
      <c r="H497" s="172"/>
      <c r="I497" s="172"/>
      <c r="J497" s="172"/>
      <c r="K497" s="172"/>
      <c r="L497" s="172"/>
      <c r="M497" s="172"/>
      <c r="N497" s="175"/>
    </row>
    <row r="498" spans="1:14" ht="15" customHeight="1" x14ac:dyDescent="0.3">
      <c r="A498" s="167" t="s">
        <v>559</v>
      </c>
      <c r="B498" s="167" t="s">
        <v>29</v>
      </c>
      <c r="C498" s="168">
        <v>45034</v>
      </c>
      <c r="D498" s="170">
        <v>10.29</v>
      </c>
      <c r="E498" s="170">
        <v>10.33</v>
      </c>
      <c r="F498" s="172">
        <v>2023</v>
      </c>
      <c r="G498" s="172"/>
      <c r="H498" s="172"/>
      <c r="I498" s="172"/>
      <c r="J498" s="172"/>
      <c r="K498" s="172"/>
      <c r="L498" s="172"/>
      <c r="M498" s="172"/>
      <c r="N498" s="175"/>
    </row>
    <row r="499" spans="1:14" ht="15" customHeight="1" x14ac:dyDescent="0.3">
      <c r="A499" s="167" t="s">
        <v>560</v>
      </c>
      <c r="B499" s="167" t="s">
        <v>29</v>
      </c>
      <c r="C499" s="168">
        <v>45050</v>
      </c>
      <c r="D499" s="170">
        <v>11.48</v>
      </c>
      <c r="E499" s="170">
        <v>10.64</v>
      </c>
      <c r="F499" s="172">
        <v>2023</v>
      </c>
      <c r="G499" s="172"/>
      <c r="H499" s="172"/>
      <c r="I499" s="172"/>
      <c r="J499" s="172"/>
      <c r="K499" s="172"/>
      <c r="L499" s="172"/>
      <c r="M499" s="172"/>
      <c r="N499" s="175"/>
    </row>
    <row r="500" spans="1:14" ht="15" customHeight="1" x14ac:dyDescent="0.3">
      <c r="A500" s="167" t="s">
        <v>561</v>
      </c>
      <c r="B500" s="167" t="s">
        <v>29</v>
      </c>
      <c r="C500" s="168">
        <v>45078</v>
      </c>
      <c r="D500" s="170">
        <v>17.510000000000002</v>
      </c>
      <c r="E500" s="170">
        <v>14.86</v>
      </c>
      <c r="F500" s="172">
        <v>2023</v>
      </c>
      <c r="G500" s="172"/>
      <c r="H500" s="172"/>
      <c r="I500" s="172"/>
      <c r="J500" s="172"/>
      <c r="K500" s="172"/>
      <c r="L500" s="172"/>
      <c r="M500" s="172"/>
      <c r="N500" s="175"/>
    </row>
    <row r="501" spans="1:14" ht="15" customHeight="1" x14ac:dyDescent="0.3">
      <c r="A501" s="167" t="s">
        <v>562</v>
      </c>
      <c r="B501" s="167" t="s">
        <v>29</v>
      </c>
      <c r="C501" s="168">
        <v>45100</v>
      </c>
      <c r="D501" s="170">
        <v>18.55</v>
      </c>
      <c r="E501" s="170">
        <v>18.059999999999999</v>
      </c>
      <c r="F501" s="172">
        <v>2023</v>
      </c>
      <c r="G501" s="172"/>
      <c r="H501" s="172"/>
      <c r="I501" s="172"/>
      <c r="J501" s="172"/>
      <c r="K501" s="172"/>
      <c r="L501" s="172"/>
      <c r="M501" s="172"/>
      <c r="N501" s="175"/>
    </row>
    <row r="502" spans="1:14" ht="15" customHeight="1" x14ac:dyDescent="0.3">
      <c r="A502" s="167" t="s">
        <v>563</v>
      </c>
      <c r="B502" s="167" t="s">
        <v>29</v>
      </c>
      <c r="C502" s="168">
        <v>45117</v>
      </c>
      <c r="D502" s="170">
        <v>23.33</v>
      </c>
      <c r="E502" s="170">
        <v>19.32</v>
      </c>
      <c r="F502" s="172">
        <v>2023</v>
      </c>
      <c r="G502" s="172"/>
      <c r="H502" s="172"/>
      <c r="I502" s="172"/>
      <c r="J502" s="172"/>
      <c r="K502" s="172"/>
      <c r="L502" s="172"/>
      <c r="M502" s="172"/>
      <c r="N502" s="175"/>
    </row>
    <row r="503" spans="1:14" ht="15" customHeight="1" x14ac:dyDescent="0.3">
      <c r="A503" s="167" t="s">
        <v>564</v>
      </c>
      <c r="B503" s="167" t="s">
        <v>29</v>
      </c>
      <c r="C503" s="168">
        <v>45124</v>
      </c>
      <c r="D503" s="170">
        <v>24.06</v>
      </c>
      <c r="E503" s="170">
        <v>18.39</v>
      </c>
      <c r="F503" s="172">
        <v>2023</v>
      </c>
      <c r="G503" s="172"/>
      <c r="H503" s="172"/>
      <c r="I503" s="172"/>
      <c r="J503" s="172"/>
      <c r="K503" s="172"/>
      <c r="L503" s="172"/>
      <c r="M503" s="172"/>
      <c r="N503" s="175"/>
    </row>
    <row r="504" spans="1:14" ht="15" customHeight="1" x14ac:dyDescent="0.3">
      <c r="A504" s="167" t="s">
        <v>565</v>
      </c>
      <c r="B504" s="167" t="s">
        <v>29</v>
      </c>
      <c r="C504" s="168">
        <v>45140</v>
      </c>
      <c r="D504" s="170">
        <v>22.79</v>
      </c>
      <c r="E504" s="170">
        <v>20.41</v>
      </c>
      <c r="F504" s="172">
        <v>2023</v>
      </c>
      <c r="G504" s="172"/>
      <c r="H504" s="172"/>
      <c r="I504" s="172"/>
      <c r="J504" s="172"/>
      <c r="K504" s="172"/>
      <c r="L504" s="172"/>
      <c r="M504" s="172"/>
      <c r="N504" s="175"/>
    </row>
    <row r="505" spans="1:14" ht="15" customHeight="1" x14ac:dyDescent="0.3">
      <c r="A505" s="167" t="s">
        <v>566</v>
      </c>
      <c r="B505" s="167" t="s">
        <v>29</v>
      </c>
      <c r="C505" s="168">
        <v>45152</v>
      </c>
      <c r="D505" s="170">
        <v>23.86</v>
      </c>
      <c r="E505" s="170">
        <v>21.27</v>
      </c>
      <c r="F505" s="172">
        <v>2023</v>
      </c>
      <c r="G505" s="172"/>
      <c r="H505" s="172"/>
      <c r="I505" s="172"/>
      <c r="J505" s="172"/>
      <c r="K505" s="172"/>
      <c r="L505" s="172"/>
      <c r="M505" s="172"/>
      <c r="N505" s="175"/>
    </row>
    <row r="506" spans="1:14" ht="15" customHeight="1" x14ac:dyDescent="0.3">
      <c r="A506" s="167" t="s">
        <v>567</v>
      </c>
      <c r="B506" s="167" t="s">
        <v>29</v>
      </c>
      <c r="C506" s="168">
        <v>45176</v>
      </c>
      <c r="D506" s="170">
        <v>24.51</v>
      </c>
      <c r="E506" s="170">
        <v>22.54</v>
      </c>
      <c r="F506" s="172">
        <v>2023</v>
      </c>
      <c r="G506" s="172"/>
      <c r="H506" s="172"/>
      <c r="I506" s="172"/>
      <c r="J506" s="172"/>
      <c r="K506" s="172"/>
      <c r="L506" s="172"/>
      <c r="M506" s="172"/>
      <c r="N506" s="175"/>
    </row>
    <row r="507" spans="1:14" ht="15" customHeight="1" x14ac:dyDescent="0.3">
      <c r="A507" s="167" t="s">
        <v>568</v>
      </c>
      <c r="B507" s="167" t="s">
        <v>29</v>
      </c>
      <c r="C507" s="168">
        <v>45209</v>
      </c>
      <c r="D507" s="170">
        <v>18.47</v>
      </c>
      <c r="E507" s="170">
        <v>18.55</v>
      </c>
      <c r="F507" s="172">
        <v>2023</v>
      </c>
      <c r="G507" s="172"/>
      <c r="H507" s="172"/>
      <c r="I507" s="172"/>
      <c r="J507" s="172"/>
      <c r="K507" s="172"/>
      <c r="L507" s="172"/>
      <c r="M507" s="172"/>
      <c r="N507" s="175"/>
    </row>
    <row r="508" spans="1:14" ht="15" customHeight="1" x14ac:dyDescent="0.3">
      <c r="A508" s="167" t="s">
        <v>569</v>
      </c>
      <c r="B508" s="167" t="s">
        <v>29</v>
      </c>
      <c r="C508" s="168">
        <v>45238</v>
      </c>
      <c r="D508" s="170">
        <v>14.4</v>
      </c>
      <c r="E508" s="170">
        <v>14.76</v>
      </c>
      <c r="F508" s="172">
        <v>2023</v>
      </c>
      <c r="G508" s="172"/>
      <c r="H508" s="172"/>
      <c r="I508" s="172"/>
      <c r="J508" s="172"/>
      <c r="K508" s="172"/>
      <c r="L508" s="172"/>
      <c r="M508" s="172"/>
      <c r="N508" s="175"/>
    </row>
    <row r="509" spans="1:14" ht="15" customHeight="1" x14ac:dyDescent="0.3">
      <c r="A509" s="167" t="s">
        <v>570</v>
      </c>
      <c r="B509" s="167" t="s">
        <v>29</v>
      </c>
      <c r="C509" s="168">
        <v>45266</v>
      </c>
      <c r="D509" s="170">
        <v>8.66</v>
      </c>
      <c r="E509" s="170">
        <v>9.4499999999999993</v>
      </c>
      <c r="F509" s="172">
        <v>2023</v>
      </c>
      <c r="G509" s="172"/>
      <c r="H509" s="172"/>
      <c r="I509" s="172"/>
      <c r="J509" s="172"/>
      <c r="K509" s="172"/>
      <c r="L509" s="172"/>
      <c r="M509" s="172"/>
      <c r="N509" s="175"/>
    </row>
    <row r="510" spans="1:14" ht="15" customHeight="1" x14ac:dyDescent="0.3">
      <c r="A510" s="167" t="s">
        <v>571</v>
      </c>
      <c r="B510" s="167" t="s">
        <v>29</v>
      </c>
      <c r="C510" s="168">
        <v>45299</v>
      </c>
      <c r="D510" s="170">
        <v>6.05</v>
      </c>
      <c r="E510" s="170">
        <v>6.14</v>
      </c>
      <c r="F510" s="172">
        <v>2024</v>
      </c>
      <c r="G510" s="172"/>
      <c r="H510" s="172"/>
      <c r="I510" s="172"/>
      <c r="J510" s="172"/>
      <c r="K510" s="172"/>
      <c r="L510" s="172"/>
      <c r="M510" s="172"/>
      <c r="N510" s="175"/>
    </row>
    <row r="511" spans="1:14" ht="15" customHeight="1" x14ac:dyDescent="0.3">
      <c r="A511" s="167" t="s">
        <v>572</v>
      </c>
      <c r="B511" s="167" t="s">
        <v>29</v>
      </c>
      <c r="C511" s="168">
        <v>45328</v>
      </c>
      <c r="D511" s="170">
        <v>3.75</v>
      </c>
      <c r="E511" s="170">
        <v>3.89</v>
      </c>
      <c r="F511" s="172">
        <v>2024</v>
      </c>
      <c r="G511" s="172"/>
      <c r="H511" s="172"/>
      <c r="I511" s="172"/>
      <c r="J511" s="172"/>
      <c r="K511" s="172"/>
      <c r="L511" s="172"/>
      <c r="M511" s="172"/>
      <c r="N511" s="175"/>
    </row>
    <row r="512" spans="1:14" ht="15" customHeight="1" x14ac:dyDescent="0.3">
      <c r="A512" s="167" t="s">
        <v>573</v>
      </c>
      <c r="B512" s="167" t="s">
        <v>29</v>
      </c>
      <c r="C512" s="168">
        <v>45344</v>
      </c>
      <c r="D512" s="170">
        <v>3.37</v>
      </c>
      <c r="E512" s="170">
        <v>3.57</v>
      </c>
      <c r="F512" s="172">
        <v>2024</v>
      </c>
      <c r="G512" s="172"/>
      <c r="H512" s="172"/>
      <c r="I512" s="172"/>
      <c r="J512" s="172"/>
      <c r="K512" s="172"/>
      <c r="L512" s="172"/>
      <c r="M512" s="172"/>
      <c r="N512" s="175"/>
    </row>
    <row r="513" spans="1:14" ht="15" customHeight="1" x14ac:dyDescent="0.3">
      <c r="A513" s="167" t="s">
        <v>574</v>
      </c>
      <c r="B513" s="167" t="s">
        <v>29</v>
      </c>
      <c r="C513" s="168">
        <v>45357</v>
      </c>
      <c r="D513" s="170">
        <v>4.75</v>
      </c>
      <c r="E513" s="170">
        <v>4.47</v>
      </c>
      <c r="F513" s="172">
        <v>2024</v>
      </c>
      <c r="G513" s="172"/>
      <c r="H513" s="172"/>
      <c r="I513" s="172"/>
      <c r="J513" s="172"/>
      <c r="K513" s="172"/>
      <c r="L513" s="172"/>
      <c r="M513" s="172"/>
      <c r="N513" s="175"/>
    </row>
    <row r="514" spans="1:14" ht="15" customHeight="1" x14ac:dyDescent="0.3">
      <c r="A514" s="167" t="s">
        <v>575</v>
      </c>
      <c r="B514" s="167" t="s">
        <v>29</v>
      </c>
      <c r="C514" s="168">
        <v>45369</v>
      </c>
      <c r="D514" s="170">
        <v>6.95</v>
      </c>
      <c r="E514" s="170">
        <v>5.26</v>
      </c>
      <c r="F514" s="172">
        <v>2024</v>
      </c>
      <c r="G514" s="172"/>
      <c r="H514" s="172"/>
      <c r="I514" s="172"/>
      <c r="J514" s="172"/>
      <c r="K514" s="172"/>
      <c r="L514" s="172"/>
      <c r="M514" s="172"/>
      <c r="N514" s="175"/>
    </row>
    <row r="515" spans="1:14" ht="15" customHeight="1" x14ac:dyDescent="0.3">
      <c r="A515" s="167" t="s">
        <v>576</v>
      </c>
      <c r="B515" s="167" t="s">
        <v>29</v>
      </c>
      <c r="C515" s="168">
        <v>45390</v>
      </c>
      <c r="D515" s="170">
        <v>6.75</v>
      </c>
      <c r="E515" s="170">
        <v>6.64</v>
      </c>
      <c r="F515" s="172">
        <v>2024</v>
      </c>
      <c r="G515" s="172"/>
      <c r="H515" s="172"/>
      <c r="I515" s="172"/>
      <c r="J515" s="172"/>
      <c r="K515" s="172"/>
      <c r="L515" s="172"/>
      <c r="M515" s="172"/>
      <c r="N515" s="175"/>
    </row>
    <row r="516" spans="1:14" ht="15" customHeight="1" x14ac:dyDescent="0.3">
      <c r="A516" s="167" t="s">
        <v>577</v>
      </c>
      <c r="B516" s="167" t="s">
        <v>29</v>
      </c>
      <c r="C516" s="168">
        <v>45415</v>
      </c>
      <c r="D516" s="170">
        <v>12.19</v>
      </c>
      <c r="E516" s="170">
        <v>10.119999999999999</v>
      </c>
      <c r="F516" s="172">
        <v>2024</v>
      </c>
      <c r="G516" s="172"/>
      <c r="H516" s="172"/>
      <c r="I516" s="172"/>
      <c r="J516" s="172"/>
      <c r="K516" s="172"/>
      <c r="L516" s="172"/>
      <c r="M516" s="172"/>
      <c r="N516" s="175"/>
    </row>
    <row r="517" spans="1:14" ht="15" customHeight="1" x14ac:dyDescent="0.3">
      <c r="A517" s="167" t="s">
        <v>578</v>
      </c>
      <c r="B517" s="167" t="s">
        <v>29</v>
      </c>
      <c r="C517" s="168">
        <v>45447</v>
      </c>
      <c r="D517" s="170">
        <v>16.27</v>
      </c>
      <c r="E517" s="170">
        <v>11.96</v>
      </c>
      <c r="F517" s="172">
        <v>2024</v>
      </c>
      <c r="G517" s="172"/>
      <c r="H517" s="172"/>
      <c r="I517" s="172"/>
      <c r="J517" s="172"/>
      <c r="K517" s="172"/>
      <c r="L517" s="172"/>
      <c r="M517" s="172"/>
      <c r="N517" s="175"/>
    </row>
    <row r="518" spans="1:14" ht="15" customHeight="1" x14ac:dyDescent="0.3">
      <c r="A518" s="167" t="s">
        <v>579</v>
      </c>
      <c r="B518" s="167" t="s">
        <v>29</v>
      </c>
      <c r="C518" s="168">
        <v>45460</v>
      </c>
      <c r="D518" s="170">
        <v>17.95</v>
      </c>
      <c r="E518" s="170">
        <v>13.25</v>
      </c>
      <c r="F518" s="172">
        <v>2024</v>
      </c>
      <c r="G518" s="172"/>
      <c r="H518" s="172"/>
      <c r="I518" s="172"/>
      <c r="J518" s="172"/>
      <c r="K518" s="172"/>
      <c r="L518" s="172"/>
      <c r="M518" s="172"/>
      <c r="N518" s="175"/>
    </row>
    <row r="519" spans="1:14" ht="15" customHeight="1" x14ac:dyDescent="0.3">
      <c r="A519" s="167" t="s">
        <v>580</v>
      </c>
      <c r="B519" s="167" t="s">
        <v>29</v>
      </c>
      <c r="C519" s="168">
        <v>45475</v>
      </c>
      <c r="D519" s="170">
        <v>19.600000000000001</v>
      </c>
      <c r="E519" s="170">
        <v>16.29</v>
      </c>
      <c r="F519" s="172">
        <v>2024</v>
      </c>
      <c r="G519" s="172"/>
      <c r="H519" s="172"/>
      <c r="I519" s="172"/>
      <c r="J519" s="172"/>
      <c r="K519" s="172"/>
      <c r="L519" s="172"/>
      <c r="M519" s="172"/>
      <c r="N519" s="175"/>
    </row>
    <row r="520" spans="1:14" ht="15" customHeight="1" x14ac:dyDescent="0.3">
      <c r="A520" s="167" t="s">
        <v>581</v>
      </c>
      <c r="B520" s="167" t="s">
        <v>29</v>
      </c>
      <c r="C520" s="168">
        <v>45489</v>
      </c>
      <c r="D520" s="170">
        <v>21.66</v>
      </c>
      <c r="E520" s="170">
        <v>17.41</v>
      </c>
      <c r="F520" s="172">
        <v>2024</v>
      </c>
      <c r="G520" s="172"/>
      <c r="H520" s="172"/>
      <c r="I520" s="172"/>
      <c r="J520" s="172"/>
      <c r="K520" s="172"/>
      <c r="L520" s="172"/>
      <c r="M520" s="172"/>
      <c r="N520" s="175"/>
    </row>
    <row r="521" spans="1:14" ht="15" customHeight="1" x14ac:dyDescent="0.3">
      <c r="A521" s="167" t="s">
        <v>582</v>
      </c>
      <c r="B521" s="167" t="s">
        <v>29</v>
      </c>
      <c r="C521" s="168">
        <v>45504</v>
      </c>
      <c r="D521" s="170">
        <v>23.42</v>
      </c>
      <c r="E521" s="170">
        <v>20.05</v>
      </c>
      <c r="F521" s="172">
        <v>2024</v>
      </c>
      <c r="G521" s="172"/>
      <c r="H521" s="172"/>
      <c r="I521" s="172"/>
      <c r="J521" s="172"/>
      <c r="K521" s="172"/>
      <c r="L521" s="172"/>
      <c r="M521" s="172"/>
      <c r="N521" s="175"/>
    </row>
    <row r="522" spans="1:14" ht="15" customHeight="1" x14ac:dyDescent="0.3">
      <c r="A522" s="167" t="s">
        <v>583</v>
      </c>
      <c r="B522" s="167" t="s">
        <v>29</v>
      </c>
      <c r="C522" s="168">
        <v>45516</v>
      </c>
      <c r="D522" s="170">
        <v>23.8</v>
      </c>
      <c r="E522" s="170">
        <v>21.93</v>
      </c>
      <c r="F522" s="172">
        <v>2024</v>
      </c>
      <c r="G522" s="172"/>
      <c r="H522" s="172"/>
      <c r="I522" s="172"/>
      <c r="J522" s="172"/>
      <c r="K522" s="172"/>
      <c r="L522" s="172"/>
      <c r="M522" s="172"/>
      <c r="N522" s="175"/>
    </row>
    <row r="523" spans="1:14" ht="15" customHeight="1" x14ac:dyDescent="0.3">
      <c r="A523" s="167" t="s">
        <v>584</v>
      </c>
      <c r="B523" s="167" t="s">
        <v>29</v>
      </c>
      <c r="C523" s="168">
        <v>45531</v>
      </c>
      <c r="D523" s="170">
        <v>23.4</v>
      </c>
      <c r="E523" s="170">
        <v>21.88</v>
      </c>
      <c r="F523" s="172">
        <v>2024</v>
      </c>
      <c r="G523" s="172"/>
      <c r="H523" s="172"/>
      <c r="I523" s="172"/>
      <c r="J523" s="172"/>
      <c r="K523" s="172"/>
      <c r="L523" s="172"/>
      <c r="M523" s="172"/>
      <c r="N523" s="175"/>
    </row>
    <row r="524" spans="1:14" ht="15" customHeight="1" x14ac:dyDescent="0.3">
      <c r="A524" s="167" t="s">
        <v>585</v>
      </c>
      <c r="B524" s="167" t="s">
        <v>29</v>
      </c>
      <c r="C524" s="168">
        <v>45568</v>
      </c>
      <c r="D524" s="170">
        <v>20.27</v>
      </c>
      <c r="E524" s="170">
        <v>20.27</v>
      </c>
      <c r="F524" s="172">
        <v>2024</v>
      </c>
      <c r="G524" s="172"/>
      <c r="H524" s="172"/>
      <c r="I524" s="172"/>
      <c r="J524" s="172"/>
      <c r="K524" s="172"/>
      <c r="L524" s="172"/>
      <c r="M524" s="172"/>
      <c r="N524" s="175"/>
    </row>
    <row r="525" spans="1:14" ht="15" customHeight="1" x14ac:dyDescent="0.3">
      <c r="A525" t="s">
        <v>601</v>
      </c>
      <c r="B525" t="s">
        <v>29</v>
      </c>
      <c r="C525" s="34">
        <v>45687</v>
      </c>
      <c r="D525">
        <v>1.59</v>
      </c>
      <c r="E525">
        <v>1.95</v>
      </c>
      <c r="F525" s="173">
        <v>2025</v>
      </c>
    </row>
    <row r="526" spans="1:14" ht="15" customHeight="1" x14ac:dyDescent="0.3">
      <c r="A526" t="s">
        <v>593</v>
      </c>
      <c r="B526" t="s">
        <v>29</v>
      </c>
      <c r="C526" s="34">
        <v>45727</v>
      </c>
      <c r="D526">
        <v>3.5</v>
      </c>
      <c r="E526">
        <v>2.73</v>
      </c>
      <c r="F526" s="173">
        <v>2025</v>
      </c>
    </row>
    <row r="527" spans="1:14" ht="15" customHeight="1" x14ac:dyDescent="0.3">
      <c r="A527" t="s">
        <v>594</v>
      </c>
      <c r="B527" t="s">
        <v>29</v>
      </c>
      <c r="C527" s="34">
        <v>45748</v>
      </c>
      <c r="D527">
        <v>6.83</v>
      </c>
      <c r="E527">
        <v>5.95</v>
      </c>
      <c r="F527" s="173">
        <v>2025</v>
      </c>
    </row>
    <row r="528" spans="1:14" ht="15" customHeight="1" x14ac:dyDescent="0.3">
      <c r="A528" t="s">
        <v>595</v>
      </c>
      <c r="B528" t="s">
        <v>29</v>
      </c>
      <c r="C528" s="34">
        <v>45783</v>
      </c>
      <c r="D528">
        <v>12.64</v>
      </c>
      <c r="E528">
        <v>10.72</v>
      </c>
      <c r="F528" s="173">
        <v>2025</v>
      </c>
    </row>
    <row r="529" spans="1:6" ht="15" customHeight="1" x14ac:dyDescent="0.3">
      <c r="A529" t="s">
        <v>596</v>
      </c>
      <c r="B529" t="s">
        <v>29</v>
      </c>
      <c r="C529" s="34">
        <v>45811</v>
      </c>
      <c r="D529">
        <v>15.8</v>
      </c>
      <c r="E529">
        <v>13.9</v>
      </c>
      <c r="F529" s="173">
        <v>2025</v>
      </c>
    </row>
    <row r="530" spans="1:6" ht="15" customHeight="1" x14ac:dyDescent="0.3">
      <c r="A530" t="s">
        <v>597</v>
      </c>
      <c r="B530" t="s">
        <v>29</v>
      </c>
      <c r="C530" s="34">
        <v>45839</v>
      </c>
      <c r="D530">
        <v>22.18</v>
      </c>
      <c r="E530">
        <v>18.510000000000002</v>
      </c>
      <c r="F530" s="173">
        <v>2025</v>
      </c>
    </row>
    <row r="531" spans="1:6" ht="15" customHeight="1" x14ac:dyDescent="0.3">
      <c r="A531" t="s">
        <v>598</v>
      </c>
      <c r="B531" t="s">
        <v>29</v>
      </c>
      <c r="C531" s="34">
        <v>45852</v>
      </c>
      <c r="D531">
        <v>23.77</v>
      </c>
      <c r="E531">
        <v>17.809999999999999</v>
      </c>
      <c r="F531" s="173">
        <v>2025</v>
      </c>
    </row>
    <row r="532" spans="1:6" ht="15" customHeight="1" x14ac:dyDescent="0.3">
      <c r="A532" t="s">
        <v>599</v>
      </c>
      <c r="B532" t="s">
        <v>29</v>
      </c>
      <c r="C532" s="34">
        <v>45868</v>
      </c>
      <c r="D532">
        <v>23.19</v>
      </c>
      <c r="E532">
        <v>19.59</v>
      </c>
      <c r="F532" s="173">
        <v>2025</v>
      </c>
    </row>
    <row r="533" spans="1:6" ht="15" customHeight="1" x14ac:dyDescent="0.3">
      <c r="A533" t="s">
        <v>600</v>
      </c>
      <c r="B533" t="s">
        <v>29</v>
      </c>
      <c r="C533" s="34">
        <v>45880</v>
      </c>
      <c r="D533">
        <v>24.11</v>
      </c>
      <c r="E533">
        <v>22.25</v>
      </c>
      <c r="F533" s="173">
        <v>2025</v>
      </c>
    </row>
    <row r="534" spans="1:6" ht="15" customHeight="1" x14ac:dyDescent="0.3">
      <c r="A534" t="s">
        <v>603</v>
      </c>
      <c r="B534" t="s">
        <v>29</v>
      </c>
      <c r="C534" s="34">
        <v>45896</v>
      </c>
      <c r="D534">
        <v>22.8</v>
      </c>
      <c r="E534">
        <v>22.43</v>
      </c>
      <c r="F534" s="173">
        <v>2025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59"/>
  <sheetViews>
    <sheetView workbookViewId="0">
      <pane ySplit="1" topLeftCell="A436" activePane="bottomLeft" state="frozen"/>
      <selection pane="bottomLeft" activeCell="A459" sqref="A459"/>
    </sheetView>
  </sheetViews>
  <sheetFormatPr defaultRowHeight="15" customHeight="1" x14ac:dyDescent="0.3"/>
  <cols>
    <col min="1" max="1" width="11.88671875" customWidth="1"/>
    <col min="2" max="2" width="10.6640625" bestFit="1" customWidth="1"/>
    <col min="5" max="5" width="7.5546875" bestFit="1" customWidth="1"/>
    <col min="10" max="10" width="12.5546875" bestFit="1" customWidth="1"/>
    <col min="11" max="11" width="16.88671875" bestFit="1" customWidth="1"/>
    <col min="12" max="12" width="17" bestFit="1" customWidth="1"/>
    <col min="15" max="15" width="17.6640625" bestFit="1" customWidth="1"/>
    <col min="16" max="16" width="17.88671875" bestFit="1" customWidth="1"/>
  </cols>
  <sheetData>
    <row r="1" spans="1:16" ht="15" customHeight="1" x14ac:dyDescent="0.3">
      <c r="A1" s="41" t="s">
        <v>1</v>
      </c>
      <c r="B1" s="41" t="s">
        <v>3</v>
      </c>
      <c r="C1" s="41" t="s">
        <v>2</v>
      </c>
      <c r="D1" s="41" t="s">
        <v>4</v>
      </c>
      <c r="E1" s="41" t="s">
        <v>5</v>
      </c>
      <c r="F1" s="48" t="s">
        <v>480</v>
      </c>
      <c r="J1" s="47" t="s">
        <v>515</v>
      </c>
      <c r="K1" t="s">
        <v>519</v>
      </c>
      <c r="L1" t="s">
        <v>518</v>
      </c>
      <c r="O1" t="s">
        <v>519</v>
      </c>
      <c r="P1" t="s">
        <v>518</v>
      </c>
    </row>
    <row r="2" spans="1:16" ht="15" customHeight="1" x14ac:dyDescent="0.3">
      <c r="A2" s="42" t="s">
        <v>88</v>
      </c>
      <c r="B2" s="43">
        <v>34673</v>
      </c>
      <c r="C2" s="42" t="s">
        <v>26</v>
      </c>
      <c r="D2" s="44">
        <v>9.3000000000000007</v>
      </c>
      <c r="E2" s="44">
        <v>9.82</v>
      </c>
      <c r="F2">
        <v>1994</v>
      </c>
      <c r="J2" s="9">
        <v>1994</v>
      </c>
      <c r="K2">
        <v>9.3000000000000007</v>
      </c>
      <c r="L2">
        <v>9.82</v>
      </c>
      <c r="N2">
        <v>1995</v>
      </c>
      <c r="O2">
        <v>14.077142857142858</v>
      </c>
      <c r="P2">
        <v>13.516799999999998</v>
      </c>
    </row>
    <row r="3" spans="1:16" ht="15" customHeight="1" x14ac:dyDescent="0.3">
      <c r="A3" s="42" t="s">
        <v>89</v>
      </c>
      <c r="B3" s="43">
        <v>34703</v>
      </c>
      <c r="C3" s="42" t="s">
        <v>26</v>
      </c>
      <c r="D3" s="44">
        <v>5.49</v>
      </c>
      <c r="E3" s="44">
        <v>5.59</v>
      </c>
      <c r="F3">
        <v>1995</v>
      </c>
      <c r="J3" s="9">
        <v>1995</v>
      </c>
      <c r="K3">
        <v>14.077142857142858</v>
      </c>
      <c r="L3">
        <v>13.516799999999998</v>
      </c>
      <c r="N3">
        <v>1996</v>
      </c>
      <c r="O3">
        <v>15.299285714285716</v>
      </c>
      <c r="P3">
        <v>13.114615384615384</v>
      </c>
    </row>
    <row r="4" spans="1:16" ht="15" customHeight="1" x14ac:dyDescent="0.3">
      <c r="A4" s="42" t="s">
        <v>90</v>
      </c>
      <c r="B4" s="43">
        <v>34738</v>
      </c>
      <c r="C4" s="42" t="s">
        <v>26</v>
      </c>
      <c r="D4" s="44">
        <v>1.87</v>
      </c>
      <c r="E4" s="44">
        <v>2.23</v>
      </c>
      <c r="F4">
        <v>1995</v>
      </c>
      <c r="J4" s="9">
        <v>1996</v>
      </c>
      <c r="K4">
        <v>15.299285714285716</v>
      </c>
      <c r="L4">
        <v>13.114615384615384</v>
      </c>
      <c r="N4">
        <v>1997</v>
      </c>
      <c r="O4">
        <v>14.200714290000001</v>
      </c>
      <c r="P4">
        <v>12.792307692307693</v>
      </c>
    </row>
    <row r="5" spans="1:16" ht="15" customHeight="1" x14ac:dyDescent="0.3">
      <c r="A5" s="42" t="s">
        <v>91</v>
      </c>
      <c r="B5" s="43">
        <v>34766</v>
      </c>
      <c r="C5" s="42" t="s">
        <v>26</v>
      </c>
      <c r="D5" s="44">
        <v>2.1800000000000002</v>
      </c>
      <c r="E5" s="44">
        <v>2.09</v>
      </c>
      <c r="F5">
        <v>1995</v>
      </c>
      <c r="J5" s="9">
        <v>1997</v>
      </c>
      <c r="K5">
        <v>14.200714285714286</v>
      </c>
      <c r="L5">
        <v>12.792307692307693</v>
      </c>
      <c r="N5">
        <v>1998</v>
      </c>
      <c r="O5">
        <v>15.98</v>
      </c>
      <c r="P5">
        <v>13.570714285714287</v>
      </c>
    </row>
    <row r="6" spans="1:16" ht="15" customHeight="1" x14ac:dyDescent="0.3">
      <c r="A6" s="42" t="s">
        <v>92</v>
      </c>
      <c r="B6" s="43">
        <v>34795</v>
      </c>
      <c r="C6" s="42" t="s">
        <v>26</v>
      </c>
      <c r="D6" s="44">
        <v>4.88</v>
      </c>
      <c r="E6" s="44">
        <v>4.78</v>
      </c>
      <c r="F6">
        <v>1995</v>
      </c>
      <c r="J6" s="9">
        <v>1998</v>
      </c>
      <c r="K6">
        <v>15.98</v>
      </c>
      <c r="L6">
        <v>13.570714285714287</v>
      </c>
      <c r="N6">
        <v>1999</v>
      </c>
      <c r="O6">
        <v>15.094000000000001</v>
      </c>
      <c r="P6">
        <v>13.183999999999997</v>
      </c>
    </row>
    <row r="7" spans="1:16" ht="15" customHeight="1" x14ac:dyDescent="0.3">
      <c r="A7" s="42" t="s">
        <v>93</v>
      </c>
      <c r="B7" s="43">
        <v>34829</v>
      </c>
      <c r="C7" s="42" t="s">
        <v>26</v>
      </c>
      <c r="D7" s="44">
        <v>11.16</v>
      </c>
      <c r="E7" s="44">
        <v>8.77</v>
      </c>
      <c r="F7">
        <v>1995</v>
      </c>
      <c r="J7" s="9">
        <v>1999</v>
      </c>
      <c r="K7">
        <v>15.094000000000001</v>
      </c>
      <c r="L7">
        <v>13.183999999999997</v>
      </c>
      <c r="N7">
        <v>2000</v>
      </c>
      <c r="O7">
        <v>13.978</v>
      </c>
      <c r="P7">
        <v>12.620000000000001</v>
      </c>
    </row>
    <row r="8" spans="1:16" ht="15" customHeight="1" x14ac:dyDescent="0.3">
      <c r="A8" s="42" t="s">
        <v>94</v>
      </c>
      <c r="B8" s="43">
        <v>34857</v>
      </c>
      <c r="C8" s="42" t="s">
        <v>26</v>
      </c>
      <c r="D8" s="44">
        <v>16.14</v>
      </c>
      <c r="E8" s="44">
        <v>11.41</v>
      </c>
      <c r="F8">
        <v>1995</v>
      </c>
      <c r="J8" s="9">
        <v>2000</v>
      </c>
      <c r="K8">
        <v>13.978</v>
      </c>
      <c r="L8">
        <v>12.620000000000001</v>
      </c>
      <c r="N8">
        <v>2001</v>
      </c>
      <c r="O8">
        <v>14.426428571428572</v>
      </c>
      <c r="P8">
        <v>12.169230769230769</v>
      </c>
    </row>
    <row r="9" spans="1:16" ht="15" customHeight="1" x14ac:dyDescent="0.3">
      <c r="A9" s="42" t="s">
        <v>96</v>
      </c>
      <c r="B9" s="43">
        <v>34886</v>
      </c>
      <c r="C9" s="42" t="s">
        <v>26</v>
      </c>
      <c r="D9" s="44">
        <v>20.95</v>
      </c>
      <c r="E9" s="44">
        <v>16.97</v>
      </c>
      <c r="F9">
        <v>1995</v>
      </c>
      <c r="J9" s="9">
        <v>2001</v>
      </c>
      <c r="K9">
        <v>14.426428571428572</v>
      </c>
      <c r="L9">
        <v>12.169230769230769</v>
      </c>
      <c r="N9">
        <v>2002</v>
      </c>
      <c r="O9">
        <v>14.940000000000001</v>
      </c>
      <c r="P9">
        <v>13.273999999999997</v>
      </c>
    </row>
    <row r="10" spans="1:16" ht="15" customHeight="1" x14ac:dyDescent="0.3">
      <c r="A10" s="42" t="s">
        <v>97</v>
      </c>
      <c r="B10" s="43">
        <v>34898</v>
      </c>
      <c r="C10" s="42" t="s">
        <v>26</v>
      </c>
      <c r="D10" s="44">
        <v>21.6</v>
      </c>
      <c r="E10" s="44">
        <v>17.435199999999998</v>
      </c>
      <c r="F10">
        <v>1995</v>
      </c>
      <c r="J10" s="9">
        <v>2002</v>
      </c>
      <c r="K10">
        <v>14.940000000000001</v>
      </c>
      <c r="L10">
        <v>13.273999999999997</v>
      </c>
      <c r="N10">
        <v>2003</v>
      </c>
      <c r="O10">
        <v>13.675000000000001</v>
      </c>
      <c r="P10">
        <v>11.635714285714286</v>
      </c>
    </row>
    <row r="11" spans="1:16" ht="15" customHeight="1" x14ac:dyDescent="0.3">
      <c r="A11" s="42" t="s">
        <v>98</v>
      </c>
      <c r="B11" s="43">
        <v>34915</v>
      </c>
      <c r="C11" s="42" t="s">
        <v>26</v>
      </c>
      <c r="D11" s="44">
        <v>24.25</v>
      </c>
      <c r="E11" s="44">
        <v>19.559999999999999</v>
      </c>
      <c r="F11">
        <v>1995</v>
      </c>
      <c r="J11" s="9">
        <v>2003</v>
      </c>
      <c r="K11">
        <v>13.675000000000001</v>
      </c>
      <c r="L11">
        <v>11.635714285714286</v>
      </c>
      <c r="N11">
        <v>2004</v>
      </c>
      <c r="O11">
        <v>14.427692307692309</v>
      </c>
      <c r="P11">
        <v>12.353846153846156</v>
      </c>
    </row>
    <row r="12" spans="1:16" ht="15" customHeight="1" x14ac:dyDescent="0.3">
      <c r="A12" s="42" t="s">
        <v>99</v>
      </c>
      <c r="B12" s="43">
        <v>34925</v>
      </c>
      <c r="C12" s="42" t="s">
        <v>26</v>
      </c>
      <c r="D12" s="44">
        <v>24.37</v>
      </c>
      <c r="E12" s="44">
        <v>21.89</v>
      </c>
      <c r="F12">
        <v>1995</v>
      </c>
      <c r="J12" s="9">
        <v>2004</v>
      </c>
      <c r="K12">
        <v>14.427692307692309</v>
      </c>
      <c r="L12">
        <v>12.353846153846156</v>
      </c>
      <c r="N12">
        <v>2005</v>
      </c>
      <c r="O12">
        <v>14.228</v>
      </c>
      <c r="P12">
        <v>11.884000000000002</v>
      </c>
    </row>
    <row r="13" spans="1:16" ht="15" customHeight="1" x14ac:dyDescent="0.3">
      <c r="A13" s="42" t="s">
        <v>100</v>
      </c>
      <c r="B13" s="43">
        <v>34947</v>
      </c>
      <c r="C13" s="42" t="s">
        <v>26</v>
      </c>
      <c r="D13" s="44">
        <v>23.33</v>
      </c>
      <c r="E13" s="44">
        <v>22.61</v>
      </c>
      <c r="F13">
        <v>1995</v>
      </c>
      <c r="J13" s="9">
        <v>2005</v>
      </c>
      <c r="K13">
        <v>14.228</v>
      </c>
      <c r="L13">
        <v>11.884000000000002</v>
      </c>
      <c r="N13">
        <v>2006</v>
      </c>
      <c r="O13">
        <v>15.653999999999996</v>
      </c>
      <c r="P13">
        <v>13.955000000000002</v>
      </c>
    </row>
    <row r="14" spans="1:16" ht="15" customHeight="1" x14ac:dyDescent="0.3">
      <c r="A14" s="42" t="s">
        <v>101</v>
      </c>
      <c r="B14" s="43">
        <v>34977</v>
      </c>
      <c r="C14" s="42" t="s">
        <v>26</v>
      </c>
      <c r="D14" s="44">
        <v>19.600000000000001</v>
      </c>
      <c r="E14" s="44">
        <v>19.48</v>
      </c>
      <c r="F14">
        <v>1995</v>
      </c>
      <c r="J14" s="9">
        <v>2006</v>
      </c>
      <c r="K14">
        <v>15.653999999999996</v>
      </c>
      <c r="L14">
        <v>13.955000000000002</v>
      </c>
      <c r="N14">
        <v>2007</v>
      </c>
      <c r="O14">
        <v>14.87875</v>
      </c>
      <c r="P14">
        <v>12.851875</v>
      </c>
    </row>
    <row r="15" spans="1:16" ht="15" customHeight="1" x14ac:dyDescent="0.3">
      <c r="A15" s="42" t="s">
        <v>102</v>
      </c>
      <c r="B15" s="43">
        <v>35016</v>
      </c>
      <c r="C15" s="42" t="s">
        <v>26</v>
      </c>
      <c r="D15" s="44">
        <v>13.19</v>
      </c>
      <c r="E15" s="44">
        <v>28.29</v>
      </c>
      <c r="F15">
        <v>1995</v>
      </c>
      <c r="J15" s="9">
        <v>2007</v>
      </c>
      <c r="K15">
        <v>14.87875</v>
      </c>
      <c r="L15">
        <v>12.851875</v>
      </c>
      <c r="N15">
        <v>2008</v>
      </c>
      <c r="O15">
        <v>14.708750000000002</v>
      </c>
      <c r="P15">
        <v>12.977499999999999</v>
      </c>
    </row>
    <row r="16" spans="1:16" ht="15" customHeight="1" x14ac:dyDescent="0.3">
      <c r="A16" s="42" t="s">
        <v>103</v>
      </c>
      <c r="B16" s="43">
        <v>35040</v>
      </c>
      <c r="C16" s="42" t="s">
        <v>26</v>
      </c>
      <c r="D16" s="44">
        <v>8.07</v>
      </c>
      <c r="E16" s="44">
        <v>8.1300000000000008</v>
      </c>
      <c r="F16">
        <v>1995</v>
      </c>
      <c r="J16" s="9">
        <v>2008</v>
      </c>
      <c r="K16">
        <v>14.708750000000002</v>
      </c>
      <c r="L16">
        <v>12.977499999999999</v>
      </c>
      <c r="N16">
        <v>2009</v>
      </c>
      <c r="O16">
        <v>14.276666666666669</v>
      </c>
      <c r="P16">
        <v>12.182</v>
      </c>
    </row>
    <row r="17" spans="1:16" ht="15" customHeight="1" x14ac:dyDescent="0.3">
      <c r="A17" s="42" t="s">
        <v>104</v>
      </c>
      <c r="B17" s="43">
        <v>35103</v>
      </c>
      <c r="C17" s="42" t="s">
        <v>26</v>
      </c>
      <c r="D17" s="44">
        <v>-0.28999999999999998</v>
      </c>
      <c r="E17" s="44">
        <v>0.16</v>
      </c>
      <c r="F17">
        <v>1996</v>
      </c>
      <c r="J17" s="9">
        <v>2009</v>
      </c>
      <c r="K17">
        <v>14.276666666666669</v>
      </c>
      <c r="L17">
        <v>12.182</v>
      </c>
      <c r="N17">
        <v>2010</v>
      </c>
      <c r="O17">
        <v>14.435999999999998</v>
      </c>
      <c r="P17">
        <v>12.713333333333333</v>
      </c>
    </row>
    <row r="18" spans="1:16" ht="15" customHeight="1" x14ac:dyDescent="0.3">
      <c r="A18" s="42" t="s">
        <v>105</v>
      </c>
      <c r="B18" s="43">
        <v>35129</v>
      </c>
      <c r="C18" s="42" t="s">
        <v>26</v>
      </c>
      <c r="D18" s="44">
        <v>0.84</v>
      </c>
      <c r="E18" s="44">
        <v>0.65</v>
      </c>
      <c r="F18">
        <v>1996</v>
      </c>
      <c r="J18" s="9">
        <v>2010</v>
      </c>
      <c r="K18">
        <v>14.435999999999998</v>
      </c>
      <c r="L18">
        <v>12.713333333333333</v>
      </c>
      <c r="N18">
        <v>2011</v>
      </c>
      <c r="O18">
        <v>14.681333333333335</v>
      </c>
      <c r="P18">
        <v>12.497333333333332</v>
      </c>
    </row>
    <row r="19" spans="1:16" ht="15" customHeight="1" x14ac:dyDescent="0.3">
      <c r="A19" s="42" t="s">
        <v>106</v>
      </c>
      <c r="B19" s="43">
        <v>35159</v>
      </c>
      <c r="C19" s="42" t="s">
        <v>26</v>
      </c>
      <c r="D19" s="45"/>
      <c r="E19" s="45"/>
      <c r="F19">
        <v>1996</v>
      </c>
      <c r="J19" s="9">
        <v>2011</v>
      </c>
      <c r="K19">
        <v>14.681333333333335</v>
      </c>
      <c r="L19">
        <v>12.497333333333332</v>
      </c>
      <c r="N19">
        <v>2012</v>
      </c>
      <c r="O19">
        <v>15.799375</v>
      </c>
      <c r="P19">
        <v>14.369374999999998</v>
      </c>
    </row>
    <row r="20" spans="1:16" ht="15" customHeight="1" x14ac:dyDescent="0.3">
      <c r="A20" s="42" t="s">
        <v>107</v>
      </c>
      <c r="B20" s="43">
        <v>35199</v>
      </c>
      <c r="C20" s="42" t="s">
        <v>26</v>
      </c>
      <c r="D20" s="44">
        <v>10.99</v>
      </c>
      <c r="E20" s="44">
        <v>8.73</v>
      </c>
      <c r="F20">
        <v>1996</v>
      </c>
      <c r="J20" s="9">
        <v>2012</v>
      </c>
      <c r="K20">
        <v>15.799375</v>
      </c>
      <c r="L20">
        <v>14.369374999999998</v>
      </c>
      <c r="N20">
        <v>2013</v>
      </c>
      <c r="O20">
        <v>15.168124999999998</v>
      </c>
      <c r="P20">
        <v>13.553750000000003</v>
      </c>
    </row>
    <row r="21" spans="1:16" ht="15" customHeight="1" x14ac:dyDescent="0.3">
      <c r="A21" s="42" t="s">
        <v>108</v>
      </c>
      <c r="B21" s="43">
        <v>35220</v>
      </c>
      <c r="C21" s="42" t="s">
        <v>26</v>
      </c>
      <c r="D21" s="44">
        <v>13.49</v>
      </c>
      <c r="E21" s="44">
        <v>11.39</v>
      </c>
      <c r="F21">
        <v>1996</v>
      </c>
      <c r="J21" s="9">
        <v>2013</v>
      </c>
      <c r="K21">
        <v>15.168124999999998</v>
      </c>
      <c r="L21">
        <v>13.553750000000003</v>
      </c>
      <c r="N21">
        <v>2014</v>
      </c>
      <c r="O21">
        <v>14.134999999999998</v>
      </c>
      <c r="P21">
        <v>12.477499999999999</v>
      </c>
    </row>
    <row r="22" spans="1:16" ht="15" customHeight="1" x14ac:dyDescent="0.3">
      <c r="A22" s="42" t="s">
        <v>109</v>
      </c>
      <c r="B22" s="43">
        <v>35242</v>
      </c>
      <c r="C22" s="42" t="s">
        <v>26</v>
      </c>
      <c r="D22" s="44">
        <v>18.760000000000002</v>
      </c>
      <c r="E22" s="44">
        <v>14.79</v>
      </c>
      <c r="F22">
        <v>1996</v>
      </c>
      <c r="J22" s="9">
        <v>2014</v>
      </c>
      <c r="K22">
        <v>14.134999999999998</v>
      </c>
      <c r="L22">
        <v>12.477499999999999</v>
      </c>
      <c r="N22">
        <v>2015</v>
      </c>
      <c r="O22">
        <v>14.452500000000002</v>
      </c>
      <c r="P22">
        <v>12.532499999999999</v>
      </c>
    </row>
    <row r="23" spans="1:16" ht="15" customHeight="1" x14ac:dyDescent="0.3">
      <c r="A23" s="42" t="s">
        <v>110</v>
      </c>
      <c r="B23" s="43">
        <v>35254</v>
      </c>
      <c r="C23" s="42" t="s">
        <v>26</v>
      </c>
      <c r="D23" s="44">
        <v>19.64</v>
      </c>
      <c r="E23" s="46">
        <v>15.01</v>
      </c>
      <c r="F23">
        <v>1996</v>
      </c>
      <c r="J23" s="9">
        <v>2015</v>
      </c>
      <c r="K23">
        <v>14.452500000000002</v>
      </c>
      <c r="L23">
        <v>12.532499999999999</v>
      </c>
      <c r="N23">
        <v>2016</v>
      </c>
      <c r="O23">
        <v>15.759999999999998</v>
      </c>
      <c r="P23">
        <v>14.386875</v>
      </c>
    </row>
    <row r="24" spans="1:16" ht="15" customHeight="1" x14ac:dyDescent="0.3">
      <c r="A24" s="42" t="s">
        <v>111</v>
      </c>
      <c r="B24" s="43">
        <v>35270</v>
      </c>
      <c r="C24" s="42" t="s">
        <v>26</v>
      </c>
      <c r="D24" s="44">
        <v>19.59</v>
      </c>
      <c r="E24" s="44">
        <v>17.010000000000002</v>
      </c>
      <c r="F24">
        <v>1996</v>
      </c>
      <c r="J24" s="9">
        <v>2016</v>
      </c>
      <c r="K24">
        <v>15.759999999999998</v>
      </c>
      <c r="L24">
        <v>14.386875</v>
      </c>
      <c r="N24">
        <v>2017</v>
      </c>
      <c r="O24">
        <v>14.934000000000001</v>
      </c>
      <c r="P24">
        <v>13.434666666666667</v>
      </c>
    </row>
    <row r="25" spans="1:16" ht="15" customHeight="1" x14ac:dyDescent="0.3">
      <c r="A25" s="42" t="s">
        <v>112</v>
      </c>
      <c r="B25" s="43">
        <v>35284</v>
      </c>
      <c r="C25" s="42" t="s">
        <v>26</v>
      </c>
      <c r="D25" s="44">
        <v>23.3</v>
      </c>
      <c r="E25" s="46">
        <v>19.62</v>
      </c>
      <c r="F25">
        <v>1996</v>
      </c>
      <c r="J25" s="9">
        <v>2017</v>
      </c>
      <c r="K25">
        <v>14.934000000000001</v>
      </c>
      <c r="L25">
        <v>13.434666666666667</v>
      </c>
      <c r="N25">
        <v>2018</v>
      </c>
      <c r="O25">
        <v>15.817333333333334</v>
      </c>
      <c r="P25">
        <v>13.825333333333333</v>
      </c>
    </row>
    <row r="26" spans="1:16" ht="15" customHeight="1" x14ac:dyDescent="0.3">
      <c r="A26" s="42" t="s">
        <v>113</v>
      </c>
      <c r="B26" s="43">
        <v>35298</v>
      </c>
      <c r="C26" s="42" t="s">
        <v>26</v>
      </c>
      <c r="D26" s="44">
        <v>22.68</v>
      </c>
      <c r="E26" s="44">
        <v>20.68</v>
      </c>
      <c r="F26">
        <v>1996</v>
      </c>
      <c r="J26" s="9">
        <v>2018</v>
      </c>
      <c r="K26">
        <v>15.817333333333334</v>
      </c>
      <c r="L26">
        <v>13.825333333333333</v>
      </c>
      <c r="N26">
        <v>2019</v>
      </c>
      <c r="O26">
        <v>14.762499999999999</v>
      </c>
      <c r="P26">
        <v>13.102500000000001</v>
      </c>
    </row>
    <row r="27" spans="1:16" ht="15" customHeight="1" x14ac:dyDescent="0.3">
      <c r="A27" s="42" t="s">
        <v>114</v>
      </c>
      <c r="B27" s="43">
        <v>35313</v>
      </c>
      <c r="C27" s="42" t="s">
        <v>26</v>
      </c>
      <c r="D27" s="44">
        <v>23.86</v>
      </c>
      <c r="E27" s="44">
        <v>21.16</v>
      </c>
      <c r="F27">
        <v>1996</v>
      </c>
      <c r="J27" s="9">
        <v>2019</v>
      </c>
      <c r="K27">
        <v>14.762499999999999</v>
      </c>
      <c r="L27">
        <v>13.102500000000001</v>
      </c>
      <c r="N27">
        <v>2020</v>
      </c>
      <c r="O27">
        <v>17.949000000000002</v>
      </c>
      <c r="P27">
        <v>15.831999999999997</v>
      </c>
    </row>
    <row r="28" spans="1:16" ht="15" customHeight="1" x14ac:dyDescent="0.3">
      <c r="A28" s="42" t="s">
        <v>490</v>
      </c>
      <c r="B28" s="43">
        <v>35328</v>
      </c>
      <c r="C28" s="42" t="s">
        <v>26</v>
      </c>
      <c r="D28" s="44">
        <v>20.65</v>
      </c>
      <c r="E28" s="45"/>
      <c r="F28">
        <v>1996</v>
      </c>
      <c r="J28" s="9">
        <v>2020</v>
      </c>
      <c r="K28">
        <v>17.949000000000002</v>
      </c>
      <c r="L28">
        <v>15.831999999999997</v>
      </c>
      <c r="N28">
        <v>2021</v>
      </c>
      <c r="O28">
        <v>15.241428571428569</v>
      </c>
      <c r="P28">
        <v>17.484285714285715</v>
      </c>
    </row>
    <row r="29" spans="1:16" ht="15" customHeight="1" x14ac:dyDescent="0.3">
      <c r="A29" s="42" t="s">
        <v>115</v>
      </c>
      <c r="B29" s="43">
        <v>35345</v>
      </c>
      <c r="C29" s="42" t="s">
        <v>26</v>
      </c>
      <c r="D29" s="44">
        <v>18.64</v>
      </c>
      <c r="E29" s="44">
        <v>18.34</v>
      </c>
      <c r="F29">
        <v>1996</v>
      </c>
      <c r="J29" s="9">
        <v>2021</v>
      </c>
      <c r="K29">
        <v>15.241428571428569</v>
      </c>
      <c r="L29">
        <v>17.484285714285715</v>
      </c>
      <c r="N29">
        <v>2022</v>
      </c>
      <c r="O29">
        <v>13.324375000000002</v>
      </c>
      <c r="P29">
        <v>14.931250000000002</v>
      </c>
    </row>
    <row r="30" spans="1:16" ht="15" customHeight="1" x14ac:dyDescent="0.3">
      <c r="A30" s="42" t="s">
        <v>116</v>
      </c>
      <c r="B30" s="43">
        <v>35375</v>
      </c>
      <c r="C30" s="42" t="s">
        <v>26</v>
      </c>
      <c r="D30" s="44">
        <v>13.64</v>
      </c>
      <c r="E30" s="44">
        <v>14.11</v>
      </c>
      <c r="F30">
        <v>1996</v>
      </c>
      <c r="J30" s="9">
        <v>2022</v>
      </c>
      <c r="K30">
        <v>13.324375000000002</v>
      </c>
      <c r="L30">
        <v>14.931250000000002</v>
      </c>
      <c r="N30">
        <v>2023</v>
      </c>
      <c r="O30">
        <v>16.213571428571431</v>
      </c>
      <c r="P30">
        <v>14.62142857142857</v>
      </c>
    </row>
    <row r="31" spans="1:16" ht="15" customHeight="1" x14ac:dyDescent="0.3">
      <c r="A31" s="42" t="s">
        <v>117</v>
      </c>
      <c r="B31" s="43">
        <v>35403</v>
      </c>
      <c r="C31" s="42" t="s">
        <v>26</v>
      </c>
      <c r="D31" s="44">
        <v>8.4</v>
      </c>
      <c r="E31" s="44">
        <v>8.84</v>
      </c>
      <c r="F31">
        <v>1996</v>
      </c>
      <c r="J31" s="9">
        <v>2023</v>
      </c>
      <c r="K31">
        <v>16.213571428571431</v>
      </c>
      <c r="L31">
        <v>14.62142857142857</v>
      </c>
      <c r="N31">
        <v>2024</v>
      </c>
      <c r="O31" s="131">
        <v>14.471333333333332</v>
      </c>
      <c r="P31" s="131">
        <v>12.369333333333334</v>
      </c>
    </row>
    <row r="32" spans="1:16" ht="15" customHeight="1" x14ac:dyDescent="0.3">
      <c r="A32" s="42" t="s">
        <v>118</v>
      </c>
      <c r="B32" s="43">
        <v>35464</v>
      </c>
      <c r="C32" s="42" t="s">
        <v>26</v>
      </c>
      <c r="D32" s="44">
        <v>2.11</v>
      </c>
      <c r="E32" s="44">
        <v>1.78</v>
      </c>
      <c r="F32">
        <v>1997</v>
      </c>
      <c r="J32" s="9">
        <v>2024</v>
      </c>
      <c r="K32">
        <v>14.471333333333332</v>
      </c>
      <c r="L32">
        <v>12.369333333333334</v>
      </c>
      <c r="N32" t="s">
        <v>517</v>
      </c>
      <c r="O32" s="131">
        <v>14.846122448979582</v>
      </c>
      <c r="P32" s="131">
        <v>13.303375743707097</v>
      </c>
    </row>
    <row r="33" spans="1:12" ht="15" customHeight="1" x14ac:dyDescent="0.3">
      <c r="A33" s="42" t="s">
        <v>119</v>
      </c>
      <c r="B33" s="43">
        <v>35492</v>
      </c>
      <c r="C33" s="42" t="s">
        <v>26</v>
      </c>
      <c r="D33" s="44">
        <v>3.44</v>
      </c>
      <c r="E33" s="44">
        <v>2.81</v>
      </c>
      <c r="F33">
        <v>1997</v>
      </c>
      <c r="J33" s="9" t="s">
        <v>517</v>
      </c>
      <c r="K33">
        <v>14.846122448979582</v>
      </c>
      <c r="L33">
        <v>13.303375743707097</v>
      </c>
    </row>
    <row r="34" spans="1:12" ht="15" customHeight="1" x14ac:dyDescent="0.3">
      <c r="A34" s="42" t="s">
        <v>120</v>
      </c>
      <c r="B34" s="43">
        <v>35523</v>
      </c>
      <c r="C34" s="42" t="s">
        <v>26</v>
      </c>
      <c r="D34" s="44">
        <v>5.7</v>
      </c>
      <c r="E34" s="44">
        <v>4.9000000000000004</v>
      </c>
      <c r="F34">
        <v>1997</v>
      </c>
    </row>
    <row r="35" spans="1:12" ht="15" customHeight="1" x14ac:dyDescent="0.3">
      <c r="A35" s="42" t="s">
        <v>121</v>
      </c>
      <c r="B35" s="43">
        <v>35558</v>
      </c>
      <c r="C35" s="42" t="s">
        <v>26</v>
      </c>
      <c r="D35" s="44">
        <v>9.3000000000000007</v>
      </c>
      <c r="E35" s="44">
        <v>8.89</v>
      </c>
      <c r="F35">
        <v>1997</v>
      </c>
    </row>
    <row r="36" spans="1:12" ht="15" customHeight="1" x14ac:dyDescent="0.3">
      <c r="A36" s="42" t="s">
        <v>122</v>
      </c>
      <c r="B36" s="43">
        <v>35585</v>
      </c>
      <c r="C36" s="42" t="s">
        <v>26</v>
      </c>
      <c r="D36" s="44">
        <v>14.02</v>
      </c>
      <c r="E36" s="44">
        <v>13.78</v>
      </c>
      <c r="F36">
        <v>1997</v>
      </c>
    </row>
    <row r="37" spans="1:12" ht="15" customHeight="1" x14ac:dyDescent="0.3">
      <c r="A37" s="42" t="s">
        <v>123</v>
      </c>
      <c r="B37" s="43">
        <v>35608</v>
      </c>
      <c r="C37" s="42" t="s">
        <v>26</v>
      </c>
      <c r="D37" s="44">
        <v>19.05</v>
      </c>
      <c r="E37" s="45"/>
      <c r="F37">
        <v>1997</v>
      </c>
    </row>
    <row r="38" spans="1:12" ht="15" customHeight="1" x14ac:dyDescent="0.3">
      <c r="A38" s="42" t="s">
        <v>491</v>
      </c>
      <c r="B38" s="43">
        <v>35620</v>
      </c>
      <c r="C38" s="42" t="s">
        <v>26</v>
      </c>
      <c r="D38" s="44">
        <v>20.25</v>
      </c>
      <c r="E38" s="44">
        <v>15.29</v>
      </c>
      <c r="F38">
        <v>1997</v>
      </c>
    </row>
    <row r="39" spans="1:12" ht="15" customHeight="1" x14ac:dyDescent="0.3">
      <c r="A39" s="42" t="s">
        <v>124</v>
      </c>
      <c r="B39" s="43">
        <v>35633</v>
      </c>
      <c r="C39" s="42" t="s">
        <v>26</v>
      </c>
      <c r="D39" s="44">
        <v>20.3</v>
      </c>
      <c r="E39" s="44">
        <v>17.09</v>
      </c>
      <c r="F39">
        <v>1997</v>
      </c>
    </row>
    <row r="40" spans="1:12" ht="15" customHeight="1" x14ac:dyDescent="0.3">
      <c r="A40" s="42" t="s">
        <v>125</v>
      </c>
      <c r="B40" s="43">
        <v>35647</v>
      </c>
      <c r="C40" s="42" t="s">
        <v>26</v>
      </c>
      <c r="D40" s="44">
        <v>19.850000000000001</v>
      </c>
      <c r="E40" s="44">
        <v>18.91</v>
      </c>
      <c r="F40">
        <v>1997</v>
      </c>
    </row>
    <row r="41" spans="1:12" ht="15" customHeight="1" x14ac:dyDescent="0.3">
      <c r="A41" s="42" t="s">
        <v>126</v>
      </c>
      <c r="B41" s="43">
        <v>35662</v>
      </c>
      <c r="C41" s="42" t="s">
        <v>26</v>
      </c>
      <c r="D41" s="44">
        <v>21.79</v>
      </c>
      <c r="E41" s="46">
        <v>20.3</v>
      </c>
      <c r="F41">
        <v>1997</v>
      </c>
    </row>
    <row r="42" spans="1:12" ht="15" customHeight="1" x14ac:dyDescent="0.3">
      <c r="A42" s="42" t="s">
        <v>127</v>
      </c>
      <c r="B42" s="43">
        <v>35677</v>
      </c>
      <c r="C42" s="42" t="s">
        <v>26</v>
      </c>
      <c r="D42" s="44">
        <v>21.71</v>
      </c>
      <c r="E42" s="44">
        <v>21.23</v>
      </c>
      <c r="F42">
        <v>1997</v>
      </c>
    </row>
    <row r="43" spans="1:12" ht="15" customHeight="1" x14ac:dyDescent="0.3">
      <c r="A43" s="42" t="s">
        <v>128</v>
      </c>
      <c r="B43" s="43">
        <v>35711</v>
      </c>
      <c r="C43" s="42" t="s">
        <v>26</v>
      </c>
      <c r="D43" s="44">
        <v>18.95</v>
      </c>
      <c r="E43" s="44">
        <v>19.010000000000002</v>
      </c>
      <c r="F43">
        <v>1997</v>
      </c>
    </row>
    <row r="44" spans="1:12" ht="15" customHeight="1" x14ac:dyDescent="0.3">
      <c r="A44" s="42" t="s">
        <v>129</v>
      </c>
      <c r="B44" s="43">
        <v>35737</v>
      </c>
      <c r="C44" s="42" t="s">
        <v>26</v>
      </c>
      <c r="D44" s="44">
        <v>14.52</v>
      </c>
      <c r="E44" s="44">
        <v>14.5</v>
      </c>
      <c r="F44">
        <v>1997</v>
      </c>
    </row>
    <row r="45" spans="1:12" ht="15" customHeight="1" x14ac:dyDescent="0.3">
      <c r="A45" s="42" t="s">
        <v>130</v>
      </c>
      <c r="B45" s="43">
        <v>35772</v>
      </c>
      <c r="C45" s="42" t="s">
        <v>26</v>
      </c>
      <c r="D45" s="44">
        <v>7.82</v>
      </c>
      <c r="E45" s="46">
        <v>7.81</v>
      </c>
      <c r="F45">
        <v>1997</v>
      </c>
    </row>
    <row r="46" spans="1:12" ht="15" customHeight="1" x14ac:dyDescent="0.3">
      <c r="A46" s="42" t="s">
        <v>131</v>
      </c>
      <c r="B46" s="43">
        <v>35809</v>
      </c>
      <c r="C46" s="42" t="s">
        <v>26</v>
      </c>
      <c r="D46" s="44">
        <v>4.8</v>
      </c>
      <c r="E46" s="44">
        <v>4.7</v>
      </c>
      <c r="F46">
        <v>1998</v>
      </c>
    </row>
    <row r="47" spans="1:12" ht="15" customHeight="1" x14ac:dyDescent="0.3">
      <c r="A47" s="42" t="s">
        <v>132</v>
      </c>
      <c r="B47" s="43">
        <v>35828</v>
      </c>
      <c r="C47" s="42" t="s">
        <v>26</v>
      </c>
      <c r="D47" s="44">
        <v>3.39</v>
      </c>
      <c r="E47" s="44">
        <v>3.38</v>
      </c>
      <c r="F47">
        <v>1998</v>
      </c>
    </row>
    <row r="48" spans="1:12" ht="15" customHeight="1" x14ac:dyDescent="0.3">
      <c r="A48" s="42" t="s">
        <v>134</v>
      </c>
      <c r="B48" s="43">
        <v>35858</v>
      </c>
      <c r="C48" s="42" t="s">
        <v>26</v>
      </c>
      <c r="D48" s="44">
        <v>4.63</v>
      </c>
      <c r="E48" s="44">
        <v>4.2300000000000004</v>
      </c>
      <c r="F48">
        <v>1998</v>
      </c>
    </row>
    <row r="49" spans="1:6" ht="15" customHeight="1" x14ac:dyDescent="0.3">
      <c r="A49" s="42" t="s">
        <v>136</v>
      </c>
      <c r="B49" s="43">
        <v>35905</v>
      </c>
      <c r="C49" s="42" t="s">
        <v>26</v>
      </c>
      <c r="D49" s="44">
        <v>9.65</v>
      </c>
      <c r="E49" s="44">
        <v>7.77</v>
      </c>
      <c r="F49">
        <v>1998</v>
      </c>
    </row>
    <row r="50" spans="1:6" ht="15" customHeight="1" x14ac:dyDescent="0.3">
      <c r="A50" s="42" t="s">
        <v>138</v>
      </c>
      <c r="B50" s="43">
        <v>35948</v>
      </c>
      <c r="C50" s="42" t="s">
        <v>26</v>
      </c>
      <c r="D50" s="44">
        <v>17.22</v>
      </c>
      <c r="E50" s="46">
        <v>12.36</v>
      </c>
      <c r="F50">
        <v>1998</v>
      </c>
    </row>
    <row r="51" spans="1:6" ht="15" customHeight="1" x14ac:dyDescent="0.3">
      <c r="A51" s="42" t="s">
        <v>139</v>
      </c>
      <c r="B51" s="43">
        <v>35971</v>
      </c>
      <c r="C51" s="42" t="s">
        <v>26</v>
      </c>
      <c r="D51" s="44">
        <v>20.2</v>
      </c>
      <c r="E51" s="44">
        <v>15.6</v>
      </c>
      <c r="F51">
        <v>1998</v>
      </c>
    </row>
    <row r="52" spans="1:6" ht="15" customHeight="1" x14ac:dyDescent="0.3">
      <c r="A52" s="42" t="s">
        <v>140</v>
      </c>
      <c r="B52" s="43">
        <v>35984</v>
      </c>
      <c r="C52" s="42" t="s">
        <v>26</v>
      </c>
      <c r="D52" s="44">
        <v>20.8</v>
      </c>
      <c r="E52" s="44">
        <v>16.27</v>
      </c>
      <c r="F52">
        <v>1998</v>
      </c>
    </row>
    <row r="53" spans="1:6" ht="15" customHeight="1" x14ac:dyDescent="0.3">
      <c r="A53" s="42" t="s">
        <v>141</v>
      </c>
      <c r="B53" s="43">
        <v>35998</v>
      </c>
      <c r="C53" s="42" t="s">
        <v>26</v>
      </c>
      <c r="D53" s="44">
        <v>21.98</v>
      </c>
      <c r="E53" s="44">
        <v>18.399999999999999</v>
      </c>
      <c r="F53">
        <v>1998</v>
      </c>
    </row>
    <row r="54" spans="1:6" ht="15" customHeight="1" x14ac:dyDescent="0.3">
      <c r="A54" s="42" t="s">
        <v>142</v>
      </c>
      <c r="B54" s="43">
        <v>36010</v>
      </c>
      <c r="C54" s="42" t="s">
        <v>26</v>
      </c>
      <c r="D54" s="44">
        <v>22.55</v>
      </c>
      <c r="E54" s="44">
        <v>19.190000000000001</v>
      </c>
      <c r="F54">
        <v>1998</v>
      </c>
    </row>
    <row r="55" spans="1:6" ht="15" customHeight="1" x14ac:dyDescent="0.3">
      <c r="A55" s="42" t="s">
        <v>143</v>
      </c>
      <c r="B55" s="43">
        <v>36024</v>
      </c>
      <c r="C55" s="42" t="s">
        <v>26</v>
      </c>
      <c r="D55" s="44">
        <v>23.53</v>
      </c>
      <c r="E55" s="44">
        <v>21.23</v>
      </c>
      <c r="F55">
        <v>1998</v>
      </c>
    </row>
    <row r="56" spans="1:6" ht="15" customHeight="1" x14ac:dyDescent="0.3">
      <c r="A56" s="42" t="s">
        <v>144</v>
      </c>
      <c r="B56" s="43">
        <v>36040</v>
      </c>
      <c r="C56" s="42" t="s">
        <v>26</v>
      </c>
      <c r="D56" s="44">
        <v>23.89</v>
      </c>
      <c r="E56" s="44">
        <v>22.09</v>
      </c>
      <c r="F56">
        <v>1998</v>
      </c>
    </row>
    <row r="57" spans="1:6" ht="15" customHeight="1" x14ac:dyDescent="0.3">
      <c r="A57" s="42" t="s">
        <v>145</v>
      </c>
      <c r="B57" s="43">
        <v>36054</v>
      </c>
      <c r="C57" s="42" t="s">
        <v>26</v>
      </c>
      <c r="D57" s="44">
        <v>22.46</v>
      </c>
      <c r="E57" s="45"/>
      <c r="F57">
        <v>1998</v>
      </c>
    </row>
    <row r="58" spans="1:6" ht="15" customHeight="1" x14ac:dyDescent="0.3">
      <c r="A58" s="42" t="s">
        <v>146</v>
      </c>
      <c r="B58" s="43">
        <v>36074</v>
      </c>
      <c r="C58" s="42" t="s">
        <v>26</v>
      </c>
      <c r="D58" s="44">
        <v>19.829999999999998</v>
      </c>
      <c r="E58" s="44">
        <v>19.739999999999998</v>
      </c>
      <c r="F58">
        <v>1998</v>
      </c>
    </row>
    <row r="59" spans="1:6" ht="15" customHeight="1" x14ac:dyDescent="0.3">
      <c r="A59" s="42" t="s">
        <v>147</v>
      </c>
      <c r="B59" s="43">
        <v>36104</v>
      </c>
      <c r="C59" s="42" t="s">
        <v>26</v>
      </c>
      <c r="D59" s="44">
        <v>14.15</v>
      </c>
      <c r="E59" s="44">
        <v>14.33</v>
      </c>
      <c r="F59">
        <v>1998</v>
      </c>
    </row>
    <row r="60" spans="1:6" ht="15" customHeight="1" x14ac:dyDescent="0.3">
      <c r="A60" s="42" t="s">
        <v>148</v>
      </c>
      <c r="B60" s="43">
        <v>36131</v>
      </c>
      <c r="C60" s="42" t="s">
        <v>26</v>
      </c>
      <c r="D60" s="44">
        <v>10.62</v>
      </c>
      <c r="E60" s="44">
        <v>10.7</v>
      </c>
      <c r="F60">
        <v>1998</v>
      </c>
    </row>
    <row r="61" spans="1:6" ht="15" customHeight="1" x14ac:dyDescent="0.3">
      <c r="A61" s="42" t="s">
        <v>149</v>
      </c>
      <c r="B61" s="43">
        <v>36171</v>
      </c>
      <c r="C61" s="42" t="s">
        <v>26</v>
      </c>
      <c r="D61" s="44">
        <v>3.75</v>
      </c>
      <c r="E61" s="44">
        <v>3.77</v>
      </c>
      <c r="F61">
        <v>1999</v>
      </c>
    </row>
    <row r="62" spans="1:6" ht="15" customHeight="1" x14ac:dyDescent="0.3">
      <c r="A62" s="42" t="s">
        <v>150</v>
      </c>
      <c r="B62" s="43">
        <v>36195</v>
      </c>
      <c r="C62" s="42" t="s">
        <v>26</v>
      </c>
      <c r="D62" s="44">
        <v>3.07</v>
      </c>
      <c r="E62" s="44">
        <v>2.99</v>
      </c>
      <c r="F62">
        <v>1999</v>
      </c>
    </row>
    <row r="63" spans="1:6" ht="15" customHeight="1" x14ac:dyDescent="0.3">
      <c r="A63" s="42" t="s">
        <v>152</v>
      </c>
      <c r="B63" s="43">
        <v>36228</v>
      </c>
      <c r="C63" s="42" t="s">
        <v>26</v>
      </c>
      <c r="D63" s="44">
        <v>2.8</v>
      </c>
      <c r="E63" s="44">
        <v>2.63</v>
      </c>
      <c r="F63">
        <v>1999</v>
      </c>
    </row>
    <row r="64" spans="1:6" ht="15" customHeight="1" x14ac:dyDescent="0.3">
      <c r="A64" s="42" t="s">
        <v>154</v>
      </c>
      <c r="B64" s="43">
        <v>36257</v>
      </c>
      <c r="C64" s="42" t="s">
        <v>26</v>
      </c>
      <c r="D64" s="44">
        <v>7.22</v>
      </c>
      <c r="E64" s="44">
        <v>5.23</v>
      </c>
      <c r="F64">
        <v>1999</v>
      </c>
    </row>
    <row r="65" spans="1:6" ht="15" customHeight="1" x14ac:dyDescent="0.3">
      <c r="A65" s="42" t="s">
        <v>155</v>
      </c>
      <c r="B65" s="43">
        <v>36286</v>
      </c>
      <c r="C65" s="42" t="s">
        <v>26</v>
      </c>
      <c r="D65" s="44">
        <v>12.18</v>
      </c>
      <c r="E65" s="44">
        <v>9.91</v>
      </c>
      <c r="F65">
        <v>1999</v>
      </c>
    </row>
    <row r="66" spans="1:6" ht="15" customHeight="1" x14ac:dyDescent="0.3">
      <c r="A66" s="42" t="s">
        <v>156</v>
      </c>
      <c r="B66" s="43">
        <v>36312</v>
      </c>
      <c r="C66" s="42" t="s">
        <v>26</v>
      </c>
      <c r="D66" s="44">
        <v>17.93</v>
      </c>
      <c r="E66" s="44">
        <v>11.89</v>
      </c>
      <c r="F66">
        <v>1999</v>
      </c>
    </row>
    <row r="67" spans="1:6" ht="15" customHeight="1" x14ac:dyDescent="0.3">
      <c r="A67" s="42" t="s">
        <v>157</v>
      </c>
      <c r="B67" s="43">
        <v>36335</v>
      </c>
      <c r="C67" s="42" t="s">
        <v>26</v>
      </c>
      <c r="D67" s="44">
        <v>20.36</v>
      </c>
      <c r="E67" s="44">
        <v>16.3</v>
      </c>
      <c r="F67">
        <v>1999</v>
      </c>
    </row>
    <row r="68" spans="1:6" ht="15" customHeight="1" x14ac:dyDescent="0.3">
      <c r="A68" s="42" t="s">
        <v>158</v>
      </c>
      <c r="B68" s="43">
        <v>36348</v>
      </c>
      <c r="C68" s="42" t="s">
        <v>26</v>
      </c>
      <c r="D68" s="44">
        <v>20.9</v>
      </c>
      <c r="E68" s="44">
        <v>16.399999999999999</v>
      </c>
      <c r="F68">
        <v>1999</v>
      </c>
    </row>
    <row r="69" spans="1:6" ht="15" customHeight="1" x14ac:dyDescent="0.3">
      <c r="A69" s="42" t="s">
        <v>159</v>
      </c>
      <c r="B69" s="43">
        <v>36362</v>
      </c>
      <c r="C69" s="42" t="s">
        <v>26</v>
      </c>
      <c r="D69" s="44">
        <v>22.65</v>
      </c>
      <c r="E69" s="44">
        <v>19.07</v>
      </c>
      <c r="F69">
        <v>1999</v>
      </c>
    </row>
    <row r="70" spans="1:6" ht="15" customHeight="1" x14ac:dyDescent="0.3">
      <c r="A70" s="42" t="s">
        <v>160</v>
      </c>
      <c r="B70" s="43">
        <v>36376</v>
      </c>
      <c r="C70" s="42" t="s">
        <v>26</v>
      </c>
      <c r="D70" s="44">
        <v>24.25</v>
      </c>
      <c r="E70" s="44">
        <v>20.03</v>
      </c>
      <c r="F70">
        <v>1999</v>
      </c>
    </row>
    <row r="71" spans="1:6" ht="15" customHeight="1" x14ac:dyDescent="0.3">
      <c r="A71" s="42" t="s">
        <v>161</v>
      </c>
      <c r="B71" s="43">
        <v>36390</v>
      </c>
      <c r="C71" s="42" t="s">
        <v>26</v>
      </c>
      <c r="D71" s="44">
        <v>23.84</v>
      </c>
      <c r="E71" s="46">
        <v>21.81</v>
      </c>
      <c r="F71">
        <v>1999</v>
      </c>
    </row>
    <row r="72" spans="1:6" ht="15" customHeight="1" x14ac:dyDescent="0.3">
      <c r="A72" s="42" t="s">
        <v>162</v>
      </c>
      <c r="B72" s="43">
        <v>36404</v>
      </c>
      <c r="C72" s="42" t="s">
        <v>26</v>
      </c>
      <c r="D72" s="44">
        <v>22.39</v>
      </c>
      <c r="E72" s="44">
        <v>22.32</v>
      </c>
      <c r="F72">
        <v>1999</v>
      </c>
    </row>
    <row r="73" spans="1:6" ht="15" customHeight="1" x14ac:dyDescent="0.3">
      <c r="A73" s="42" t="s">
        <v>163</v>
      </c>
      <c r="B73" s="43">
        <v>36431</v>
      </c>
      <c r="C73" s="42" t="s">
        <v>26</v>
      </c>
      <c r="D73" s="44">
        <v>20.5</v>
      </c>
      <c r="E73" s="44">
        <v>20.73</v>
      </c>
      <c r="F73">
        <v>1999</v>
      </c>
    </row>
    <row r="74" spans="1:6" ht="15" customHeight="1" x14ac:dyDescent="0.3">
      <c r="A74" s="42" t="s">
        <v>164</v>
      </c>
      <c r="B74" s="43">
        <v>36469</v>
      </c>
      <c r="C74" s="42" t="s">
        <v>26</v>
      </c>
      <c r="D74" s="44">
        <v>14.76</v>
      </c>
      <c r="E74" s="44">
        <v>14.76</v>
      </c>
      <c r="F74">
        <v>1999</v>
      </c>
    </row>
    <row r="75" spans="1:6" ht="15" customHeight="1" x14ac:dyDescent="0.3">
      <c r="A75" s="42" t="s">
        <v>165</v>
      </c>
      <c r="B75" s="43">
        <v>36503</v>
      </c>
      <c r="C75" s="42" t="s">
        <v>26</v>
      </c>
      <c r="D75" s="44">
        <v>9.81</v>
      </c>
      <c r="E75" s="44">
        <v>9.92</v>
      </c>
      <c r="F75">
        <v>1999</v>
      </c>
    </row>
    <row r="76" spans="1:6" ht="15" customHeight="1" x14ac:dyDescent="0.3">
      <c r="A76" s="42" t="s">
        <v>166</v>
      </c>
      <c r="B76" s="43">
        <v>36531</v>
      </c>
      <c r="C76" s="42" t="s">
        <v>26</v>
      </c>
      <c r="D76" s="44">
        <v>5.63</v>
      </c>
      <c r="E76" s="44">
        <v>5.81</v>
      </c>
      <c r="F76">
        <v>2000</v>
      </c>
    </row>
    <row r="77" spans="1:6" ht="15" customHeight="1" x14ac:dyDescent="0.3">
      <c r="A77" s="42" t="s">
        <v>167</v>
      </c>
      <c r="B77" s="43">
        <v>36563</v>
      </c>
      <c r="C77" s="42" t="s">
        <v>26</v>
      </c>
      <c r="D77" s="44">
        <v>0.6</v>
      </c>
      <c r="E77" s="44">
        <v>0.57999999999999996</v>
      </c>
      <c r="F77">
        <v>2000</v>
      </c>
    </row>
    <row r="78" spans="1:6" ht="15" customHeight="1" x14ac:dyDescent="0.3">
      <c r="A78" s="42" t="s">
        <v>169</v>
      </c>
      <c r="B78" s="43">
        <v>36591</v>
      </c>
      <c r="C78" s="42" t="s">
        <v>26</v>
      </c>
      <c r="D78" s="44">
        <v>2.61</v>
      </c>
      <c r="E78" s="44">
        <v>2.46</v>
      </c>
      <c r="F78">
        <v>2000</v>
      </c>
    </row>
    <row r="79" spans="1:6" ht="15" customHeight="1" x14ac:dyDescent="0.3">
      <c r="A79" s="42" t="s">
        <v>171</v>
      </c>
      <c r="B79" s="43">
        <v>36626</v>
      </c>
      <c r="C79" s="42" t="s">
        <v>26</v>
      </c>
      <c r="D79" s="44">
        <v>6.24</v>
      </c>
      <c r="E79" s="44">
        <v>6.2</v>
      </c>
      <c r="F79">
        <v>2000</v>
      </c>
    </row>
    <row r="80" spans="1:6" ht="15" customHeight="1" x14ac:dyDescent="0.3">
      <c r="A80" s="42" t="s">
        <v>172</v>
      </c>
      <c r="B80" s="43">
        <v>36649</v>
      </c>
      <c r="C80" s="42" t="s">
        <v>26</v>
      </c>
      <c r="D80" s="44">
        <v>10.57</v>
      </c>
      <c r="E80" s="44">
        <v>8.32</v>
      </c>
      <c r="F80">
        <v>2000</v>
      </c>
    </row>
    <row r="81" spans="1:6" ht="15" customHeight="1" x14ac:dyDescent="0.3">
      <c r="A81" s="42" t="s">
        <v>173</v>
      </c>
      <c r="B81" s="43">
        <v>36682</v>
      </c>
      <c r="C81" s="42" t="s">
        <v>26</v>
      </c>
      <c r="D81" s="46">
        <v>16.600000000000001</v>
      </c>
      <c r="E81" s="44">
        <v>13.62</v>
      </c>
      <c r="F81">
        <v>2000</v>
      </c>
    </row>
    <row r="82" spans="1:6" ht="15" customHeight="1" x14ac:dyDescent="0.3">
      <c r="A82" s="42" t="s">
        <v>174</v>
      </c>
      <c r="B82" s="43">
        <v>36703</v>
      </c>
      <c r="C82" s="42" t="s">
        <v>26</v>
      </c>
      <c r="D82" s="44">
        <v>18.97</v>
      </c>
      <c r="E82" s="44">
        <v>14.29</v>
      </c>
      <c r="F82">
        <v>2000</v>
      </c>
    </row>
    <row r="83" spans="1:6" ht="15" customHeight="1" x14ac:dyDescent="0.3">
      <c r="A83" s="42" t="s">
        <v>175</v>
      </c>
      <c r="B83" s="43">
        <v>36717</v>
      </c>
      <c r="C83" s="42" t="s">
        <v>26</v>
      </c>
      <c r="D83" s="44">
        <v>20.53</v>
      </c>
      <c r="E83" s="44">
        <v>16.64</v>
      </c>
      <c r="F83">
        <v>2000</v>
      </c>
    </row>
    <row r="84" spans="1:6" ht="15" customHeight="1" x14ac:dyDescent="0.3">
      <c r="A84" s="42" t="s">
        <v>176</v>
      </c>
      <c r="B84" s="43">
        <v>36726</v>
      </c>
      <c r="C84" s="42" t="s">
        <v>26</v>
      </c>
      <c r="D84" s="44">
        <v>21.17</v>
      </c>
      <c r="E84" s="44">
        <v>17.79</v>
      </c>
      <c r="F84">
        <v>2000</v>
      </c>
    </row>
    <row r="85" spans="1:6" ht="15" customHeight="1" x14ac:dyDescent="0.3">
      <c r="A85" s="42" t="s">
        <v>177</v>
      </c>
      <c r="B85" s="43">
        <v>36745</v>
      </c>
      <c r="C85" s="42" t="s">
        <v>26</v>
      </c>
      <c r="D85" s="44">
        <v>22.08</v>
      </c>
      <c r="E85" s="44">
        <v>20.100000000000001</v>
      </c>
      <c r="F85">
        <v>2000</v>
      </c>
    </row>
    <row r="86" spans="1:6" ht="15" customHeight="1" x14ac:dyDescent="0.3">
      <c r="A86" s="42" t="s">
        <v>178</v>
      </c>
      <c r="B86" s="43">
        <v>36754</v>
      </c>
      <c r="C86" s="42" t="s">
        <v>26</v>
      </c>
      <c r="D86" s="44">
        <v>22.15</v>
      </c>
      <c r="E86" s="44">
        <v>21.03</v>
      </c>
      <c r="F86">
        <v>2000</v>
      </c>
    </row>
    <row r="87" spans="1:6" ht="15" customHeight="1" x14ac:dyDescent="0.3">
      <c r="A87" s="42" t="s">
        <v>179</v>
      </c>
      <c r="B87" s="43">
        <v>36769</v>
      </c>
      <c r="C87" s="42" t="s">
        <v>26</v>
      </c>
      <c r="D87" s="44">
        <v>22.12</v>
      </c>
      <c r="E87" s="46">
        <v>21.58</v>
      </c>
      <c r="F87">
        <v>2000</v>
      </c>
    </row>
    <row r="88" spans="1:6" ht="15" customHeight="1" x14ac:dyDescent="0.3">
      <c r="A88" s="42" t="s">
        <v>180</v>
      </c>
      <c r="B88" s="43">
        <v>36802</v>
      </c>
      <c r="C88" s="42" t="s">
        <v>26</v>
      </c>
      <c r="D88" s="44">
        <v>19.34</v>
      </c>
      <c r="E88" s="44">
        <v>19.190000000000001</v>
      </c>
      <c r="F88">
        <v>2000</v>
      </c>
    </row>
    <row r="89" spans="1:6" ht="15" customHeight="1" x14ac:dyDescent="0.3">
      <c r="A89" s="42" t="s">
        <v>181</v>
      </c>
      <c r="B89" s="43">
        <v>36839</v>
      </c>
      <c r="C89" s="42" t="s">
        <v>26</v>
      </c>
      <c r="D89" s="44">
        <v>13.42</v>
      </c>
      <c r="E89" s="44">
        <v>13.75</v>
      </c>
      <c r="F89">
        <v>2000</v>
      </c>
    </row>
    <row r="90" spans="1:6" ht="15" customHeight="1" x14ac:dyDescent="0.3">
      <c r="A90" s="42" t="s">
        <v>182</v>
      </c>
      <c r="B90" s="43">
        <v>36864</v>
      </c>
      <c r="C90" s="42" t="s">
        <v>26</v>
      </c>
      <c r="D90" s="44">
        <v>7.64</v>
      </c>
      <c r="E90" s="44">
        <v>7.94</v>
      </c>
      <c r="F90">
        <v>2000</v>
      </c>
    </row>
    <row r="91" spans="1:6" ht="15" customHeight="1" x14ac:dyDescent="0.3">
      <c r="A91" s="42" t="s">
        <v>183</v>
      </c>
      <c r="B91" s="43">
        <v>36908</v>
      </c>
      <c r="C91" s="42" t="s">
        <v>26</v>
      </c>
      <c r="D91" s="44">
        <v>1.97</v>
      </c>
      <c r="E91" s="44">
        <v>2.0699999999999998</v>
      </c>
      <c r="F91">
        <v>2001</v>
      </c>
    </row>
    <row r="92" spans="1:6" ht="15" customHeight="1" x14ac:dyDescent="0.3">
      <c r="A92" s="42" t="s">
        <v>184</v>
      </c>
      <c r="B92" s="43">
        <v>36929</v>
      </c>
      <c r="C92" s="42" t="s">
        <v>26</v>
      </c>
      <c r="D92" s="44">
        <v>1.7</v>
      </c>
      <c r="E92" s="44">
        <v>1.66</v>
      </c>
      <c r="F92">
        <v>2001</v>
      </c>
    </row>
    <row r="93" spans="1:6" ht="15" customHeight="1" x14ac:dyDescent="0.3">
      <c r="A93" s="42" t="s">
        <v>186</v>
      </c>
      <c r="B93" s="43">
        <v>36958</v>
      </c>
      <c r="C93" s="42" t="s">
        <v>26</v>
      </c>
      <c r="D93" s="44">
        <v>1.78</v>
      </c>
      <c r="E93" s="44">
        <v>1.68</v>
      </c>
      <c r="F93">
        <v>2001</v>
      </c>
    </row>
    <row r="94" spans="1:6" ht="15" customHeight="1" x14ac:dyDescent="0.3">
      <c r="A94" s="42" t="s">
        <v>187</v>
      </c>
      <c r="B94" s="43">
        <v>36985</v>
      </c>
      <c r="C94" s="42" t="s">
        <v>26</v>
      </c>
      <c r="D94" s="44">
        <v>4.38</v>
      </c>
      <c r="E94" s="44">
        <v>3.91</v>
      </c>
      <c r="F94">
        <v>2001</v>
      </c>
    </row>
    <row r="95" spans="1:6" ht="15" customHeight="1" x14ac:dyDescent="0.3">
      <c r="A95" s="42" t="s">
        <v>188</v>
      </c>
      <c r="B95" s="43">
        <v>37012</v>
      </c>
      <c r="C95" s="42" t="s">
        <v>26</v>
      </c>
      <c r="D95" s="45"/>
      <c r="E95" s="45"/>
      <c r="F95">
        <v>2001</v>
      </c>
    </row>
    <row r="96" spans="1:6" ht="15" customHeight="1" x14ac:dyDescent="0.3">
      <c r="A96" s="42" t="s">
        <v>189</v>
      </c>
      <c r="B96" s="43">
        <v>37048</v>
      </c>
      <c r="C96" s="42" t="s">
        <v>26</v>
      </c>
      <c r="D96" s="44">
        <v>15.68</v>
      </c>
      <c r="E96" s="44">
        <v>12.59</v>
      </c>
      <c r="F96">
        <v>2001</v>
      </c>
    </row>
    <row r="97" spans="1:6" ht="15" customHeight="1" x14ac:dyDescent="0.3">
      <c r="A97" s="42" t="s">
        <v>190</v>
      </c>
      <c r="B97" s="43">
        <v>37063</v>
      </c>
      <c r="C97" s="42" t="s">
        <v>26</v>
      </c>
      <c r="D97" s="44">
        <v>20.84</v>
      </c>
      <c r="E97" s="44">
        <v>13.51</v>
      </c>
      <c r="F97">
        <v>2001</v>
      </c>
    </row>
    <row r="98" spans="1:6" ht="15" customHeight="1" x14ac:dyDescent="0.3">
      <c r="A98" s="42" t="s">
        <v>191</v>
      </c>
      <c r="B98" s="43">
        <v>37082</v>
      </c>
      <c r="C98" s="42" t="s">
        <v>26</v>
      </c>
      <c r="D98" s="44">
        <v>19.72</v>
      </c>
      <c r="E98" s="45"/>
      <c r="F98">
        <v>2001</v>
      </c>
    </row>
    <row r="99" spans="1:6" ht="15" customHeight="1" x14ac:dyDescent="0.3">
      <c r="A99" s="42" t="s">
        <v>192</v>
      </c>
      <c r="B99" s="43">
        <v>37097</v>
      </c>
      <c r="C99" s="42" t="s">
        <v>26</v>
      </c>
      <c r="E99" s="44">
        <v>18.59</v>
      </c>
      <c r="F99">
        <v>2001</v>
      </c>
    </row>
    <row r="100" spans="1:6" ht="15" customHeight="1" x14ac:dyDescent="0.3">
      <c r="A100" s="42" t="s">
        <v>193</v>
      </c>
      <c r="B100" s="43">
        <v>37110</v>
      </c>
      <c r="C100" s="42" t="s">
        <v>26</v>
      </c>
      <c r="D100" s="44">
        <v>22.31</v>
      </c>
      <c r="E100" s="44">
        <v>19.989999999999998</v>
      </c>
      <c r="F100">
        <v>2001</v>
      </c>
    </row>
    <row r="101" spans="1:6" ht="15" customHeight="1" x14ac:dyDescent="0.3">
      <c r="A101" s="42" t="s">
        <v>194</v>
      </c>
      <c r="B101" s="43">
        <v>37124</v>
      </c>
      <c r="C101" s="42" t="s">
        <v>26</v>
      </c>
      <c r="D101" s="44">
        <v>24.15</v>
      </c>
      <c r="E101" s="44">
        <v>17.8</v>
      </c>
      <c r="F101">
        <v>2001</v>
      </c>
    </row>
    <row r="102" spans="1:6" ht="15" customHeight="1" x14ac:dyDescent="0.3">
      <c r="A102" s="42" t="s">
        <v>196</v>
      </c>
      <c r="B102" s="43">
        <v>37138</v>
      </c>
      <c r="C102" s="42" t="s">
        <v>26</v>
      </c>
      <c r="D102" s="44">
        <v>22.76</v>
      </c>
      <c r="E102" s="44">
        <v>21.7</v>
      </c>
      <c r="F102">
        <v>2001</v>
      </c>
    </row>
    <row r="103" spans="1:6" ht="15" customHeight="1" x14ac:dyDescent="0.3">
      <c r="A103" s="42" t="s">
        <v>197</v>
      </c>
      <c r="B103" s="43">
        <v>37158</v>
      </c>
      <c r="C103" s="42" t="s">
        <v>26</v>
      </c>
      <c r="D103" s="44">
        <v>21.94</v>
      </c>
      <c r="E103" s="45"/>
      <c r="F103">
        <v>2001</v>
      </c>
    </row>
    <row r="104" spans="1:6" ht="15" customHeight="1" x14ac:dyDescent="0.3">
      <c r="A104" s="42" t="s">
        <v>198</v>
      </c>
      <c r="B104" s="43">
        <v>37168</v>
      </c>
      <c r="C104" s="42" t="s">
        <v>26</v>
      </c>
      <c r="D104" s="44">
        <v>19.309999999999999</v>
      </c>
      <c r="E104" s="44">
        <v>19.350000000000001</v>
      </c>
      <c r="F104">
        <v>2001</v>
      </c>
    </row>
    <row r="105" spans="1:6" ht="15" customHeight="1" x14ac:dyDescent="0.3">
      <c r="A105" s="42" t="s">
        <v>199</v>
      </c>
      <c r="B105" s="43">
        <v>37208</v>
      </c>
      <c r="C105" s="42" t="s">
        <v>26</v>
      </c>
      <c r="D105" s="44">
        <v>13.64</v>
      </c>
      <c r="E105" s="44">
        <v>13.53</v>
      </c>
      <c r="F105">
        <v>2001</v>
      </c>
    </row>
    <row r="106" spans="1:6" ht="15" customHeight="1" x14ac:dyDescent="0.3">
      <c r="A106" s="42" t="s">
        <v>200</v>
      </c>
      <c r="B106" s="43">
        <v>37230</v>
      </c>
      <c r="C106" s="42" t="s">
        <v>26</v>
      </c>
      <c r="D106" s="44">
        <v>11.79</v>
      </c>
      <c r="E106" s="44">
        <v>11.82</v>
      </c>
      <c r="F106">
        <v>2001</v>
      </c>
    </row>
    <row r="107" spans="1:6" ht="15" customHeight="1" x14ac:dyDescent="0.3">
      <c r="A107" s="42" t="s">
        <v>201</v>
      </c>
      <c r="B107" s="43">
        <v>37271</v>
      </c>
      <c r="C107" s="42" t="s">
        <v>26</v>
      </c>
      <c r="D107" s="44">
        <v>5.09</v>
      </c>
      <c r="E107" s="44">
        <v>5.54</v>
      </c>
      <c r="F107">
        <v>2002</v>
      </c>
    </row>
    <row r="108" spans="1:6" ht="15" customHeight="1" x14ac:dyDescent="0.3">
      <c r="A108" s="42" t="s">
        <v>202</v>
      </c>
      <c r="B108" s="43">
        <v>37293</v>
      </c>
      <c r="C108" s="42" t="s">
        <v>26</v>
      </c>
      <c r="D108" s="44">
        <v>4.3499999999999996</v>
      </c>
      <c r="E108" s="44">
        <v>4.3</v>
      </c>
      <c r="F108">
        <v>2002</v>
      </c>
    </row>
    <row r="109" spans="1:6" ht="15" customHeight="1" x14ac:dyDescent="0.3">
      <c r="A109" s="42" t="s">
        <v>204</v>
      </c>
      <c r="B109" s="43">
        <v>37319</v>
      </c>
      <c r="C109" s="42" t="s">
        <v>26</v>
      </c>
      <c r="D109" s="44">
        <v>4.92</v>
      </c>
      <c r="E109" s="44">
        <v>4.8099999999999996</v>
      </c>
      <c r="F109">
        <v>2002</v>
      </c>
    </row>
    <row r="110" spans="1:6" ht="15" customHeight="1" x14ac:dyDescent="0.3">
      <c r="A110" s="42" t="s">
        <v>206</v>
      </c>
      <c r="B110" s="43">
        <v>37350</v>
      </c>
      <c r="C110" s="42" t="s">
        <v>26</v>
      </c>
      <c r="D110" s="44">
        <v>6.43</v>
      </c>
      <c r="E110" s="44">
        <v>6.22</v>
      </c>
      <c r="F110">
        <v>2002</v>
      </c>
    </row>
    <row r="111" spans="1:6" ht="15" customHeight="1" x14ac:dyDescent="0.3">
      <c r="A111" s="42" t="s">
        <v>207</v>
      </c>
      <c r="B111" s="43">
        <v>37383</v>
      </c>
      <c r="C111" s="42" t="s">
        <v>26</v>
      </c>
      <c r="D111" s="44">
        <v>11.69</v>
      </c>
      <c r="E111" s="44">
        <v>9.76</v>
      </c>
      <c r="F111">
        <v>2002</v>
      </c>
    </row>
    <row r="112" spans="1:6" ht="15" customHeight="1" x14ac:dyDescent="0.3">
      <c r="A112" s="42" t="s">
        <v>208</v>
      </c>
      <c r="B112" s="43">
        <v>37413</v>
      </c>
      <c r="C112" s="42" t="s">
        <v>26</v>
      </c>
      <c r="D112" s="44">
        <v>17.71</v>
      </c>
      <c r="E112" s="44">
        <v>13.23</v>
      </c>
      <c r="F112">
        <v>2002</v>
      </c>
    </row>
    <row r="113" spans="1:6" ht="15" customHeight="1" x14ac:dyDescent="0.3">
      <c r="A113" s="42" t="s">
        <v>209</v>
      </c>
      <c r="B113" s="43">
        <v>37433</v>
      </c>
      <c r="C113" s="42" t="s">
        <v>26</v>
      </c>
      <c r="D113" s="44">
        <v>21.35</v>
      </c>
      <c r="E113" s="44">
        <v>16.41</v>
      </c>
      <c r="F113">
        <v>2002</v>
      </c>
    </row>
    <row r="114" spans="1:6" ht="15" customHeight="1" x14ac:dyDescent="0.3">
      <c r="A114" s="42" t="s">
        <v>210</v>
      </c>
      <c r="B114" s="43">
        <v>37446</v>
      </c>
      <c r="C114" s="42" t="s">
        <v>26</v>
      </c>
      <c r="D114" s="44">
        <v>21.76</v>
      </c>
      <c r="E114" s="44">
        <v>16.61</v>
      </c>
      <c r="F114">
        <v>2002</v>
      </c>
    </row>
    <row r="115" spans="1:6" ht="15" customHeight="1" x14ac:dyDescent="0.3">
      <c r="A115" s="42" t="s">
        <v>211</v>
      </c>
      <c r="B115" s="43">
        <v>37459</v>
      </c>
      <c r="C115" s="42" t="s">
        <v>26</v>
      </c>
      <c r="D115" s="44">
        <v>23.06</v>
      </c>
      <c r="E115" s="44">
        <v>18.34</v>
      </c>
      <c r="F115">
        <v>2002</v>
      </c>
    </row>
    <row r="116" spans="1:6" ht="15" customHeight="1" x14ac:dyDescent="0.3">
      <c r="A116" s="42" t="s">
        <v>212</v>
      </c>
      <c r="B116" s="43">
        <v>37475</v>
      </c>
      <c r="C116" s="42" t="s">
        <v>26</v>
      </c>
      <c r="D116" s="44">
        <v>22.49</v>
      </c>
      <c r="E116" s="44">
        <v>20.32</v>
      </c>
      <c r="F116">
        <v>2002</v>
      </c>
    </row>
    <row r="117" spans="1:6" ht="15" customHeight="1" x14ac:dyDescent="0.3">
      <c r="A117" s="42" t="s">
        <v>213</v>
      </c>
      <c r="B117" s="43">
        <v>37490</v>
      </c>
      <c r="C117" s="42" t="s">
        <v>26</v>
      </c>
      <c r="D117" s="44">
        <v>24.02</v>
      </c>
      <c r="E117" s="44">
        <v>21.75</v>
      </c>
      <c r="F117">
        <v>2002</v>
      </c>
    </row>
    <row r="118" spans="1:6" ht="15" customHeight="1" x14ac:dyDescent="0.3">
      <c r="A118" s="42" t="s">
        <v>214</v>
      </c>
      <c r="B118" s="43">
        <v>37509</v>
      </c>
      <c r="C118" s="42" t="s">
        <v>26</v>
      </c>
      <c r="D118" s="44">
        <v>22.5</v>
      </c>
      <c r="E118" s="44">
        <v>21.57</v>
      </c>
      <c r="F118">
        <v>2002</v>
      </c>
    </row>
    <row r="119" spans="1:6" ht="15" customHeight="1" x14ac:dyDescent="0.3">
      <c r="A119" s="42" t="s">
        <v>215</v>
      </c>
      <c r="B119" s="43">
        <v>37538</v>
      </c>
      <c r="C119" s="42" t="s">
        <v>26</v>
      </c>
      <c r="D119" s="44">
        <v>20.49</v>
      </c>
      <c r="E119" s="44">
        <v>20.45</v>
      </c>
      <c r="F119">
        <v>2002</v>
      </c>
    </row>
    <row r="120" spans="1:6" ht="15" customHeight="1" x14ac:dyDescent="0.3">
      <c r="A120" s="42" t="s">
        <v>216</v>
      </c>
      <c r="B120" s="43">
        <v>37573</v>
      </c>
      <c r="C120" s="42" t="s">
        <v>26</v>
      </c>
      <c r="D120" s="44">
        <v>12.05</v>
      </c>
      <c r="E120" s="44">
        <v>12.91</v>
      </c>
      <c r="F120">
        <v>2002</v>
      </c>
    </row>
    <row r="121" spans="1:6" ht="15" customHeight="1" x14ac:dyDescent="0.3">
      <c r="A121" s="42" t="s">
        <v>217</v>
      </c>
      <c r="B121" s="43">
        <v>37600</v>
      </c>
      <c r="C121" s="42" t="s">
        <v>26</v>
      </c>
      <c r="D121" s="44">
        <v>6.19</v>
      </c>
      <c r="E121" s="44">
        <v>6.89</v>
      </c>
      <c r="F121">
        <v>2002</v>
      </c>
    </row>
    <row r="122" spans="1:6" ht="15" customHeight="1" x14ac:dyDescent="0.3">
      <c r="A122" s="42" t="s">
        <v>218</v>
      </c>
      <c r="B122" s="43">
        <v>37666</v>
      </c>
      <c r="C122" s="42" t="s">
        <v>26</v>
      </c>
      <c r="D122" s="44">
        <v>-0.16</v>
      </c>
      <c r="E122" s="44">
        <v>-0.21</v>
      </c>
      <c r="F122">
        <v>2003</v>
      </c>
    </row>
    <row r="123" spans="1:6" ht="15" customHeight="1" x14ac:dyDescent="0.3">
      <c r="A123" s="42" t="s">
        <v>219</v>
      </c>
      <c r="B123" s="43">
        <v>37690</v>
      </c>
      <c r="C123" s="42" t="s">
        <v>26</v>
      </c>
      <c r="D123" s="44">
        <v>-0.14000000000000001</v>
      </c>
      <c r="E123" s="44">
        <v>-0.14000000000000001</v>
      </c>
      <c r="F123">
        <v>2003</v>
      </c>
    </row>
    <row r="124" spans="1:6" ht="15" customHeight="1" x14ac:dyDescent="0.3">
      <c r="A124" s="42" t="s">
        <v>221</v>
      </c>
      <c r="B124" s="43">
        <v>37712</v>
      </c>
      <c r="C124" s="42" t="s">
        <v>26</v>
      </c>
      <c r="D124" s="44">
        <v>4.43</v>
      </c>
      <c r="E124" s="44">
        <v>2.58</v>
      </c>
      <c r="F124">
        <v>2003</v>
      </c>
    </row>
    <row r="125" spans="1:6" ht="15" customHeight="1" x14ac:dyDescent="0.3">
      <c r="A125" s="42" t="s">
        <v>222</v>
      </c>
      <c r="B125" s="43">
        <v>37747</v>
      </c>
      <c r="C125" s="42" t="s">
        <v>26</v>
      </c>
      <c r="D125" s="44">
        <v>10.44</v>
      </c>
      <c r="E125" s="44">
        <v>6.97</v>
      </c>
      <c r="F125">
        <v>2003</v>
      </c>
    </row>
    <row r="126" spans="1:6" ht="15" customHeight="1" x14ac:dyDescent="0.3">
      <c r="A126" s="42" t="s">
        <v>223</v>
      </c>
      <c r="B126" s="43">
        <v>37777</v>
      </c>
      <c r="C126" s="42" t="s">
        <v>26</v>
      </c>
      <c r="D126" s="44">
        <v>13.83</v>
      </c>
      <c r="E126" s="44">
        <v>11.92</v>
      </c>
      <c r="F126">
        <v>2003</v>
      </c>
    </row>
    <row r="127" spans="1:6" ht="15" customHeight="1" x14ac:dyDescent="0.3">
      <c r="A127" s="42" t="s">
        <v>224</v>
      </c>
      <c r="B127" s="43">
        <v>37791</v>
      </c>
      <c r="C127" s="42" t="s">
        <v>26</v>
      </c>
      <c r="D127" s="44">
        <v>16.59</v>
      </c>
      <c r="E127" s="44">
        <v>13.23</v>
      </c>
      <c r="F127">
        <v>2003</v>
      </c>
    </row>
    <row r="128" spans="1:6" ht="15" customHeight="1" x14ac:dyDescent="0.3">
      <c r="A128" s="42" t="s">
        <v>225</v>
      </c>
      <c r="B128" s="43">
        <v>37810</v>
      </c>
      <c r="C128" s="42" t="s">
        <v>26</v>
      </c>
      <c r="D128" s="44">
        <v>20.92</v>
      </c>
      <c r="E128" s="44">
        <v>13.78</v>
      </c>
      <c r="F128">
        <v>2003</v>
      </c>
    </row>
    <row r="129" spans="1:6" ht="15" customHeight="1" x14ac:dyDescent="0.3">
      <c r="A129" s="42" t="s">
        <v>226</v>
      </c>
      <c r="B129" s="43">
        <v>37830</v>
      </c>
      <c r="C129" s="42" t="s">
        <v>26</v>
      </c>
      <c r="D129" s="44">
        <v>19.149999999999999</v>
      </c>
      <c r="E129" s="44">
        <v>15.84</v>
      </c>
      <c r="F129">
        <v>2003</v>
      </c>
    </row>
    <row r="130" spans="1:6" ht="15" customHeight="1" x14ac:dyDescent="0.3">
      <c r="A130" s="42" t="s">
        <v>227</v>
      </c>
      <c r="B130" s="43">
        <v>37839</v>
      </c>
      <c r="C130" s="42" t="s">
        <v>26</v>
      </c>
      <c r="D130" s="44">
        <v>21.76</v>
      </c>
      <c r="E130" s="44">
        <v>17.7</v>
      </c>
      <c r="F130">
        <v>2003</v>
      </c>
    </row>
    <row r="131" spans="1:6" ht="15" customHeight="1" x14ac:dyDescent="0.3">
      <c r="A131" s="42" t="s">
        <v>228</v>
      </c>
      <c r="B131" s="43">
        <v>37853</v>
      </c>
      <c r="C131" s="42" t="s">
        <v>26</v>
      </c>
      <c r="D131" s="44">
        <v>23.28</v>
      </c>
      <c r="E131" s="44">
        <v>19.52</v>
      </c>
      <c r="F131">
        <v>2003</v>
      </c>
    </row>
    <row r="132" spans="1:6" ht="15" customHeight="1" x14ac:dyDescent="0.3">
      <c r="A132" s="42" t="s">
        <v>229</v>
      </c>
      <c r="B132" s="43">
        <v>37867</v>
      </c>
      <c r="C132" s="42" t="s">
        <v>26</v>
      </c>
      <c r="D132" s="44">
        <v>20.309999999999999</v>
      </c>
      <c r="E132" s="44">
        <v>20.32</v>
      </c>
      <c r="F132">
        <v>2003</v>
      </c>
    </row>
    <row r="133" spans="1:6" ht="15" customHeight="1" x14ac:dyDescent="0.3">
      <c r="A133" s="42" t="s">
        <v>230</v>
      </c>
      <c r="B133" s="43">
        <v>37900</v>
      </c>
      <c r="C133" s="42" t="s">
        <v>26</v>
      </c>
      <c r="D133" s="44">
        <v>19.010000000000002</v>
      </c>
      <c r="E133" s="44">
        <v>18.940000000000001</v>
      </c>
      <c r="F133">
        <v>2003</v>
      </c>
    </row>
    <row r="134" spans="1:6" ht="15" customHeight="1" x14ac:dyDescent="0.3">
      <c r="A134" s="42" t="s">
        <v>231</v>
      </c>
      <c r="B134" s="43">
        <v>37930</v>
      </c>
      <c r="C134" s="42" t="s">
        <v>26</v>
      </c>
      <c r="D134" s="44">
        <v>14.98</v>
      </c>
      <c r="E134" s="44">
        <v>14.99</v>
      </c>
      <c r="F134">
        <v>2003</v>
      </c>
    </row>
    <row r="135" spans="1:6" ht="15" customHeight="1" x14ac:dyDescent="0.3">
      <c r="A135" s="42" t="s">
        <v>232</v>
      </c>
      <c r="B135" s="43">
        <v>37964</v>
      </c>
      <c r="C135" s="42" t="s">
        <v>26</v>
      </c>
      <c r="D135" s="44">
        <v>7.05</v>
      </c>
      <c r="E135" s="44">
        <v>7.46</v>
      </c>
      <c r="F135">
        <v>2003</v>
      </c>
    </row>
    <row r="136" spans="1:6" ht="15" customHeight="1" x14ac:dyDescent="0.3">
      <c r="A136" s="42" t="s">
        <v>233</v>
      </c>
      <c r="B136" s="43">
        <v>38019</v>
      </c>
      <c r="C136" s="42" t="s">
        <v>26</v>
      </c>
      <c r="D136" s="44">
        <v>-0.56000000000000005</v>
      </c>
      <c r="E136" s="44">
        <v>-0.8</v>
      </c>
      <c r="F136">
        <v>2004</v>
      </c>
    </row>
    <row r="137" spans="1:6" ht="15" customHeight="1" x14ac:dyDescent="0.3">
      <c r="A137" s="42" t="s">
        <v>235</v>
      </c>
      <c r="B137" s="43">
        <v>38047</v>
      </c>
      <c r="C137" s="42" t="s">
        <v>26</v>
      </c>
      <c r="D137" s="44">
        <v>1.9</v>
      </c>
      <c r="E137" s="44">
        <v>0.41</v>
      </c>
      <c r="F137">
        <v>2004</v>
      </c>
    </row>
    <row r="138" spans="1:6" ht="15" customHeight="1" x14ac:dyDescent="0.3">
      <c r="A138" s="42" t="s">
        <v>237</v>
      </c>
      <c r="B138" s="43">
        <v>38091</v>
      </c>
      <c r="C138" s="42" t="s">
        <v>26</v>
      </c>
      <c r="D138" s="44">
        <v>5.55</v>
      </c>
      <c r="E138" s="44">
        <v>5.32</v>
      </c>
      <c r="F138">
        <v>2004</v>
      </c>
    </row>
    <row r="139" spans="1:6" ht="15" customHeight="1" x14ac:dyDescent="0.3">
      <c r="A139" s="42" t="s">
        <v>238</v>
      </c>
      <c r="B139" s="43">
        <v>38113</v>
      </c>
      <c r="C139" s="42" t="s">
        <v>26</v>
      </c>
      <c r="D139" s="44">
        <v>9.44</v>
      </c>
      <c r="E139" s="44">
        <v>7.16</v>
      </c>
      <c r="F139">
        <v>2004</v>
      </c>
    </row>
    <row r="140" spans="1:6" ht="15" customHeight="1" x14ac:dyDescent="0.3">
      <c r="A140" s="42" t="s">
        <v>239</v>
      </c>
      <c r="B140" s="43">
        <v>38140</v>
      </c>
      <c r="C140" s="42" t="s">
        <v>26</v>
      </c>
      <c r="D140" s="44">
        <v>15.88</v>
      </c>
      <c r="E140" s="44">
        <v>12.69</v>
      </c>
      <c r="F140">
        <v>2004</v>
      </c>
    </row>
    <row r="141" spans="1:6" ht="15" customHeight="1" x14ac:dyDescent="0.3">
      <c r="A141" s="42" t="s">
        <v>240</v>
      </c>
      <c r="B141" s="43">
        <v>38167</v>
      </c>
      <c r="C141" s="42" t="s">
        <v>26</v>
      </c>
      <c r="D141" s="44">
        <v>18.440000000000001</v>
      </c>
      <c r="E141" s="44">
        <v>13.76</v>
      </c>
      <c r="F141">
        <v>2004</v>
      </c>
    </row>
    <row r="142" spans="1:6" ht="15" customHeight="1" x14ac:dyDescent="0.3">
      <c r="A142" s="42" t="s">
        <v>241</v>
      </c>
      <c r="B142" s="43">
        <v>38174</v>
      </c>
      <c r="C142" s="42" t="s">
        <v>26</v>
      </c>
      <c r="D142" s="44">
        <v>19.96</v>
      </c>
      <c r="E142" s="44">
        <v>15.08</v>
      </c>
      <c r="F142">
        <v>2004</v>
      </c>
    </row>
    <row r="143" spans="1:6" ht="15" customHeight="1" x14ac:dyDescent="0.3">
      <c r="A143" s="42" t="s">
        <v>242</v>
      </c>
      <c r="B143" s="43">
        <v>38188</v>
      </c>
      <c r="C143" s="42" t="s">
        <v>26</v>
      </c>
      <c r="D143" s="44">
        <v>20.68</v>
      </c>
      <c r="E143" s="44">
        <v>17.95</v>
      </c>
      <c r="F143">
        <v>2004</v>
      </c>
    </row>
    <row r="144" spans="1:6" ht="15" customHeight="1" x14ac:dyDescent="0.3">
      <c r="A144" s="42" t="s">
        <v>243</v>
      </c>
      <c r="B144" s="43">
        <v>38202</v>
      </c>
      <c r="C144" s="42" t="s">
        <v>26</v>
      </c>
      <c r="D144" s="44">
        <v>23</v>
      </c>
      <c r="E144" s="44">
        <v>19.600000000000001</v>
      </c>
      <c r="F144">
        <v>2004</v>
      </c>
    </row>
    <row r="145" spans="1:6" ht="15" customHeight="1" x14ac:dyDescent="0.3">
      <c r="A145" s="42" t="s">
        <v>244</v>
      </c>
      <c r="B145" s="43">
        <v>38222</v>
      </c>
      <c r="C145" s="42" t="s">
        <v>26</v>
      </c>
      <c r="D145" s="44">
        <v>22.49</v>
      </c>
      <c r="E145" s="44">
        <v>20.48</v>
      </c>
      <c r="F145">
        <v>2004</v>
      </c>
    </row>
    <row r="146" spans="1:6" ht="15" customHeight="1" x14ac:dyDescent="0.3">
      <c r="A146" s="42" t="s">
        <v>245</v>
      </c>
      <c r="B146" s="43">
        <v>38232</v>
      </c>
      <c r="C146" s="42" t="s">
        <v>26</v>
      </c>
      <c r="D146" s="44">
        <v>23.02</v>
      </c>
      <c r="E146" s="44">
        <v>21.13</v>
      </c>
      <c r="F146">
        <v>2004</v>
      </c>
    </row>
    <row r="147" spans="1:6" ht="15" customHeight="1" x14ac:dyDescent="0.3">
      <c r="A147" s="42" t="s">
        <v>246</v>
      </c>
      <c r="B147" s="43">
        <v>38273</v>
      </c>
      <c r="C147" s="42" t="s">
        <v>26</v>
      </c>
      <c r="D147" s="44">
        <v>18.95</v>
      </c>
      <c r="E147" s="44">
        <v>19.02</v>
      </c>
      <c r="F147">
        <v>2004</v>
      </c>
    </row>
    <row r="148" spans="1:6" ht="15" customHeight="1" x14ac:dyDescent="0.3">
      <c r="A148" s="42" t="s">
        <v>247</v>
      </c>
      <c r="B148" s="43">
        <v>38330</v>
      </c>
      <c r="C148" s="42" t="s">
        <v>26</v>
      </c>
      <c r="D148" s="44">
        <v>8.81</v>
      </c>
      <c r="E148" s="44">
        <v>8.8000000000000007</v>
      </c>
      <c r="F148">
        <v>2004</v>
      </c>
    </row>
    <row r="149" spans="1:6" ht="15" customHeight="1" x14ac:dyDescent="0.3">
      <c r="A149" s="42" t="s">
        <v>248</v>
      </c>
      <c r="B149" s="43">
        <v>38365</v>
      </c>
      <c r="C149" s="42" t="s">
        <v>26</v>
      </c>
      <c r="D149" s="44">
        <v>4.3499999999999996</v>
      </c>
      <c r="E149" s="44">
        <v>4.3600000000000003</v>
      </c>
      <c r="F149">
        <v>2005</v>
      </c>
    </row>
    <row r="150" spans="1:6" ht="15" customHeight="1" x14ac:dyDescent="0.3">
      <c r="A150" s="42" t="s">
        <v>249</v>
      </c>
      <c r="B150" s="43">
        <v>38383</v>
      </c>
      <c r="C150" s="42" t="s">
        <v>26</v>
      </c>
      <c r="D150" s="44">
        <v>0.59</v>
      </c>
      <c r="E150" s="44">
        <v>0.67</v>
      </c>
      <c r="F150">
        <v>2005</v>
      </c>
    </row>
    <row r="151" spans="1:6" ht="15" customHeight="1" x14ac:dyDescent="0.3">
      <c r="A151" s="42" t="s">
        <v>250</v>
      </c>
      <c r="B151" s="43">
        <v>38421</v>
      </c>
      <c r="C151" s="42" t="s">
        <v>26</v>
      </c>
      <c r="D151" s="44">
        <v>1.08</v>
      </c>
      <c r="E151" s="44">
        <v>0.99</v>
      </c>
      <c r="F151">
        <v>2005</v>
      </c>
    </row>
    <row r="152" spans="1:6" ht="15" customHeight="1" x14ac:dyDescent="0.3">
      <c r="A152" s="42" t="s">
        <v>251</v>
      </c>
      <c r="B152" s="43">
        <v>38448</v>
      </c>
      <c r="C152" s="42" t="s">
        <v>26</v>
      </c>
      <c r="D152" s="44">
        <v>5.18</v>
      </c>
      <c r="E152" s="44">
        <v>3.83</v>
      </c>
      <c r="F152">
        <v>2005</v>
      </c>
    </row>
    <row r="153" spans="1:6" ht="15" customHeight="1" x14ac:dyDescent="0.3">
      <c r="A153" s="42" t="s">
        <v>252</v>
      </c>
      <c r="B153" s="43">
        <v>38481</v>
      </c>
      <c r="C153" s="42" t="s">
        <v>26</v>
      </c>
      <c r="D153" s="46">
        <v>9.14</v>
      </c>
      <c r="E153" s="46">
        <v>8.81</v>
      </c>
      <c r="F153">
        <v>2005</v>
      </c>
    </row>
    <row r="154" spans="1:6" ht="15" customHeight="1" x14ac:dyDescent="0.3">
      <c r="A154" s="42" t="s">
        <v>253</v>
      </c>
      <c r="B154" s="43">
        <v>38512</v>
      </c>
      <c r="C154" s="42" t="s">
        <v>26</v>
      </c>
      <c r="D154" s="44">
        <v>18.23</v>
      </c>
      <c r="E154" s="44">
        <v>12.35</v>
      </c>
      <c r="F154">
        <v>2005</v>
      </c>
    </row>
    <row r="155" spans="1:6" ht="15" customHeight="1" x14ac:dyDescent="0.3">
      <c r="A155" s="42" t="s">
        <v>254</v>
      </c>
      <c r="B155" s="43">
        <v>38526</v>
      </c>
      <c r="C155" s="42" t="s">
        <v>26</v>
      </c>
      <c r="D155" s="44">
        <v>18.61</v>
      </c>
      <c r="E155" s="44">
        <v>13.44</v>
      </c>
      <c r="F155">
        <v>2005</v>
      </c>
    </row>
    <row r="156" spans="1:6" ht="15" customHeight="1" x14ac:dyDescent="0.3">
      <c r="A156" s="42" t="s">
        <v>255</v>
      </c>
      <c r="B156" s="43">
        <v>38544</v>
      </c>
      <c r="C156" s="42" t="s">
        <v>26</v>
      </c>
      <c r="D156" s="46">
        <v>20.93</v>
      </c>
      <c r="E156" s="44">
        <v>18.04</v>
      </c>
      <c r="F156">
        <v>2005</v>
      </c>
    </row>
    <row r="157" spans="1:6" ht="15" customHeight="1" x14ac:dyDescent="0.3">
      <c r="A157" s="42" t="s">
        <v>256</v>
      </c>
      <c r="B157" s="43">
        <v>38554</v>
      </c>
      <c r="C157" s="42" t="s">
        <v>26</v>
      </c>
      <c r="D157" s="44">
        <v>25.78</v>
      </c>
      <c r="E157" s="44">
        <v>17.53</v>
      </c>
      <c r="F157">
        <v>2005</v>
      </c>
    </row>
    <row r="158" spans="1:6" ht="15" customHeight="1" x14ac:dyDescent="0.3">
      <c r="A158" s="42" t="s">
        <v>257</v>
      </c>
      <c r="B158" s="43">
        <v>38567</v>
      </c>
      <c r="C158" s="42" t="s">
        <v>26</v>
      </c>
      <c r="D158" s="44">
        <v>23.86</v>
      </c>
      <c r="E158" s="44">
        <v>18.43</v>
      </c>
      <c r="F158">
        <v>2005</v>
      </c>
    </row>
    <row r="159" spans="1:6" ht="15" customHeight="1" x14ac:dyDescent="0.3">
      <c r="A159" s="42" t="s">
        <v>258</v>
      </c>
      <c r="B159" s="43">
        <v>38581</v>
      </c>
      <c r="C159" s="42" t="s">
        <v>26</v>
      </c>
      <c r="D159" s="44">
        <v>23.96</v>
      </c>
      <c r="E159" s="44">
        <v>19.88</v>
      </c>
      <c r="F159">
        <v>2005</v>
      </c>
    </row>
    <row r="160" spans="1:6" ht="15" customHeight="1" x14ac:dyDescent="0.3">
      <c r="A160" s="42" t="s">
        <v>259</v>
      </c>
      <c r="B160" s="43">
        <v>38594</v>
      </c>
      <c r="C160" s="42" t="s">
        <v>26</v>
      </c>
      <c r="D160" s="44">
        <v>23.61</v>
      </c>
      <c r="E160" s="44">
        <v>21.35</v>
      </c>
      <c r="F160">
        <v>2005</v>
      </c>
    </row>
    <row r="161" spans="1:6" ht="15" customHeight="1" x14ac:dyDescent="0.3">
      <c r="A161" s="42" t="s">
        <v>261</v>
      </c>
      <c r="B161" s="43">
        <v>38643</v>
      </c>
      <c r="C161" s="42" t="s">
        <v>26</v>
      </c>
      <c r="D161" s="44">
        <v>18.32</v>
      </c>
      <c r="E161" s="44">
        <v>18.29</v>
      </c>
      <c r="F161">
        <v>2005</v>
      </c>
    </row>
    <row r="162" spans="1:6" ht="15" customHeight="1" x14ac:dyDescent="0.3">
      <c r="A162" s="42" t="s">
        <v>262</v>
      </c>
      <c r="B162" s="43">
        <v>38674</v>
      </c>
      <c r="C162" s="42" t="s">
        <v>26</v>
      </c>
      <c r="D162" s="44">
        <v>12.9</v>
      </c>
      <c r="E162" s="44">
        <v>12.83</v>
      </c>
      <c r="F162">
        <v>2005</v>
      </c>
    </row>
    <row r="163" spans="1:6" ht="15" customHeight="1" x14ac:dyDescent="0.3">
      <c r="A163" s="42" t="s">
        <v>263</v>
      </c>
      <c r="B163" s="43">
        <v>38698</v>
      </c>
      <c r="C163" s="42" t="s">
        <v>26</v>
      </c>
      <c r="D163" s="44">
        <v>6.88</v>
      </c>
      <c r="E163" s="44">
        <v>7.46</v>
      </c>
      <c r="F163">
        <v>2005</v>
      </c>
    </row>
    <row r="164" spans="1:6" ht="15" customHeight="1" x14ac:dyDescent="0.3">
      <c r="A164" s="42" t="s">
        <v>264</v>
      </c>
      <c r="B164" s="43">
        <v>38782</v>
      </c>
      <c r="C164" s="42" t="s">
        <v>26</v>
      </c>
      <c r="D164" s="46">
        <v>2.4900000000000002</v>
      </c>
      <c r="E164" s="46">
        <v>2.1800000000000002</v>
      </c>
      <c r="F164">
        <v>2006</v>
      </c>
    </row>
    <row r="165" spans="1:6" ht="15" customHeight="1" x14ac:dyDescent="0.3">
      <c r="A165" s="42" t="s">
        <v>265</v>
      </c>
      <c r="B165" s="43">
        <v>38840</v>
      </c>
      <c r="C165" s="42" t="s">
        <v>26</v>
      </c>
      <c r="D165" s="44">
        <v>11.48</v>
      </c>
      <c r="E165" s="44">
        <v>10.050000000000001</v>
      </c>
      <c r="F165">
        <v>2006</v>
      </c>
    </row>
    <row r="166" spans="1:6" ht="15" customHeight="1" x14ac:dyDescent="0.3">
      <c r="A166" s="42" t="s">
        <v>266</v>
      </c>
      <c r="B166" s="43">
        <v>38876</v>
      </c>
      <c r="C166" s="42" t="s">
        <v>26</v>
      </c>
      <c r="D166" s="44">
        <v>17.03</v>
      </c>
      <c r="E166" s="44">
        <v>14.8</v>
      </c>
      <c r="F166">
        <v>2006</v>
      </c>
    </row>
    <row r="167" spans="1:6" ht="15" customHeight="1" x14ac:dyDescent="0.3">
      <c r="A167" s="42" t="s">
        <v>267</v>
      </c>
      <c r="B167" s="43">
        <v>38891</v>
      </c>
      <c r="C167" s="42" t="s">
        <v>26</v>
      </c>
      <c r="D167" s="44">
        <v>17.48</v>
      </c>
      <c r="E167" s="44">
        <v>14.71</v>
      </c>
      <c r="F167">
        <v>2006</v>
      </c>
    </row>
    <row r="168" spans="1:6" ht="15" customHeight="1" x14ac:dyDescent="0.3">
      <c r="A168" s="42" t="s">
        <v>268</v>
      </c>
      <c r="B168" s="43">
        <v>38908</v>
      </c>
      <c r="C168" s="42" t="s">
        <v>26</v>
      </c>
      <c r="D168" s="44">
        <v>20.66</v>
      </c>
      <c r="E168" s="44">
        <v>15.66</v>
      </c>
      <c r="F168">
        <v>2006</v>
      </c>
    </row>
    <row r="169" spans="1:6" ht="15" customHeight="1" x14ac:dyDescent="0.3">
      <c r="A169" s="42" t="s">
        <v>269</v>
      </c>
      <c r="B169" s="43">
        <v>38916</v>
      </c>
      <c r="C169" s="42" t="s">
        <v>26</v>
      </c>
      <c r="D169" s="44">
        <v>20.49</v>
      </c>
      <c r="E169" s="44">
        <v>17.05</v>
      </c>
      <c r="F169">
        <v>2006</v>
      </c>
    </row>
    <row r="170" spans="1:6" ht="15" customHeight="1" x14ac:dyDescent="0.3">
      <c r="A170" s="42" t="s">
        <v>270</v>
      </c>
      <c r="B170" s="43">
        <v>38931</v>
      </c>
      <c r="C170" s="42" t="s">
        <v>26</v>
      </c>
      <c r="D170" s="45"/>
      <c r="E170" s="45"/>
      <c r="F170">
        <v>2006</v>
      </c>
    </row>
    <row r="171" spans="1:6" ht="15" customHeight="1" x14ac:dyDescent="0.3">
      <c r="A171" s="42" t="s">
        <v>271</v>
      </c>
      <c r="B171" s="43">
        <v>38946</v>
      </c>
      <c r="C171" s="42" t="s">
        <v>26</v>
      </c>
      <c r="D171" s="44">
        <v>23.66</v>
      </c>
      <c r="E171" s="44">
        <v>20.83</v>
      </c>
      <c r="F171">
        <v>2006</v>
      </c>
    </row>
    <row r="172" spans="1:6" ht="15" customHeight="1" x14ac:dyDescent="0.3">
      <c r="A172" s="42" t="s">
        <v>272</v>
      </c>
      <c r="B172" s="43">
        <v>38960</v>
      </c>
      <c r="C172" s="42" t="s">
        <v>26</v>
      </c>
      <c r="D172" s="44">
        <v>21.67</v>
      </c>
      <c r="E172" s="44">
        <v>21.62</v>
      </c>
      <c r="F172">
        <v>2006</v>
      </c>
    </row>
    <row r="173" spans="1:6" ht="15" customHeight="1" x14ac:dyDescent="0.3">
      <c r="A173" s="42" t="s">
        <v>273</v>
      </c>
      <c r="B173" s="43">
        <v>39006</v>
      </c>
      <c r="C173" s="42" t="s">
        <v>26</v>
      </c>
      <c r="D173" s="45"/>
      <c r="E173" s="45"/>
      <c r="F173">
        <v>2006</v>
      </c>
    </row>
    <row r="174" spans="1:6" ht="15" customHeight="1" x14ac:dyDescent="0.3">
      <c r="A174" s="42" t="s">
        <v>274</v>
      </c>
      <c r="B174" s="43">
        <v>39030</v>
      </c>
      <c r="C174" s="42" t="s">
        <v>26</v>
      </c>
      <c r="D174" s="44">
        <v>13.35</v>
      </c>
      <c r="E174" s="44">
        <v>13.38</v>
      </c>
      <c r="F174">
        <v>2006</v>
      </c>
    </row>
    <row r="175" spans="1:6" ht="15" customHeight="1" x14ac:dyDescent="0.3">
      <c r="A175" s="42" t="s">
        <v>275</v>
      </c>
      <c r="B175" s="43">
        <v>39065</v>
      </c>
      <c r="C175" s="42" t="s">
        <v>26</v>
      </c>
      <c r="D175" s="44">
        <v>8.23</v>
      </c>
      <c r="E175" s="44">
        <v>9.27</v>
      </c>
      <c r="F175">
        <v>2006</v>
      </c>
    </row>
    <row r="176" spans="1:6" ht="15" customHeight="1" x14ac:dyDescent="0.3">
      <c r="A176" s="42" t="s">
        <v>276</v>
      </c>
      <c r="B176" s="43">
        <v>39101</v>
      </c>
      <c r="C176" s="42" t="s">
        <v>26</v>
      </c>
      <c r="D176" s="44">
        <v>5.81</v>
      </c>
      <c r="E176" s="44">
        <v>6.39</v>
      </c>
      <c r="F176">
        <v>2007</v>
      </c>
    </row>
    <row r="177" spans="1:6" ht="15" customHeight="1" x14ac:dyDescent="0.3">
      <c r="A177" s="42" t="s">
        <v>277</v>
      </c>
      <c r="B177" s="43">
        <v>39120</v>
      </c>
      <c r="C177" s="42" t="s">
        <v>26</v>
      </c>
      <c r="D177" s="44">
        <v>2.52</v>
      </c>
      <c r="E177" s="44">
        <v>2.5299999999999998</v>
      </c>
      <c r="F177">
        <v>2007</v>
      </c>
    </row>
    <row r="178" spans="1:6" ht="15" customHeight="1" x14ac:dyDescent="0.3">
      <c r="A178" s="42" t="s">
        <v>278</v>
      </c>
      <c r="B178" s="43">
        <v>39153</v>
      </c>
      <c r="C178" s="42" t="s">
        <v>26</v>
      </c>
      <c r="D178" s="44">
        <v>1.53</v>
      </c>
      <c r="E178" s="44">
        <v>1.02</v>
      </c>
      <c r="F178">
        <v>2007</v>
      </c>
    </row>
    <row r="179" spans="1:6" ht="15" customHeight="1" x14ac:dyDescent="0.3">
      <c r="A179" s="42" t="s">
        <v>280</v>
      </c>
      <c r="B179" s="43">
        <v>39175</v>
      </c>
      <c r="C179" s="42" t="s">
        <v>26</v>
      </c>
      <c r="D179" s="44">
        <v>5.38</v>
      </c>
      <c r="E179" s="44">
        <v>2.78</v>
      </c>
      <c r="F179">
        <v>2007</v>
      </c>
    </row>
    <row r="180" spans="1:6" ht="15" customHeight="1" x14ac:dyDescent="0.3">
      <c r="A180" s="42" t="s">
        <v>281</v>
      </c>
      <c r="B180" s="43">
        <v>39210</v>
      </c>
      <c r="C180" s="42" t="s">
        <v>26</v>
      </c>
      <c r="D180" s="44">
        <v>10.9</v>
      </c>
      <c r="E180" s="44">
        <v>6.47</v>
      </c>
      <c r="F180">
        <v>2007</v>
      </c>
    </row>
    <row r="181" spans="1:6" ht="15" customHeight="1" x14ac:dyDescent="0.3">
      <c r="A181" s="42" t="s">
        <v>282</v>
      </c>
      <c r="B181" s="43">
        <v>39239</v>
      </c>
      <c r="C181" s="42" t="s">
        <v>26</v>
      </c>
      <c r="D181" s="44">
        <v>15.88</v>
      </c>
      <c r="E181" s="44">
        <v>11.31</v>
      </c>
      <c r="F181">
        <v>2007</v>
      </c>
    </row>
    <row r="182" spans="1:6" ht="15" customHeight="1" x14ac:dyDescent="0.3">
      <c r="A182" s="42" t="s">
        <v>283</v>
      </c>
      <c r="B182" s="43">
        <v>39254</v>
      </c>
      <c r="C182" s="42" t="s">
        <v>26</v>
      </c>
      <c r="D182" s="44">
        <v>18.22</v>
      </c>
      <c r="E182" s="44">
        <v>13.36</v>
      </c>
      <c r="F182">
        <v>2007</v>
      </c>
    </row>
    <row r="183" spans="1:6" ht="15" customHeight="1" x14ac:dyDescent="0.3">
      <c r="A183" s="42" t="s">
        <v>284</v>
      </c>
      <c r="B183" s="43">
        <v>39273</v>
      </c>
      <c r="C183" s="42" t="s">
        <v>26</v>
      </c>
      <c r="D183" s="44">
        <v>20.91</v>
      </c>
      <c r="E183" s="44">
        <v>15.19</v>
      </c>
      <c r="F183">
        <v>2007</v>
      </c>
    </row>
    <row r="184" spans="1:6" ht="15" customHeight="1" x14ac:dyDescent="0.3">
      <c r="A184" s="42" t="s">
        <v>285</v>
      </c>
      <c r="B184" s="43">
        <v>39287</v>
      </c>
      <c r="C184" s="42" t="s">
        <v>26</v>
      </c>
      <c r="D184" s="44">
        <v>20.69</v>
      </c>
      <c r="E184" s="44">
        <v>19.22</v>
      </c>
      <c r="F184">
        <v>2007</v>
      </c>
    </row>
    <row r="185" spans="1:6" ht="15" customHeight="1" x14ac:dyDescent="0.3">
      <c r="A185" s="42" t="s">
        <v>286</v>
      </c>
      <c r="B185" s="43">
        <v>39295</v>
      </c>
      <c r="C185" s="42" t="s">
        <v>26</v>
      </c>
      <c r="D185" s="44">
        <v>23.9</v>
      </c>
      <c r="E185" s="44">
        <v>19</v>
      </c>
      <c r="F185">
        <v>2007</v>
      </c>
    </row>
    <row r="186" spans="1:6" ht="15" customHeight="1" x14ac:dyDescent="0.3">
      <c r="A186" s="42" t="s">
        <v>287</v>
      </c>
      <c r="B186" s="43">
        <v>39308</v>
      </c>
      <c r="C186" s="42" t="s">
        <v>26</v>
      </c>
      <c r="D186" s="44">
        <v>22.15</v>
      </c>
      <c r="E186" s="44">
        <v>21.15</v>
      </c>
      <c r="F186">
        <v>2007</v>
      </c>
    </row>
    <row r="187" spans="1:6" ht="15" customHeight="1" x14ac:dyDescent="0.3">
      <c r="A187" s="42" t="s">
        <v>288</v>
      </c>
      <c r="B187" s="43">
        <v>39323</v>
      </c>
      <c r="C187" s="42" t="s">
        <v>26</v>
      </c>
      <c r="D187" s="44">
        <v>22.7</v>
      </c>
      <c r="E187" s="44">
        <v>20.99</v>
      </c>
      <c r="F187">
        <v>2007</v>
      </c>
    </row>
    <row r="188" spans="1:6" ht="15" customHeight="1" x14ac:dyDescent="0.3">
      <c r="A188" s="42" t="s">
        <v>289</v>
      </c>
      <c r="B188" s="43">
        <v>39335</v>
      </c>
      <c r="C188" s="42" t="s">
        <v>26</v>
      </c>
      <c r="D188" s="44">
        <v>22.79</v>
      </c>
      <c r="E188" s="44">
        <v>21.8</v>
      </c>
      <c r="F188">
        <v>2007</v>
      </c>
    </row>
    <row r="189" spans="1:6" ht="15" customHeight="1" x14ac:dyDescent="0.3">
      <c r="A189" s="42" t="s">
        <v>290</v>
      </c>
      <c r="B189" s="43">
        <v>39358</v>
      </c>
      <c r="C189" s="42" t="s">
        <v>26</v>
      </c>
      <c r="D189" s="44">
        <v>21.26</v>
      </c>
      <c r="E189" s="44">
        <v>21.1</v>
      </c>
      <c r="F189">
        <v>2007</v>
      </c>
    </row>
    <row r="190" spans="1:6" ht="15" customHeight="1" x14ac:dyDescent="0.3">
      <c r="A190" s="42" t="s">
        <v>291</v>
      </c>
      <c r="B190" s="43">
        <v>39400</v>
      </c>
      <c r="C190" s="42" t="s">
        <v>26</v>
      </c>
      <c r="D190" s="44">
        <v>14.27</v>
      </c>
      <c r="E190" s="44">
        <v>14.16</v>
      </c>
      <c r="F190">
        <v>2007</v>
      </c>
    </row>
    <row r="191" spans="1:6" ht="15" customHeight="1" x14ac:dyDescent="0.3">
      <c r="A191" s="42" t="s">
        <v>292</v>
      </c>
      <c r="B191" s="43">
        <v>39422</v>
      </c>
      <c r="C191" s="42" t="s">
        <v>26</v>
      </c>
      <c r="D191" s="44">
        <v>9.15</v>
      </c>
      <c r="E191" s="44">
        <v>9.16</v>
      </c>
      <c r="F191">
        <v>2007</v>
      </c>
    </row>
    <row r="192" spans="1:6" ht="15" customHeight="1" x14ac:dyDescent="0.3">
      <c r="A192" s="42" t="s">
        <v>293</v>
      </c>
      <c r="B192" s="43">
        <v>39457</v>
      </c>
      <c r="C192" s="42" t="s">
        <v>26</v>
      </c>
      <c r="D192" s="44">
        <v>4.55</v>
      </c>
      <c r="E192" s="44">
        <v>4.6100000000000003</v>
      </c>
      <c r="F192">
        <v>2008</v>
      </c>
    </row>
    <row r="193" spans="1:6" ht="15" customHeight="1" x14ac:dyDescent="0.3">
      <c r="A193" s="42" t="s">
        <v>294</v>
      </c>
      <c r="B193" s="43">
        <v>39484</v>
      </c>
      <c r="C193" s="42" t="s">
        <v>26</v>
      </c>
      <c r="D193" s="44">
        <v>3.19</v>
      </c>
      <c r="E193" s="44">
        <v>3.01</v>
      </c>
      <c r="F193">
        <v>2008</v>
      </c>
    </row>
    <row r="194" spans="1:6" ht="15" customHeight="1" x14ac:dyDescent="0.3">
      <c r="A194" s="42" t="s">
        <v>296</v>
      </c>
      <c r="B194" s="43">
        <v>39510</v>
      </c>
      <c r="C194" s="42" t="s">
        <v>26</v>
      </c>
      <c r="D194" s="44">
        <v>2.74</v>
      </c>
      <c r="E194" s="44">
        <v>2.4700000000000002</v>
      </c>
      <c r="F194">
        <v>2008</v>
      </c>
    </row>
    <row r="195" spans="1:6" ht="15" customHeight="1" x14ac:dyDescent="0.3">
      <c r="A195" s="42" t="s">
        <v>298</v>
      </c>
      <c r="B195" s="43">
        <v>39546</v>
      </c>
      <c r="C195" s="42" t="s">
        <v>26</v>
      </c>
      <c r="D195" s="44">
        <v>5.9</v>
      </c>
      <c r="E195" s="44">
        <v>5.79</v>
      </c>
      <c r="F195">
        <v>2008</v>
      </c>
    </row>
    <row r="196" spans="1:6" ht="15" customHeight="1" x14ac:dyDescent="0.3">
      <c r="A196" s="42" t="s">
        <v>299</v>
      </c>
      <c r="B196" s="43">
        <v>39575</v>
      </c>
      <c r="C196" s="42" t="s">
        <v>26</v>
      </c>
      <c r="D196" s="44">
        <v>11.85</v>
      </c>
      <c r="E196" s="44">
        <v>11.17</v>
      </c>
      <c r="F196">
        <v>2008</v>
      </c>
    </row>
    <row r="197" spans="1:6" ht="15" customHeight="1" x14ac:dyDescent="0.3">
      <c r="A197" s="42" t="s">
        <v>300</v>
      </c>
      <c r="B197" s="43">
        <v>39602</v>
      </c>
      <c r="C197" s="42" t="s">
        <v>26</v>
      </c>
      <c r="D197" s="44">
        <v>16.47</v>
      </c>
      <c r="E197" s="44">
        <v>11.51</v>
      </c>
      <c r="F197">
        <v>2008</v>
      </c>
    </row>
    <row r="198" spans="1:6" ht="15" customHeight="1" x14ac:dyDescent="0.3">
      <c r="A198" s="42" t="s">
        <v>301</v>
      </c>
      <c r="B198" s="43">
        <v>39616</v>
      </c>
      <c r="C198" s="42" t="s">
        <v>26</v>
      </c>
      <c r="D198" s="44">
        <v>19.309999999999999</v>
      </c>
      <c r="E198" s="44">
        <v>13.91</v>
      </c>
      <c r="F198">
        <v>2008</v>
      </c>
    </row>
    <row r="199" spans="1:6" ht="15" customHeight="1" x14ac:dyDescent="0.3">
      <c r="A199" s="42" t="s">
        <v>302</v>
      </c>
      <c r="B199" s="43">
        <v>39632</v>
      </c>
      <c r="C199" s="42" t="s">
        <v>26</v>
      </c>
      <c r="D199" s="44">
        <v>20.89</v>
      </c>
      <c r="E199" s="44">
        <v>14.64</v>
      </c>
      <c r="F199">
        <v>2008</v>
      </c>
    </row>
    <row r="200" spans="1:6" ht="15" customHeight="1" x14ac:dyDescent="0.3">
      <c r="A200" s="42" t="s">
        <v>303</v>
      </c>
      <c r="B200" s="43">
        <v>39651</v>
      </c>
      <c r="C200" s="42" t="s">
        <v>26</v>
      </c>
      <c r="D200" s="44">
        <v>21.94</v>
      </c>
      <c r="E200" s="44">
        <v>17.13</v>
      </c>
      <c r="F200">
        <v>2008</v>
      </c>
    </row>
    <row r="201" spans="1:6" ht="15" customHeight="1" x14ac:dyDescent="0.3">
      <c r="A201" s="42" t="s">
        <v>304</v>
      </c>
      <c r="B201" s="43">
        <v>39665</v>
      </c>
      <c r="C201" s="42" t="s">
        <v>26</v>
      </c>
      <c r="D201" s="44">
        <v>22.39</v>
      </c>
      <c r="E201" s="44">
        <v>19.55</v>
      </c>
      <c r="F201">
        <v>2008</v>
      </c>
    </row>
    <row r="202" spans="1:6" ht="15" customHeight="1" x14ac:dyDescent="0.3">
      <c r="A202" s="42" t="s">
        <v>305</v>
      </c>
      <c r="B202" s="43">
        <v>39680</v>
      </c>
      <c r="C202" s="42" t="s">
        <v>26</v>
      </c>
      <c r="D202" s="44">
        <v>22.09</v>
      </c>
      <c r="E202" s="44">
        <v>20.75</v>
      </c>
      <c r="F202">
        <v>2008</v>
      </c>
    </row>
    <row r="203" spans="1:6" ht="15" customHeight="1" x14ac:dyDescent="0.3">
      <c r="A203" s="42" t="s">
        <v>306</v>
      </c>
      <c r="B203" s="43">
        <v>39694</v>
      </c>
      <c r="C203" s="42" t="s">
        <v>26</v>
      </c>
      <c r="D203" s="44">
        <v>22.5</v>
      </c>
      <c r="E203" s="44">
        <v>21.84</v>
      </c>
      <c r="F203">
        <v>2008</v>
      </c>
    </row>
    <row r="204" spans="1:6" ht="15" customHeight="1" x14ac:dyDescent="0.3">
      <c r="A204" s="42" t="s">
        <v>307</v>
      </c>
      <c r="B204" s="43">
        <v>39707</v>
      </c>
      <c r="C204" s="42" t="s">
        <v>26</v>
      </c>
      <c r="D204" s="44">
        <v>22.24</v>
      </c>
      <c r="E204" s="44">
        <v>21.83</v>
      </c>
      <c r="F204">
        <v>2008</v>
      </c>
    </row>
    <row r="205" spans="1:6" ht="15" customHeight="1" x14ac:dyDescent="0.3">
      <c r="A205" s="42" t="s">
        <v>308</v>
      </c>
      <c r="B205" s="43">
        <v>39728</v>
      </c>
      <c r="C205" s="42" t="s">
        <v>26</v>
      </c>
      <c r="D205" s="44">
        <v>18.82</v>
      </c>
      <c r="E205" s="44">
        <v>18.75</v>
      </c>
      <c r="F205">
        <v>2008</v>
      </c>
    </row>
    <row r="206" spans="1:6" ht="15" customHeight="1" x14ac:dyDescent="0.3">
      <c r="A206" s="42" t="s">
        <v>309</v>
      </c>
      <c r="B206" s="43">
        <v>39759</v>
      </c>
      <c r="C206" s="42" t="s">
        <v>26</v>
      </c>
      <c r="D206" s="44">
        <v>13.87</v>
      </c>
      <c r="E206" s="44">
        <v>13.72</v>
      </c>
      <c r="F206">
        <v>2008</v>
      </c>
    </row>
    <row r="207" spans="1:6" ht="15" customHeight="1" x14ac:dyDescent="0.3">
      <c r="A207" s="42" t="s">
        <v>310</v>
      </c>
      <c r="B207" s="43">
        <v>39799</v>
      </c>
      <c r="C207" s="42" t="s">
        <v>26</v>
      </c>
      <c r="D207" s="44">
        <v>6.59</v>
      </c>
      <c r="E207" s="44">
        <v>6.96</v>
      </c>
      <c r="F207">
        <v>2008</v>
      </c>
    </row>
    <row r="208" spans="1:6" ht="15" customHeight="1" x14ac:dyDescent="0.3">
      <c r="A208" s="42" t="s">
        <v>311</v>
      </c>
      <c r="B208" s="43">
        <v>39825</v>
      </c>
      <c r="C208" s="42" t="s">
        <v>26</v>
      </c>
      <c r="D208" s="44">
        <v>2.87</v>
      </c>
      <c r="E208" s="44">
        <v>2.81</v>
      </c>
      <c r="F208">
        <v>2009</v>
      </c>
    </row>
    <row r="209" spans="1:6" ht="15" customHeight="1" x14ac:dyDescent="0.3">
      <c r="A209" s="42" t="s">
        <v>312</v>
      </c>
      <c r="B209" s="43">
        <v>39848</v>
      </c>
      <c r="C209" s="42" t="s">
        <v>26</v>
      </c>
      <c r="D209" s="44">
        <v>0.73</v>
      </c>
      <c r="E209" s="44">
        <v>0.7</v>
      </c>
      <c r="F209">
        <v>2009</v>
      </c>
    </row>
    <row r="210" spans="1:6" ht="15" customHeight="1" x14ac:dyDescent="0.3">
      <c r="A210" s="42" t="s">
        <v>314</v>
      </c>
      <c r="B210" s="43">
        <v>39877</v>
      </c>
      <c r="C210" s="42" t="s">
        <v>26</v>
      </c>
      <c r="D210" s="44">
        <v>1.58</v>
      </c>
      <c r="E210" s="44">
        <v>1.25</v>
      </c>
      <c r="F210">
        <v>2009</v>
      </c>
    </row>
    <row r="211" spans="1:6" ht="15" customHeight="1" x14ac:dyDescent="0.3">
      <c r="A211" s="42" t="s">
        <v>316</v>
      </c>
      <c r="B211" s="43">
        <v>39904</v>
      </c>
      <c r="C211" s="42" t="s">
        <v>26</v>
      </c>
      <c r="D211" s="44">
        <v>5.41</v>
      </c>
      <c r="E211" s="46">
        <v>4.1100000000000003</v>
      </c>
      <c r="F211">
        <v>2009</v>
      </c>
    </row>
    <row r="212" spans="1:6" ht="15" customHeight="1" x14ac:dyDescent="0.3">
      <c r="A212" s="42" t="s">
        <v>317</v>
      </c>
      <c r="B212" s="43">
        <v>39937</v>
      </c>
      <c r="C212" s="42" t="s">
        <v>26</v>
      </c>
      <c r="D212" s="44">
        <v>11.7</v>
      </c>
      <c r="E212" s="44">
        <v>8.67</v>
      </c>
      <c r="F212">
        <v>2009</v>
      </c>
    </row>
    <row r="213" spans="1:6" ht="15" customHeight="1" x14ac:dyDescent="0.3">
      <c r="A213" s="42" t="s">
        <v>318</v>
      </c>
      <c r="B213" s="43">
        <v>39973</v>
      </c>
      <c r="C213" s="42" t="s">
        <v>26</v>
      </c>
      <c r="D213" s="44">
        <v>16.87</v>
      </c>
      <c r="E213" s="44">
        <v>13.01</v>
      </c>
      <c r="F213">
        <v>2009</v>
      </c>
    </row>
    <row r="214" spans="1:6" ht="15" customHeight="1" x14ac:dyDescent="0.3">
      <c r="A214" s="42" t="s">
        <v>319</v>
      </c>
      <c r="B214" s="43">
        <v>39987</v>
      </c>
      <c r="C214" s="42" t="s">
        <v>26</v>
      </c>
      <c r="D214" s="44">
        <v>18.079999999999998</v>
      </c>
      <c r="E214" s="44">
        <v>15.51</v>
      </c>
      <c r="F214">
        <v>2009</v>
      </c>
    </row>
    <row r="215" spans="1:6" ht="15" customHeight="1" x14ac:dyDescent="0.3">
      <c r="A215" s="42" t="s">
        <v>320</v>
      </c>
      <c r="B215" s="43">
        <v>40002</v>
      </c>
      <c r="C215" s="42" t="s">
        <v>26</v>
      </c>
      <c r="D215" s="44">
        <v>21.37</v>
      </c>
      <c r="E215" s="44">
        <v>15.28</v>
      </c>
      <c r="F215">
        <v>2009</v>
      </c>
    </row>
    <row r="216" spans="1:6" ht="15" customHeight="1" x14ac:dyDescent="0.3">
      <c r="A216" s="42" t="s">
        <v>321</v>
      </c>
      <c r="B216" s="43">
        <v>40016</v>
      </c>
      <c r="C216" s="42" t="s">
        <v>26</v>
      </c>
      <c r="D216" s="44">
        <v>22.34</v>
      </c>
      <c r="E216" s="44">
        <v>17.5</v>
      </c>
      <c r="F216">
        <v>2009</v>
      </c>
    </row>
    <row r="217" spans="1:6" ht="15" customHeight="1" x14ac:dyDescent="0.3">
      <c r="A217" s="42" t="s">
        <v>322</v>
      </c>
      <c r="B217" s="43">
        <v>40030</v>
      </c>
      <c r="C217" s="42" t="s">
        <v>26</v>
      </c>
      <c r="D217" s="44">
        <v>23.42</v>
      </c>
      <c r="E217" s="44">
        <v>18.27</v>
      </c>
      <c r="F217">
        <v>2009</v>
      </c>
    </row>
    <row r="218" spans="1:6" ht="15" customHeight="1" x14ac:dyDescent="0.3">
      <c r="A218" s="42" t="s">
        <v>323</v>
      </c>
      <c r="B218" s="43">
        <v>40043</v>
      </c>
      <c r="C218" s="42" t="s">
        <v>26</v>
      </c>
      <c r="D218" s="44">
        <v>24.11</v>
      </c>
      <c r="E218" s="44">
        <v>20.13</v>
      </c>
      <c r="F218">
        <v>2009</v>
      </c>
    </row>
    <row r="219" spans="1:6" ht="15" customHeight="1" x14ac:dyDescent="0.3">
      <c r="A219" s="42" t="s">
        <v>324</v>
      </c>
      <c r="B219" s="43">
        <v>40058</v>
      </c>
      <c r="C219" s="42" t="s">
        <v>26</v>
      </c>
      <c r="D219" s="44">
        <v>21.93</v>
      </c>
      <c r="E219" s="44">
        <v>21.69</v>
      </c>
      <c r="F219">
        <v>2009</v>
      </c>
    </row>
    <row r="220" spans="1:6" ht="15" customHeight="1" x14ac:dyDescent="0.3">
      <c r="A220" s="42" t="s">
        <v>325</v>
      </c>
      <c r="B220" s="43">
        <v>40092</v>
      </c>
      <c r="C220" s="42" t="s">
        <v>26</v>
      </c>
      <c r="D220" s="44">
        <v>19.260000000000002</v>
      </c>
      <c r="E220" s="44">
        <v>19.02</v>
      </c>
      <c r="F220">
        <v>2009</v>
      </c>
    </row>
    <row r="221" spans="1:6" ht="15" customHeight="1" x14ac:dyDescent="0.3">
      <c r="A221" s="42" t="s">
        <v>326</v>
      </c>
      <c r="B221" s="43">
        <v>40121</v>
      </c>
      <c r="C221" s="42" t="s">
        <v>26</v>
      </c>
      <c r="D221" s="44">
        <v>14.12</v>
      </c>
      <c r="E221" s="44">
        <v>13.89</v>
      </c>
      <c r="F221">
        <v>2009</v>
      </c>
    </row>
    <row r="222" spans="1:6" ht="15" customHeight="1" x14ac:dyDescent="0.3">
      <c r="A222" s="42" t="s">
        <v>327</v>
      </c>
      <c r="B222" s="43">
        <v>40149</v>
      </c>
      <c r="C222" s="42" t="s">
        <v>26</v>
      </c>
      <c r="D222" s="44">
        <v>10.36</v>
      </c>
      <c r="E222" s="44">
        <v>10.89</v>
      </c>
      <c r="F222">
        <v>2009</v>
      </c>
    </row>
    <row r="223" spans="1:6" ht="15" customHeight="1" x14ac:dyDescent="0.3">
      <c r="A223" s="42" t="s">
        <v>328</v>
      </c>
      <c r="B223" s="43">
        <v>40190</v>
      </c>
      <c r="C223" s="42" t="s">
        <v>26</v>
      </c>
      <c r="D223" s="44">
        <v>2.5499999999999998</v>
      </c>
      <c r="E223" s="44">
        <v>2.5499999999999998</v>
      </c>
      <c r="F223">
        <v>2010</v>
      </c>
    </row>
    <row r="224" spans="1:6" ht="15" customHeight="1" x14ac:dyDescent="0.3">
      <c r="A224" s="42" t="s">
        <v>329</v>
      </c>
      <c r="B224" s="43">
        <v>40217</v>
      </c>
      <c r="C224" s="42" t="s">
        <v>26</v>
      </c>
      <c r="D224" s="44">
        <v>1.1200000000000001</v>
      </c>
      <c r="E224" s="44">
        <v>1.18</v>
      </c>
      <c r="F224">
        <v>2010</v>
      </c>
    </row>
    <row r="225" spans="1:6" ht="15" customHeight="1" x14ac:dyDescent="0.3">
      <c r="A225" s="42" t="s">
        <v>330</v>
      </c>
      <c r="B225" s="43">
        <v>40239</v>
      </c>
      <c r="C225" s="42" t="s">
        <v>26</v>
      </c>
      <c r="D225" s="44">
        <v>2.37</v>
      </c>
      <c r="E225" s="44">
        <v>1.87</v>
      </c>
      <c r="F225">
        <v>2010</v>
      </c>
    </row>
    <row r="226" spans="1:6" ht="15" customHeight="1" x14ac:dyDescent="0.3">
      <c r="A226" s="42" t="s">
        <v>332</v>
      </c>
      <c r="B226" s="43">
        <v>40268</v>
      </c>
      <c r="C226" s="42" t="s">
        <v>26</v>
      </c>
      <c r="D226" s="44">
        <v>5.73</v>
      </c>
      <c r="E226" s="44">
        <v>5.8</v>
      </c>
      <c r="F226">
        <v>2010</v>
      </c>
    </row>
    <row r="227" spans="1:6" ht="15" customHeight="1" x14ac:dyDescent="0.3">
      <c r="A227" s="42" t="s">
        <v>333</v>
      </c>
      <c r="B227" s="43">
        <v>40302</v>
      </c>
      <c r="C227" s="42" t="s">
        <v>26</v>
      </c>
      <c r="D227" s="44">
        <v>12.15</v>
      </c>
      <c r="E227" s="44">
        <v>8.4700000000000006</v>
      </c>
      <c r="F227">
        <v>2010</v>
      </c>
    </row>
    <row r="228" spans="1:6" ht="15" customHeight="1" x14ac:dyDescent="0.3">
      <c r="A228" s="42" t="s">
        <v>334</v>
      </c>
      <c r="B228" s="43">
        <v>40325</v>
      </c>
      <c r="C228" s="42" t="s">
        <v>26</v>
      </c>
      <c r="D228" s="44">
        <v>16.21</v>
      </c>
      <c r="E228" s="44">
        <v>12.16</v>
      </c>
      <c r="F228">
        <v>2010</v>
      </c>
    </row>
    <row r="229" spans="1:6" ht="15" customHeight="1" x14ac:dyDescent="0.3">
      <c r="A229" s="42" t="s">
        <v>335</v>
      </c>
      <c r="B229" s="43">
        <v>40347</v>
      </c>
      <c r="C229" s="42" t="s">
        <v>26</v>
      </c>
      <c r="D229" s="46">
        <v>16.88</v>
      </c>
      <c r="E229" s="46">
        <v>14.04</v>
      </c>
      <c r="F229">
        <v>2010</v>
      </c>
    </row>
    <row r="230" spans="1:6" ht="15" customHeight="1" x14ac:dyDescent="0.3">
      <c r="A230" s="42" t="s">
        <v>336</v>
      </c>
      <c r="B230" s="43">
        <v>40367</v>
      </c>
      <c r="C230" s="42" t="s">
        <v>26</v>
      </c>
      <c r="D230" s="44">
        <v>21.78</v>
      </c>
      <c r="E230" s="44">
        <v>16.45</v>
      </c>
      <c r="F230">
        <v>2010</v>
      </c>
    </row>
    <row r="231" spans="1:6" ht="15" customHeight="1" x14ac:dyDescent="0.3">
      <c r="A231" s="42" t="s">
        <v>337</v>
      </c>
      <c r="B231" s="43">
        <v>40382</v>
      </c>
      <c r="C231" s="42" t="s">
        <v>26</v>
      </c>
      <c r="D231" s="44">
        <v>22.97</v>
      </c>
      <c r="E231" s="44">
        <v>18.649999999999999</v>
      </c>
      <c r="F231">
        <v>2010</v>
      </c>
    </row>
    <row r="232" spans="1:6" ht="15" customHeight="1" x14ac:dyDescent="0.3">
      <c r="A232" s="42" t="s">
        <v>338</v>
      </c>
      <c r="B232" s="43">
        <v>40393</v>
      </c>
      <c r="C232" s="42" t="s">
        <v>26</v>
      </c>
      <c r="D232" s="44">
        <v>23.46</v>
      </c>
      <c r="E232" s="44">
        <v>19.96</v>
      </c>
      <c r="F232">
        <v>2010</v>
      </c>
    </row>
    <row r="233" spans="1:6" ht="15" customHeight="1" x14ac:dyDescent="0.3">
      <c r="A233" s="42" t="s">
        <v>339</v>
      </c>
      <c r="B233" s="43">
        <v>40407</v>
      </c>
      <c r="C233" s="42" t="s">
        <v>26</v>
      </c>
      <c r="D233" s="44">
        <v>23.42</v>
      </c>
      <c r="E233" s="44">
        <v>22.37</v>
      </c>
      <c r="F233">
        <v>2010</v>
      </c>
    </row>
    <row r="234" spans="1:6" ht="15" customHeight="1" x14ac:dyDescent="0.3">
      <c r="A234" s="42" t="s">
        <v>340</v>
      </c>
      <c r="B234" s="43">
        <v>40421</v>
      </c>
      <c r="C234" s="42" t="s">
        <v>26</v>
      </c>
      <c r="D234" s="44">
        <v>23.7</v>
      </c>
      <c r="E234" s="44">
        <v>22.53</v>
      </c>
      <c r="F234">
        <v>2010</v>
      </c>
    </row>
    <row r="235" spans="1:6" ht="15" customHeight="1" x14ac:dyDescent="0.3">
      <c r="A235" s="42" t="s">
        <v>341</v>
      </c>
      <c r="B235" s="43">
        <v>40463</v>
      </c>
      <c r="C235" s="42" t="s">
        <v>26</v>
      </c>
      <c r="D235" s="44">
        <v>18.57</v>
      </c>
      <c r="E235" s="44">
        <v>18.87</v>
      </c>
      <c r="F235">
        <v>2010</v>
      </c>
    </row>
    <row r="236" spans="1:6" ht="15" customHeight="1" x14ac:dyDescent="0.3">
      <c r="A236" s="42" t="s">
        <v>342</v>
      </c>
      <c r="B236" s="43">
        <v>40483</v>
      </c>
      <c r="C236" s="42" t="s">
        <v>26</v>
      </c>
      <c r="D236" s="44">
        <v>15.32</v>
      </c>
      <c r="E236" s="44">
        <v>15.48</v>
      </c>
      <c r="F236">
        <v>2010</v>
      </c>
    </row>
    <row r="237" spans="1:6" ht="15" customHeight="1" x14ac:dyDescent="0.3">
      <c r="A237" s="42" t="s">
        <v>343</v>
      </c>
      <c r="B237" s="43">
        <v>40514</v>
      </c>
      <c r="C237" s="42" t="s">
        <v>26</v>
      </c>
      <c r="D237" s="44">
        <v>10.31</v>
      </c>
      <c r="E237" s="44">
        <v>10.32</v>
      </c>
      <c r="F237">
        <v>2010</v>
      </c>
    </row>
    <row r="238" spans="1:6" ht="15" customHeight="1" x14ac:dyDescent="0.3">
      <c r="A238" s="42" t="s">
        <v>344</v>
      </c>
      <c r="B238" s="43">
        <v>40557</v>
      </c>
      <c r="C238" s="42" t="s">
        <v>26</v>
      </c>
      <c r="D238" s="44">
        <v>2.08</v>
      </c>
      <c r="E238" s="44">
        <v>2.06</v>
      </c>
      <c r="F238">
        <v>2011</v>
      </c>
    </row>
    <row r="239" spans="1:6" ht="15" customHeight="1" x14ac:dyDescent="0.3">
      <c r="A239" s="42" t="s">
        <v>345</v>
      </c>
      <c r="B239" s="43">
        <v>40584</v>
      </c>
      <c r="C239" s="42" t="s">
        <v>26</v>
      </c>
      <c r="D239" s="44">
        <v>0.51</v>
      </c>
      <c r="E239" s="44">
        <v>0.43</v>
      </c>
      <c r="F239">
        <v>2011</v>
      </c>
    </row>
    <row r="240" spans="1:6" ht="15" customHeight="1" x14ac:dyDescent="0.3">
      <c r="A240" s="42" t="s">
        <v>347</v>
      </c>
      <c r="B240" s="43">
        <v>40610</v>
      </c>
      <c r="C240" s="42" t="s">
        <v>26</v>
      </c>
      <c r="D240" s="44">
        <v>2.79</v>
      </c>
      <c r="E240" s="44">
        <v>2.35</v>
      </c>
      <c r="F240">
        <v>2011</v>
      </c>
    </row>
    <row r="241" spans="1:6" ht="15" customHeight="1" x14ac:dyDescent="0.3">
      <c r="A241" s="42" t="s">
        <v>348</v>
      </c>
      <c r="B241" s="43">
        <v>40647</v>
      </c>
      <c r="C241" s="42" t="s">
        <v>26</v>
      </c>
      <c r="D241" s="44">
        <v>6.86</v>
      </c>
      <c r="E241" s="44">
        <v>5.55</v>
      </c>
      <c r="F241">
        <v>2011</v>
      </c>
    </row>
    <row r="242" spans="1:6" ht="15" customHeight="1" x14ac:dyDescent="0.3">
      <c r="A242" s="42" t="s">
        <v>349</v>
      </c>
      <c r="B242" s="43">
        <v>40666</v>
      </c>
      <c r="C242" s="42" t="s">
        <v>26</v>
      </c>
      <c r="D242" s="44">
        <v>11.47</v>
      </c>
      <c r="E242" s="44">
        <v>7.34</v>
      </c>
      <c r="F242">
        <v>2011</v>
      </c>
    </row>
    <row r="243" spans="1:6" ht="15" customHeight="1" x14ac:dyDescent="0.3">
      <c r="A243" s="42" t="s">
        <v>350</v>
      </c>
      <c r="B243" s="43">
        <v>40695</v>
      </c>
      <c r="C243" s="42" t="s">
        <v>26</v>
      </c>
      <c r="D243" s="44">
        <v>21.05</v>
      </c>
      <c r="E243" s="44">
        <v>11.45</v>
      </c>
      <c r="F243">
        <v>2011</v>
      </c>
    </row>
    <row r="244" spans="1:6" ht="15" customHeight="1" x14ac:dyDescent="0.3">
      <c r="A244" s="42" t="s">
        <v>351</v>
      </c>
      <c r="B244" s="43">
        <v>40710</v>
      </c>
      <c r="C244" s="42" t="s">
        <v>26</v>
      </c>
      <c r="D244" s="44">
        <v>16.989999999999998</v>
      </c>
      <c r="E244" s="44">
        <v>16.07</v>
      </c>
      <c r="F244">
        <v>2011</v>
      </c>
    </row>
    <row r="245" spans="1:6" ht="15" customHeight="1" x14ac:dyDescent="0.3">
      <c r="A245" s="42" t="s">
        <v>352</v>
      </c>
      <c r="B245" s="43">
        <v>40730</v>
      </c>
      <c r="C245" s="42" t="s">
        <v>26</v>
      </c>
      <c r="D245" s="44">
        <v>22.83</v>
      </c>
      <c r="E245" s="44">
        <v>15.51</v>
      </c>
      <c r="F245">
        <v>2011</v>
      </c>
    </row>
    <row r="246" spans="1:6" ht="15" customHeight="1" x14ac:dyDescent="0.3">
      <c r="A246" s="42" t="s">
        <v>353</v>
      </c>
      <c r="B246" s="43">
        <v>40742</v>
      </c>
      <c r="C246" s="42" t="s">
        <v>26</v>
      </c>
      <c r="D246" s="44">
        <v>21.45</v>
      </c>
      <c r="E246" s="44">
        <v>17.84</v>
      </c>
      <c r="F246">
        <v>2011</v>
      </c>
    </row>
    <row r="247" spans="1:6" ht="15" customHeight="1" x14ac:dyDescent="0.3">
      <c r="A247" s="42" t="s">
        <v>354</v>
      </c>
      <c r="B247" s="43">
        <v>40758</v>
      </c>
      <c r="C247" s="42" t="s">
        <v>26</v>
      </c>
      <c r="D247" s="44">
        <v>24.14</v>
      </c>
      <c r="E247" s="44">
        <v>19.23</v>
      </c>
      <c r="F247">
        <v>2011</v>
      </c>
    </row>
    <row r="248" spans="1:6" ht="15" customHeight="1" x14ac:dyDescent="0.3">
      <c r="A248" s="42" t="s">
        <v>355</v>
      </c>
      <c r="B248" s="43">
        <v>40770</v>
      </c>
      <c r="C248" s="42" t="s">
        <v>26</v>
      </c>
      <c r="D248" s="44">
        <v>22.66</v>
      </c>
      <c r="E248" s="44">
        <v>20.88</v>
      </c>
      <c r="F248">
        <v>2011</v>
      </c>
    </row>
    <row r="249" spans="1:6" ht="15" customHeight="1" x14ac:dyDescent="0.3">
      <c r="A249" s="42" t="s">
        <v>356</v>
      </c>
      <c r="B249" s="43">
        <v>40786</v>
      </c>
      <c r="C249" s="42" t="s">
        <v>26</v>
      </c>
      <c r="D249" s="44">
        <v>22.45</v>
      </c>
      <c r="E249" s="44">
        <v>22.07</v>
      </c>
      <c r="F249">
        <v>2011</v>
      </c>
    </row>
    <row r="250" spans="1:6" ht="15" customHeight="1" x14ac:dyDescent="0.3">
      <c r="A250" s="42" t="s">
        <v>357</v>
      </c>
      <c r="B250" s="43">
        <v>40822</v>
      </c>
      <c r="C250" s="42" t="s">
        <v>26</v>
      </c>
      <c r="D250" s="44">
        <v>20.079999999999998</v>
      </c>
      <c r="E250" s="44">
        <v>20.51</v>
      </c>
      <c r="F250">
        <v>2011</v>
      </c>
    </row>
    <row r="251" spans="1:6" ht="15" customHeight="1" x14ac:dyDescent="0.3">
      <c r="A251" s="42" t="s">
        <v>358</v>
      </c>
      <c r="B251" s="43">
        <v>40856</v>
      </c>
      <c r="C251" s="42" t="s">
        <v>26</v>
      </c>
      <c r="D251" s="44">
        <v>13.25</v>
      </c>
      <c r="E251" s="44">
        <v>14.28</v>
      </c>
      <c r="F251">
        <v>2011</v>
      </c>
    </row>
    <row r="252" spans="1:6" ht="15" customHeight="1" x14ac:dyDescent="0.3">
      <c r="A252" s="42" t="s">
        <v>359</v>
      </c>
      <c r="B252" s="43">
        <v>40876</v>
      </c>
      <c r="C252" s="42" t="s">
        <v>26</v>
      </c>
      <c r="D252" s="44">
        <v>11.61</v>
      </c>
      <c r="E252" s="44">
        <v>11.89</v>
      </c>
      <c r="F252">
        <v>2011</v>
      </c>
    </row>
    <row r="253" spans="1:6" ht="15" customHeight="1" x14ac:dyDescent="0.3">
      <c r="A253" s="42" t="s">
        <v>360</v>
      </c>
      <c r="B253" s="43">
        <v>40917</v>
      </c>
      <c r="C253" s="42" t="s">
        <v>26</v>
      </c>
      <c r="D253" s="44">
        <v>6.67</v>
      </c>
      <c r="E253" s="44">
        <v>6.8</v>
      </c>
      <c r="F253">
        <v>2012</v>
      </c>
    </row>
    <row r="254" spans="1:6" ht="15" customHeight="1" x14ac:dyDescent="0.3">
      <c r="A254" s="42" t="s">
        <v>361</v>
      </c>
      <c r="B254" s="43">
        <v>40941</v>
      </c>
      <c r="C254" s="42" t="s">
        <v>26</v>
      </c>
      <c r="D254" s="44">
        <v>4.3099999999999996</v>
      </c>
      <c r="E254" s="44">
        <v>4.49</v>
      </c>
      <c r="F254">
        <v>2012</v>
      </c>
    </row>
    <row r="255" spans="1:6" ht="15" customHeight="1" x14ac:dyDescent="0.3">
      <c r="A255" s="42" t="s">
        <v>363</v>
      </c>
      <c r="B255" s="43">
        <v>40973</v>
      </c>
      <c r="C255" s="42" t="s">
        <v>26</v>
      </c>
      <c r="D255" s="46">
        <v>4.74</v>
      </c>
      <c r="E255" s="46">
        <v>4.49</v>
      </c>
      <c r="F255">
        <v>2012</v>
      </c>
    </row>
    <row r="256" spans="1:6" ht="15" customHeight="1" x14ac:dyDescent="0.3">
      <c r="A256" s="42" t="s">
        <v>365</v>
      </c>
      <c r="B256" s="43">
        <v>41004</v>
      </c>
      <c r="C256" s="42" t="s">
        <v>26</v>
      </c>
      <c r="D256" s="44">
        <v>8.61</v>
      </c>
      <c r="E256" s="44">
        <v>7.61</v>
      </c>
      <c r="F256">
        <v>2012</v>
      </c>
    </row>
    <row r="257" spans="1:6" ht="15" customHeight="1" x14ac:dyDescent="0.3">
      <c r="A257" s="42" t="s">
        <v>366</v>
      </c>
      <c r="B257" s="43">
        <v>41031</v>
      </c>
      <c r="C257" s="42" t="s">
        <v>26</v>
      </c>
      <c r="D257" s="44">
        <v>11.59</v>
      </c>
      <c r="E257" s="44">
        <v>10.130000000000001</v>
      </c>
      <c r="F257">
        <v>2012</v>
      </c>
    </row>
    <row r="258" spans="1:6" ht="15" customHeight="1" x14ac:dyDescent="0.3">
      <c r="A258" s="42" t="s">
        <v>367</v>
      </c>
      <c r="B258" s="43">
        <v>41059</v>
      </c>
      <c r="C258" s="42" t="s">
        <v>26</v>
      </c>
      <c r="D258" s="44">
        <v>19.82</v>
      </c>
      <c r="E258" s="44">
        <v>14.14</v>
      </c>
      <c r="F258">
        <v>2012</v>
      </c>
    </row>
    <row r="259" spans="1:6" ht="15" customHeight="1" x14ac:dyDescent="0.3">
      <c r="A259" s="42" t="s">
        <v>368</v>
      </c>
      <c r="B259" s="43">
        <v>41072</v>
      </c>
      <c r="C259" s="42" t="s">
        <v>26</v>
      </c>
      <c r="D259" s="44">
        <v>19.559999999999999</v>
      </c>
      <c r="E259" s="44">
        <v>15.74</v>
      </c>
      <c r="F259">
        <v>2012</v>
      </c>
    </row>
    <row r="260" spans="1:6" ht="15" customHeight="1" x14ac:dyDescent="0.3">
      <c r="A260" s="42" t="s">
        <v>369</v>
      </c>
      <c r="B260" s="43">
        <v>41087</v>
      </c>
      <c r="C260" s="42" t="s">
        <v>26</v>
      </c>
      <c r="D260" s="44">
        <v>19.37</v>
      </c>
      <c r="E260" s="44">
        <v>16.63</v>
      </c>
      <c r="F260">
        <v>2012</v>
      </c>
    </row>
    <row r="261" spans="1:6" ht="15" customHeight="1" x14ac:dyDescent="0.3">
      <c r="A261" s="42" t="s">
        <v>370</v>
      </c>
      <c r="B261" s="43">
        <v>41106</v>
      </c>
      <c r="C261" s="42" t="s">
        <v>26</v>
      </c>
      <c r="D261" s="44">
        <v>22.7</v>
      </c>
      <c r="E261" s="44">
        <v>18.739999999999998</v>
      </c>
      <c r="F261">
        <v>2012</v>
      </c>
    </row>
    <row r="262" spans="1:6" ht="15" customHeight="1" x14ac:dyDescent="0.3">
      <c r="A262" s="42" t="s">
        <v>371</v>
      </c>
      <c r="B262" s="43">
        <v>41122</v>
      </c>
      <c r="C262" s="42" t="s">
        <v>26</v>
      </c>
      <c r="D262" s="44">
        <v>22.46</v>
      </c>
      <c r="E262" s="44">
        <v>20.93</v>
      </c>
      <c r="F262">
        <v>2012</v>
      </c>
    </row>
    <row r="263" spans="1:6" ht="15" customHeight="1" x14ac:dyDescent="0.3">
      <c r="A263" s="42" t="s">
        <v>372</v>
      </c>
      <c r="B263" s="43">
        <v>41137</v>
      </c>
      <c r="C263" s="42" t="s">
        <v>26</v>
      </c>
      <c r="D263" s="44">
        <v>24.03</v>
      </c>
      <c r="E263" s="44">
        <v>21.72</v>
      </c>
      <c r="F263">
        <v>2012</v>
      </c>
    </row>
    <row r="264" spans="1:6" ht="15" customHeight="1" x14ac:dyDescent="0.3">
      <c r="A264" s="42" t="s">
        <v>373</v>
      </c>
      <c r="B264" s="43">
        <v>41150</v>
      </c>
      <c r="C264" s="42" t="s">
        <v>26</v>
      </c>
      <c r="D264" s="44">
        <v>23.83</v>
      </c>
      <c r="E264" s="44">
        <v>23.17</v>
      </c>
      <c r="F264">
        <v>2012</v>
      </c>
    </row>
    <row r="265" spans="1:6" ht="15" customHeight="1" x14ac:dyDescent="0.3">
      <c r="A265" s="42" t="s">
        <v>374</v>
      </c>
      <c r="B265" s="43">
        <v>41169</v>
      </c>
      <c r="C265" s="42" t="s">
        <v>26</v>
      </c>
      <c r="D265" s="44">
        <v>23.03</v>
      </c>
      <c r="E265" s="44">
        <v>22.91</v>
      </c>
      <c r="F265">
        <v>2012</v>
      </c>
    </row>
    <row r="266" spans="1:6" ht="15" customHeight="1" x14ac:dyDescent="0.3">
      <c r="A266" s="42" t="s">
        <v>375</v>
      </c>
      <c r="B266" s="43">
        <v>41185</v>
      </c>
      <c r="C266" s="42" t="s">
        <v>26</v>
      </c>
      <c r="D266" s="44">
        <v>20.52</v>
      </c>
      <c r="E266" s="44">
        <v>21.01</v>
      </c>
      <c r="F266">
        <v>2012</v>
      </c>
    </row>
    <row r="267" spans="1:6" ht="15" customHeight="1" x14ac:dyDescent="0.3">
      <c r="A267" s="42" t="s">
        <v>376</v>
      </c>
      <c r="B267" s="43">
        <v>41227</v>
      </c>
      <c r="C267" s="42" t="s">
        <v>26</v>
      </c>
      <c r="D267" s="44">
        <v>12.39</v>
      </c>
      <c r="E267" s="44">
        <v>12.3</v>
      </c>
      <c r="F267">
        <v>2012</v>
      </c>
    </row>
    <row r="268" spans="1:6" ht="15" customHeight="1" x14ac:dyDescent="0.3">
      <c r="A268" s="42" t="s">
        <v>377</v>
      </c>
      <c r="B268" s="43">
        <v>41247</v>
      </c>
      <c r="C268" s="42" t="s">
        <v>26</v>
      </c>
      <c r="D268" s="44">
        <v>9.16</v>
      </c>
      <c r="E268" s="44">
        <v>9.1</v>
      </c>
      <c r="F268">
        <v>2012</v>
      </c>
    </row>
    <row r="269" spans="1:6" ht="15" customHeight="1" x14ac:dyDescent="0.3">
      <c r="A269" s="42" t="s">
        <v>378</v>
      </c>
      <c r="B269" s="43">
        <v>41284</v>
      </c>
      <c r="C269" s="42" t="s">
        <v>26</v>
      </c>
      <c r="D269" s="44">
        <v>5.07</v>
      </c>
      <c r="E269" s="44">
        <v>5.0199999999999996</v>
      </c>
      <c r="F269">
        <v>2013</v>
      </c>
    </row>
    <row r="270" spans="1:6" ht="15" customHeight="1" x14ac:dyDescent="0.3">
      <c r="A270" s="42" t="s">
        <v>379</v>
      </c>
      <c r="B270" s="43">
        <v>41304</v>
      </c>
      <c r="C270" s="42" t="s">
        <v>26</v>
      </c>
      <c r="D270" s="46">
        <v>2.4500000000000002</v>
      </c>
      <c r="E270" s="44">
        <v>3.16</v>
      </c>
      <c r="F270">
        <v>2013</v>
      </c>
    </row>
    <row r="271" spans="1:6" ht="15" customHeight="1" x14ac:dyDescent="0.3">
      <c r="A271" s="42" t="s">
        <v>381</v>
      </c>
      <c r="B271" s="43">
        <v>41344</v>
      </c>
      <c r="C271" s="42" t="s">
        <v>26</v>
      </c>
      <c r="D271" s="44">
        <v>2.97</v>
      </c>
      <c r="E271" s="44">
        <v>2.66</v>
      </c>
      <c r="F271">
        <v>2013</v>
      </c>
    </row>
    <row r="272" spans="1:6" ht="15" customHeight="1" x14ac:dyDescent="0.3">
      <c r="A272" s="42" t="s">
        <v>382</v>
      </c>
      <c r="B272" s="43">
        <v>41368</v>
      </c>
      <c r="C272" s="42" t="s">
        <v>26</v>
      </c>
      <c r="D272" s="44">
        <v>4.67</v>
      </c>
      <c r="E272" s="44">
        <v>4.0599999999999996</v>
      </c>
      <c r="F272">
        <v>2013</v>
      </c>
    </row>
    <row r="273" spans="1:6" ht="15" customHeight="1" x14ac:dyDescent="0.3">
      <c r="A273" s="42" t="s">
        <v>383</v>
      </c>
      <c r="B273" s="43">
        <v>41395</v>
      </c>
      <c r="C273" s="42" t="s">
        <v>26</v>
      </c>
      <c r="D273" s="44">
        <v>11.06</v>
      </c>
      <c r="E273" s="44">
        <v>8.94</v>
      </c>
      <c r="F273">
        <v>2013</v>
      </c>
    </row>
    <row r="274" spans="1:6" ht="15" customHeight="1" x14ac:dyDescent="0.3">
      <c r="A274" s="42" t="s">
        <v>384</v>
      </c>
      <c r="B274" s="43">
        <v>41430</v>
      </c>
      <c r="C274" s="42" t="s">
        <v>26</v>
      </c>
      <c r="D274" s="44">
        <v>17.14</v>
      </c>
      <c r="E274" s="44">
        <v>12.36</v>
      </c>
      <c r="F274">
        <v>2013</v>
      </c>
    </row>
    <row r="275" spans="1:6" ht="15" customHeight="1" x14ac:dyDescent="0.3">
      <c r="A275" s="42" t="s">
        <v>385</v>
      </c>
      <c r="B275" s="43">
        <v>41446</v>
      </c>
      <c r="C275" s="42" t="s">
        <v>26</v>
      </c>
      <c r="D275" s="44">
        <v>19.66</v>
      </c>
      <c r="E275" s="44">
        <v>16.11</v>
      </c>
      <c r="F275">
        <v>2013</v>
      </c>
    </row>
    <row r="276" spans="1:6" ht="15" customHeight="1" x14ac:dyDescent="0.3">
      <c r="A276" s="42" t="s">
        <v>386</v>
      </c>
      <c r="B276" s="43">
        <v>41457</v>
      </c>
      <c r="C276" s="42" t="s">
        <v>26</v>
      </c>
      <c r="D276" s="44">
        <v>21.53</v>
      </c>
      <c r="E276" s="44">
        <v>16.43</v>
      </c>
      <c r="F276">
        <v>2013</v>
      </c>
    </row>
    <row r="277" spans="1:6" ht="15" customHeight="1" x14ac:dyDescent="0.3">
      <c r="A277" s="42" t="s">
        <v>387</v>
      </c>
      <c r="B277" s="43">
        <v>41470</v>
      </c>
      <c r="C277" s="42" t="s">
        <v>26</v>
      </c>
      <c r="D277" s="44">
        <v>23.27</v>
      </c>
      <c r="E277" s="44">
        <v>19.04</v>
      </c>
      <c r="F277">
        <v>2013</v>
      </c>
    </row>
    <row r="278" spans="1:6" ht="15" customHeight="1" x14ac:dyDescent="0.3">
      <c r="A278" s="42" t="s">
        <v>388</v>
      </c>
      <c r="B278" s="43">
        <v>41486</v>
      </c>
      <c r="C278" s="42" t="s">
        <v>26</v>
      </c>
      <c r="D278" s="44">
        <v>23.13</v>
      </c>
      <c r="E278" s="44">
        <v>20.84</v>
      </c>
      <c r="F278">
        <v>2013</v>
      </c>
    </row>
    <row r="279" spans="1:6" ht="15" customHeight="1" x14ac:dyDescent="0.3">
      <c r="A279" s="42" t="s">
        <v>389</v>
      </c>
      <c r="B279" s="43">
        <v>41498</v>
      </c>
      <c r="C279" s="42" t="s">
        <v>26</v>
      </c>
      <c r="D279" s="44">
        <v>22.6</v>
      </c>
      <c r="E279" s="44">
        <v>20.67</v>
      </c>
      <c r="F279">
        <v>2013</v>
      </c>
    </row>
    <row r="280" spans="1:6" ht="15" customHeight="1" x14ac:dyDescent="0.3">
      <c r="A280" s="42" t="s">
        <v>390</v>
      </c>
      <c r="B280" s="43">
        <v>41514</v>
      </c>
      <c r="C280" s="42" t="s">
        <v>26</v>
      </c>
      <c r="D280" s="44">
        <v>23.13</v>
      </c>
      <c r="E280" s="44">
        <v>21.86</v>
      </c>
      <c r="F280">
        <v>2013</v>
      </c>
    </row>
    <row r="281" spans="1:6" ht="15" customHeight="1" x14ac:dyDescent="0.3">
      <c r="A281" s="42" t="s">
        <v>391</v>
      </c>
      <c r="B281" s="43">
        <v>41526</v>
      </c>
      <c r="C281" s="42" t="s">
        <v>26</v>
      </c>
      <c r="D281" s="44">
        <v>21.95</v>
      </c>
      <c r="E281" s="44">
        <v>22.04</v>
      </c>
      <c r="F281">
        <v>2013</v>
      </c>
    </row>
    <row r="282" spans="1:6" ht="15" customHeight="1" x14ac:dyDescent="0.3">
      <c r="A282" s="42" t="s">
        <v>392</v>
      </c>
      <c r="B282" s="43">
        <v>41549</v>
      </c>
      <c r="C282" s="42" t="s">
        <v>26</v>
      </c>
      <c r="D282" s="44">
        <v>20.420000000000002</v>
      </c>
      <c r="E282" s="44">
        <v>20.29</v>
      </c>
      <c r="F282">
        <v>2013</v>
      </c>
    </row>
    <row r="283" spans="1:6" ht="15" customHeight="1" x14ac:dyDescent="0.3">
      <c r="A283" s="42" t="s">
        <v>393</v>
      </c>
      <c r="B283" s="43">
        <v>41583</v>
      </c>
      <c r="C283" s="42" t="s">
        <v>26</v>
      </c>
      <c r="D283" s="44">
        <v>14.9</v>
      </c>
      <c r="E283" s="44">
        <v>14.8</v>
      </c>
      <c r="F283">
        <v>2013</v>
      </c>
    </row>
    <row r="284" spans="1:6" ht="15" customHeight="1" x14ac:dyDescent="0.3">
      <c r="A284" s="42" t="s">
        <v>394</v>
      </c>
      <c r="B284" s="43">
        <v>41611</v>
      </c>
      <c r="C284" s="42" t="s">
        <v>26</v>
      </c>
      <c r="D284" s="44">
        <v>8.74</v>
      </c>
      <c r="E284" s="44">
        <v>8.58</v>
      </c>
      <c r="F284">
        <v>2013</v>
      </c>
    </row>
    <row r="285" spans="1:6" ht="15" customHeight="1" x14ac:dyDescent="0.3">
      <c r="A285" s="42" t="s">
        <v>395</v>
      </c>
      <c r="B285" s="43">
        <v>41648</v>
      </c>
      <c r="C285" s="42" t="s">
        <v>26</v>
      </c>
      <c r="D285" s="44">
        <v>2.59</v>
      </c>
      <c r="E285" s="44">
        <v>2.5099999999999998</v>
      </c>
      <c r="F285">
        <v>2014</v>
      </c>
    </row>
    <row r="286" spans="1:6" ht="15" customHeight="1" x14ac:dyDescent="0.3">
      <c r="A286" s="42" t="s">
        <v>396</v>
      </c>
      <c r="B286" s="43">
        <v>41676</v>
      </c>
      <c r="C286" s="42" t="s">
        <v>26</v>
      </c>
      <c r="D286" s="44">
        <v>0.45</v>
      </c>
      <c r="E286" s="44">
        <v>0.3</v>
      </c>
      <c r="F286">
        <v>2014</v>
      </c>
    </row>
    <row r="287" spans="1:6" ht="15" customHeight="1" x14ac:dyDescent="0.3">
      <c r="A287" s="42" t="s">
        <v>398</v>
      </c>
      <c r="B287" s="43">
        <v>41703</v>
      </c>
      <c r="C287" s="42" t="s">
        <v>26</v>
      </c>
      <c r="D287" s="44">
        <v>0.31</v>
      </c>
      <c r="E287" s="44">
        <v>7.0000000000000007E-2</v>
      </c>
      <c r="F287">
        <v>2014</v>
      </c>
    </row>
    <row r="288" spans="1:6" ht="15" customHeight="1" x14ac:dyDescent="0.3">
      <c r="A288" s="42" t="s">
        <v>399</v>
      </c>
      <c r="B288" s="43">
        <v>41731</v>
      </c>
      <c r="C288" s="42" t="s">
        <v>26</v>
      </c>
      <c r="D288" s="44">
        <v>2.62</v>
      </c>
      <c r="E288" s="44">
        <v>2.5499999999999998</v>
      </c>
      <c r="F288">
        <v>2014</v>
      </c>
    </row>
    <row r="289" spans="1:6" ht="15" customHeight="1" x14ac:dyDescent="0.3">
      <c r="A289" s="42" t="s">
        <v>400</v>
      </c>
      <c r="B289" s="43">
        <v>41766</v>
      </c>
      <c r="C289" s="42" t="s">
        <v>26</v>
      </c>
      <c r="D289" s="44">
        <v>9.7899999999999991</v>
      </c>
      <c r="E289" s="44">
        <v>7.74</v>
      </c>
      <c r="F289">
        <v>2014</v>
      </c>
    </row>
    <row r="290" spans="1:6" ht="15" customHeight="1" x14ac:dyDescent="0.3">
      <c r="A290" s="42" t="s">
        <v>401</v>
      </c>
      <c r="B290" s="43">
        <v>41793</v>
      </c>
      <c r="C290" s="42" t="s">
        <v>26</v>
      </c>
      <c r="D290" s="44">
        <v>16.170000000000002</v>
      </c>
      <c r="E290" s="44">
        <v>12.46</v>
      </c>
      <c r="F290">
        <v>2014</v>
      </c>
    </row>
    <row r="291" spans="1:6" ht="15" customHeight="1" x14ac:dyDescent="0.3">
      <c r="A291" s="42" t="s">
        <v>402</v>
      </c>
      <c r="B291" s="43">
        <v>41809</v>
      </c>
      <c r="C291" s="42" t="s">
        <v>26</v>
      </c>
      <c r="D291" s="44">
        <v>19.260000000000002</v>
      </c>
      <c r="E291" s="44">
        <v>14.61</v>
      </c>
      <c r="F291">
        <v>2014</v>
      </c>
    </row>
    <row r="292" spans="1:6" ht="15" customHeight="1" x14ac:dyDescent="0.3">
      <c r="A292" s="42" t="s">
        <v>403</v>
      </c>
      <c r="B292" s="43">
        <v>41822</v>
      </c>
      <c r="C292" s="42" t="s">
        <v>26</v>
      </c>
      <c r="D292" s="44">
        <v>20.399999999999999</v>
      </c>
      <c r="E292" s="44">
        <v>15.1</v>
      </c>
      <c r="F292">
        <v>2014</v>
      </c>
    </row>
    <row r="293" spans="1:6" ht="15" customHeight="1" x14ac:dyDescent="0.3">
      <c r="A293" s="42" t="s">
        <v>404</v>
      </c>
      <c r="B293" s="43">
        <v>41834</v>
      </c>
      <c r="C293" s="42" t="s">
        <v>26</v>
      </c>
      <c r="D293" s="44">
        <v>20.74</v>
      </c>
      <c r="E293" s="44">
        <v>16.95</v>
      </c>
      <c r="F293">
        <v>2014</v>
      </c>
    </row>
    <row r="294" spans="1:6" ht="15" customHeight="1" x14ac:dyDescent="0.3">
      <c r="A294" s="42" t="s">
        <v>405</v>
      </c>
      <c r="B294" s="43">
        <v>41857</v>
      </c>
      <c r="C294" s="42" t="s">
        <v>26</v>
      </c>
      <c r="D294" s="44">
        <v>23.88</v>
      </c>
      <c r="E294" s="44">
        <v>20.21</v>
      </c>
      <c r="F294">
        <v>2014</v>
      </c>
    </row>
    <row r="295" spans="1:6" ht="15" customHeight="1" x14ac:dyDescent="0.3">
      <c r="A295" s="42" t="s">
        <v>406</v>
      </c>
      <c r="B295" s="43">
        <v>41870</v>
      </c>
      <c r="C295" s="42" t="s">
        <v>26</v>
      </c>
      <c r="D295" s="44">
        <v>22.42</v>
      </c>
      <c r="E295" s="44">
        <v>21.43</v>
      </c>
      <c r="F295">
        <v>2014</v>
      </c>
    </row>
    <row r="296" spans="1:6" ht="15" customHeight="1" x14ac:dyDescent="0.3">
      <c r="A296" s="42" t="s">
        <v>407</v>
      </c>
      <c r="B296" s="43">
        <v>41884</v>
      </c>
      <c r="C296" s="42" t="s">
        <v>26</v>
      </c>
      <c r="D296" s="44">
        <v>24.16</v>
      </c>
      <c r="E296" s="44">
        <v>22.28</v>
      </c>
      <c r="F296">
        <v>2014</v>
      </c>
    </row>
    <row r="297" spans="1:6" ht="15" customHeight="1" x14ac:dyDescent="0.3">
      <c r="A297" s="42" t="s">
        <v>408</v>
      </c>
      <c r="B297" s="43">
        <v>41898</v>
      </c>
      <c r="C297" s="42" t="s">
        <v>26</v>
      </c>
      <c r="D297" s="44">
        <v>21.8</v>
      </c>
      <c r="E297" s="44">
        <v>21.85</v>
      </c>
      <c r="F297">
        <v>2014</v>
      </c>
    </row>
    <row r="298" spans="1:6" ht="15" customHeight="1" x14ac:dyDescent="0.3">
      <c r="A298" s="42" t="s">
        <v>409</v>
      </c>
      <c r="B298" s="43">
        <v>41913</v>
      </c>
      <c r="C298" s="42" t="s">
        <v>26</v>
      </c>
      <c r="D298" s="46">
        <v>20.420000000000002</v>
      </c>
      <c r="E298" s="46">
        <v>20.65</v>
      </c>
      <c r="F298">
        <v>2014</v>
      </c>
    </row>
    <row r="299" spans="1:6" ht="15" customHeight="1" x14ac:dyDescent="0.3">
      <c r="A299" s="42" t="s">
        <v>410</v>
      </c>
      <c r="B299" s="43">
        <v>41953</v>
      </c>
      <c r="C299" s="42" t="s">
        <v>26</v>
      </c>
      <c r="D299" s="44">
        <v>14.17</v>
      </c>
      <c r="E299" s="44">
        <v>13.95</v>
      </c>
      <c r="F299">
        <v>2014</v>
      </c>
    </row>
    <row r="300" spans="1:6" ht="15" customHeight="1" x14ac:dyDescent="0.3">
      <c r="A300" s="42" t="s">
        <v>411</v>
      </c>
      <c r="B300" s="43">
        <v>41983</v>
      </c>
      <c r="C300" s="42" t="s">
        <v>26</v>
      </c>
      <c r="D300" s="44">
        <v>6.98</v>
      </c>
      <c r="E300" s="44">
        <v>6.98</v>
      </c>
      <c r="F300">
        <v>2014</v>
      </c>
    </row>
    <row r="301" spans="1:6" ht="15" customHeight="1" x14ac:dyDescent="0.3">
      <c r="A301" s="42" t="s">
        <v>412</v>
      </c>
      <c r="B301" s="43">
        <v>42018</v>
      </c>
      <c r="C301" s="42" t="s">
        <v>26</v>
      </c>
      <c r="D301" s="44">
        <v>1.87</v>
      </c>
      <c r="E301" s="44">
        <v>2.89</v>
      </c>
      <c r="F301">
        <v>2015</v>
      </c>
    </row>
    <row r="302" spans="1:6" ht="15" customHeight="1" x14ac:dyDescent="0.3">
      <c r="A302" s="42" t="s">
        <v>413</v>
      </c>
      <c r="B302" s="43">
        <v>42045</v>
      </c>
      <c r="C302" s="42" t="s">
        <v>26</v>
      </c>
      <c r="D302" s="44">
        <v>-0.08</v>
      </c>
      <c r="E302" s="44">
        <v>-0.06</v>
      </c>
      <c r="F302">
        <v>2015</v>
      </c>
    </row>
    <row r="303" spans="1:6" ht="15" customHeight="1" x14ac:dyDescent="0.3">
      <c r="A303" s="42" t="s">
        <v>414</v>
      </c>
      <c r="B303" s="43">
        <v>42073</v>
      </c>
      <c r="C303" s="42" t="s">
        <v>26</v>
      </c>
      <c r="D303" s="44">
        <v>-0.62</v>
      </c>
      <c r="E303" s="44">
        <v>-0.86</v>
      </c>
      <c r="F303">
        <v>2015</v>
      </c>
    </row>
    <row r="304" spans="1:6" ht="15" customHeight="1" x14ac:dyDescent="0.3">
      <c r="A304" s="42" t="s">
        <v>416</v>
      </c>
      <c r="B304" s="43">
        <v>42095</v>
      </c>
      <c r="C304" s="42" t="s">
        <v>26</v>
      </c>
      <c r="D304" s="44">
        <v>1.82</v>
      </c>
      <c r="E304" s="44">
        <v>1.1499999999999999</v>
      </c>
      <c r="F304">
        <v>2015</v>
      </c>
    </row>
    <row r="305" spans="1:6" ht="15" customHeight="1" x14ac:dyDescent="0.3">
      <c r="A305" s="42" t="s">
        <v>417</v>
      </c>
      <c r="B305" s="43">
        <v>42125</v>
      </c>
      <c r="C305" s="42" t="s">
        <v>26</v>
      </c>
      <c r="D305" s="44">
        <v>9.3000000000000007</v>
      </c>
      <c r="E305" s="44">
        <v>5.89</v>
      </c>
      <c r="F305">
        <v>2015</v>
      </c>
    </row>
    <row r="306" spans="1:6" ht="15" customHeight="1" x14ac:dyDescent="0.3">
      <c r="A306" s="42" t="s">
        <v>418</v>
      </c>
      <c r="B306" s="43">
        <v>42153</v>
      </c>
      <c r="C306" s="42" t="s">
        <v>26</v>
      </c>
      <c r="D306" s="44">
        <v>16.37</v>
      </c>
      <c r="E306" s="44">
        <v>9.59</v>
      </c>
      <c r="F306">
        <v>2015</v>
      </c>
    </row>
    <row r="307" spans="1:6" ht="15" customHeight="1" x14ac:dyDescent="0.3">
      <c r="A307" s="42" t="s">
        <v>419</v>
      </c>
      <c r="B307" s="43">
        <v>42173</v>
      </c>
      <c r="C307" s="42" t="s">
        <v>26</v>
      </c>
      <c r="D307" s="44">
        <v>18.61</v>
      </c>
      <c r="E307" s="44">
        <v>14.13</v>
      </c>
      <c r="F307">
        <v>2015</v>
      </c>
    </row>
    <row r="308" spans="1:6" ht="15" customHeight="1" x14ac:dyDescent="0.3">
      <c r="A308" s="42" t="s">
        <v>420</v>
      </c>
      <c r="B308" s="43">
        <v>42192</v>
      </c>
      <c r="C308" s="42" t="s">
        <v>26</v>
      </c>
      <c r="D308" s="44">
        <v>22.39</v>
      </c>
      <c r="E308" s="44">
        <v>17.27</v>
      </c>
      <c r="F308">
        <v>2015</v>
      </c>
    </row>
    <row r="309" spans="1:6" ht="15" customHeight="1" x14ac:dyDescent="0.3">
      <c r="A309" s="42" t="s">
        <v>421</v>
      </c>
      <c r="B309" s="43">
        <v>42205</v>
      </c>
      <c r="C309" s="42" t="s">
        <v>26</v>
      </c>
      <c r="D309" s="44">
        <v>22.72</v>
      </c>
      <c r="E309" s="44">
        <v>18.690000000000001</v>
      </c>
      <c r="F309">
        <v>2015</v>
      </c>
    </row>
    <row r="310" spans="1:6" ht="15" customHeight="1" x14ac:dyDescent="0.3">
      <c r="A310" s="42" t="s">
        <v>422</v>
      </c>
      <c r="B310" s="43">
        <v>42220</v>
      </c>
      <c r="C310" s="42" t="s">
        <v>26</v>
      </c>
      <c r="D310" s="44">
        <v>22.7</v>
      </c>
      <c r="E310" s="44">
        <v>19.23</v>
      </c>
      <c r="F310">
        <v>2015</v>
      </c>
    </row>
    <row r="311" spans="1:6" ht="15" customHeight="1" x14ac:dyDescent="0.3">
      <c r="A311" s="42" t="s">
        <v>423</v>
      </c>
      <c r="B311" s="43">
        <v>42233</v>
      </c>
      <c r="C311" s="42" t="s">
        <v>26</v>
      </c>
      <c r="D311" s="44">
        <v>23.44</v>
      </c>
      <c r="E311" s="44">
        <v>21.27</v>
      </c>
      <c r="F311">
        <v>2015</v>
      </c>
    </row>
    <row r="312" spans="1:6" ht="15" customHeight="1" x14ac:dyDescent="0.3">
      <c r="A312" s="42" t="s">
        <v>424</v>
      </c>
      <c r="B312" s="43">
        <v>42248</v>
      </c>
      <c r="C312" s="42" t="s">
        <v>26</v>
      </c>
      <c r="D312" s="44">
        <v>23.89</v>
      </c>
      <c r="E312" s="44">
        <v>22.75</v>
      </c>
      <c r="F312">
        <v>2015</v>
      </c>
    </row>
    <row r="313" spans="1:6" ht="15" customHeight="1" x14ac:dyDescent="0.3">
      <c r="A313" s="42" t="s">
        <v>425</v>
      </c>
      <c r="B313" s="43">
        <v>42263</v>
      </c>
      <c r="C313" s="42" t="s">
        <v>26</v>
      </c>
      <c r="D313" s="44">
        <v>23.29</v>
      </c>
      <c r="E313" s="44">
        <v>23.2</v>
      </c>
      <c r="F313">
        <v>2015</v>
      </c>
    </row>
    <row r="314" spans="1:6" ht="15" customHeight="1" x14ac:dyDescent="0.3">
      <c r="A314" s="42" t="s">
        <v>426</v>
      </c>
      <c r="B314" s="43">
        <v>42285</v>
      </c>
      <c r="C314" s="42" t="s">
        <v>26</v>
      </c>
      <c r="D314" s="44">
        <v>19.12</v>
      </c>
      <c r="E314" s="44">
        <v>18.760000000000002</v>
      </c>
      <c r="F314">
        <v>2015</v>
      </c>
    </row>
    <row r="315" spans="1:6" ht="15" customHeight="1" x14ac:dyDescent="0.3">
      <c r="A315" s="42" t="s">
        <v>427</v>
      </c>
      <c r="B315" s="43">
        <v>42317</v>
      </c>
      <c r="C315" s="42" t="s">
        <v>26</v>
      </c>
      <c r="D315" s="44">
        <v>15.12</v>
      </c>
      <c r="E315" s="44">
        <v>15.3</v>
      </c>
      <c r="F315">
        <v>2015</v>
      </c>
    </row>
    <row r="316" spans="1:6" ht="15" customHeight="1" x14ac:dyDescent="0.3">
      <c r="A316" s="42" t="s">
        <v>428</v>
      </c>
      <c r="B316" s="43">
        <v>42338</v>
      </c>
      <c r="C316" s="42" t="s">
        <v>26</v>
      </c>
      <c r="D316" s="44">
        <v>11.3</v>
      </c>
      <c r="E316" s="44">
        <v>11.32</v>
      </c>
      <c r="F316">
        <v>2015</v>
      </c>
    </row>
    <row r="317" spans="1:6" ht="15" customHeight="1" x14ac:dyDescent="0.3">
      <c r="A317" s="42" t="s">
        <v>429</v>
      </c>
      <c r="B317" s="43">
        <v>42381</v>
      </c>
      <c r="C317" s="42" t="s">
        <v>26</v>
      </c>
      <c r="D317" s="44">
        <v>6.59</v>
      </c>
      <c r="E317" s="44">
        <v>7.04</v>
      </c>
      <c r="F317">
        <v>2016</v>
      </c>
    </row>
    <row r="318" spans="1:6" ht="15" customHeight="1" x14ac:dyDescent="0.3">
      <c r="A318" s="42" t="s">
        <v>430</v>
      </c>
      <c r="B318" s="43">
        <v>42401</v>
      </c>
      <c r="C318" s="42" t="s">
        <v>26</v>
      </c>
      <c r="D318" s="44">
        <v>3.76</v>
      </c>
      <c r="E318" s="44">
        <v>3.75</v>
      </c>
      <c r="F318">
        <v>2016</v>
      </c>
    </row>
    <row r="319" spans="1:6" ht="15" customHeight="1" x14ac:dyDescent="0.3">
      <c r="A319" s="42" t="s">
        <v>432</v>
      </c>
      <c r="B319" s="43">
        <v>42437</v>
      </c>
      <c r="C319" s="42" t="s">
        <v>26</v>
      </c>
      <c r="D319" s="44">
        <v>4.21</v>
      </c>
      <c r="E319" s="44">
        <v>3.4</v>
      </c>
      <c r="F319">
        <v>2016</v>
      </c>
    </row>
    <row r="320" spans="1:6" ht="15" customHeight="1" x14ac:dyDescent="0.3">
      <c r="A320" s="42" t="s">
        <v>434</v>
      </c>
      <c r="B320" s="43">
        <v>42464</v>
      </c>
      <c r="C320" s="42" t="s">
        <v>26</v>
      </c>
      <c r="D320" s="44">
        <v>7.34</v>
      </c>
      <c r="E320" s="44">
        <v>6.33</v>
      </c>
      <c r="F320">
        <v>2016</v>
      </c>
    </row>
    <row r="321" spans="1:6" ht="15" customHeight="1" x14ac:dyDescent="0.3">
      <c r="A321" s="42" t="s">
        <v>435</v>
      </c>
      <c r="B321" s="43">
        <v>42502</v>
      </c>
      <c r="C321" s="42" t="s">
        <v>26</v>
      </c>
      <c r="D321" s="44">
        <v>13.44</v>
      </c>
      <c r="E321" s="44">
        <v>10.97</v>
      </c>
      <c r="F321">
        <v>2016</v>
      </c>
    </row>
    <row r="322" spans="1:6" ht="15" customHeight="1" x14ac:dyDescent="0.3">
      <c r="A322" s="42" t="s">
        <v>436</v>
      </c>
      <c r="B322" s="43">
        <v>42531</v>
      </c>
      <c r="C322" s="42" t="s">
        <v>26</v>
      </c>
      <c r="D322" s="44">
        <v>14.32</v>
      </c>
      <c r="E322" s="44">
        <v>13.66</v>
      </c>
      <c r="F322">
        <v>2016</v>
      </c>
    </row>
    <row r="323" spans="1:6" ht="15" customHeight="1" x14ac:dyDescent="0.3">
      <c r="A323" s="42" t="s">
        <v>437</v>
      </c>
      <c r="B323" s="43">
        <v>42541</v>
      </c>
      <c r="C323" s="42" t="s">
        <v>26</v>
      </c>
      <c r="D323" s="44">
        <v>18.690000000000001</v>
      </c>
      <c r="E323" s="44">
        <v>14.29</v>
      </c>
      <c r="F323">
        <v>2016</v>
      </c>
    </row>
    <row r="324" spans="1:6" ht="15" customHeight="1" x14ac:dyDescent="0.3">
      <c r="A324" s="42" t="s">
        <v>438</v>
      </c>
      <c r="B324" s="43">
        <v>42557</v>
      </c>
      <c r="C324" s="42" t="s">
        <v>26</v>
      </c>
      <c r="D324" s="44">
        <v>21.08</v>
      </c>
      <c r="E324" s="44">
        <v>17</v>
      </c>
      <c r="F324">
        <v>2016</v>
      </c>
    </row>
    <row r="325" spans="1:6" ht="15" customHeight="1" x14ac:dyDescent="0.3">
      <c r="A325" s="42" t="s">
        <v>439</v>
      </c>
      <c r="B325" s="43">
        <v>42570</v>
      </c>
      <c r="C325" s="42" t="s">
        <v>26</v>
      </c>
      <c r="D325" s="44">
        <v>22.38</v>
      </c>
      <c r="E325" s="44">
        <v>18.14</v>
      </c>
      <c r="F325">
        <v>2016</v>
      </c>
    </row>
    <row r="326" spans="1:6" ht="15" customHeight="1" x14ac:dyDescent="0.3">
      <c r="A326" s="42" t="s">
        <v>440</v>
      </c>
      <c r="B326" s="43">
        <v>42585</v>
      </c>
      <c r="C326" s="42" t="s">
        <v>26</v>
      </c>
      <c r="D326" s="44">
        <v>22.67</v>
      </c>
      <c r="E326" s="44">
        <v>21.77</v>
      </c>
      <c r="F326">
        <v>2016</v>
      </c>
    </row>
    <row r="327" spans="1:6" ht="15" customHeight="1" x14ac:dyDescent="0.3">
      <c r="A327" s="42" t="s">
        <v>441</v>
      </c>
      <c r="B327" s="43">
        <v>42600</v>
      </c>
      <c r="C327" s="42" t="s">
        <v>26</v>
      </c>
      <c r="D327" s="44">
        <v>24.47</v>
      </c>
      <c r="E327" s="44">
        <v>21.78</v>
      </c>
      <c r="F327">
        <v>2016</v>
      </c>
    </row>
    <row r="328" spans="1:6" ht="15" customHeight="1" x14ac:dyDescent="0.3">
      <c r="A328" s="42" t="s">
        <v>442</v>
      </c>
      <c r="B328" s="43">
        <v>42612</v>
      </c>
      <c r="C328" s="42" t="s">
        <v>26</v>
      </c>
      <c r="D328" s="44">
        <v>24.62</v>
      </c>
      <c r="E328" s="44">
        <v>23.15</v>
      </c>
      <c r="F328">
        <v>2016</v>
      </c>
    </row>
    <row r="329" spans="1:6" ht="15" customHeight="1" x14ac:dyDescent="0.3">
      <c r="A329" s="42" t="s">
        <v>443</v>
      </c>
      <c r="B329" s="43">
        <v>42626</v>
      </c>
      <c r="C329" s="42" t="s">
        <v>26</v>
      </c>
      <c r="D329" s="44">
        <v>23.73</v>
      </c>
      <c r="E329" s="44">
        <v>23.42</v>
      </c>
      <c r="F329">
        <v>2016</v>
      </c>
    </row>
    <row r="330" spans="1:6" ht="15" customHeight="1" x14ac:dyDescent="0.3">
      <c r="A330" s="42" t="s">
        <v>444</v>
      </c>
      <c r="B330" s="43">
        <v>42648</v>
      </c>
      <c r="C330" s="42" t="s">
        <v>26</v>
      </c>
      <c r="D330" s="44">
        <v>20.440000000000001</v>
      </c>
      <c r="E330" s="44">
        <v>20.34</v>
      </c>
      <c r="F330">
        <v>2016</v>
      </c>
    </row>
    <row r="331" spans="1:6" ht="15" customHeight="1" x14ac:dyDescent="0.3">
      <c r="A331" s="42" t="s">
        <v>445</v>
      </c>
      <c r="B331" s="43">
        <v>42683</v>
      </c>
      <c r="C331" s="42" t="s">
        <v>26</v>
      </c>
      <c r="D331" s="44">
        <v>14.47</v>
      </c>
      <c r="E331" s="44">
        <v>14.64</v>
      </c>
      <c r="F331">
        <v>2016</v>
      </c>
    </row>
    <row r="332" spans="1:6" ht="15" customHeight="1" x14ac:dyDescent="0.3">
      <c r="A332" s="42" t="s">
        <v>446</v>
      </c>
      <c r="B332" s="43">
        <v>42709</v>
      </c>
      <c r="C332" s="42" t="s">
        <v>26</v>
      </c>
      <c r="D332" s="44">
        <v>9.9499999999999993</v>
      </c>
      <c r="E332" s="44">
        <v>10.51</v>
      </c>
      <c r="F332">
        <v>2016</v>
      </c>
    </row>
    <row r="333" spans="1:6" ht="15" customHeight="1" x14ac:dyDescent="0.3">
      <c r="A333" s="42" t="s">
        <v>447</v>
      </c>
      <c r="B333" s="43">
        <v>42745</v>
      </c>
      <c r="C333" s="42" t="s">
        <v>26</v>
      </c>
      <c r="D333" s="44">
        <v>3.28</v>
      </c>
      <c r="E333" s="44">
        <v>4.1100000000000003</v>
      </c>
      <c r="F333">
        <v>2017</v>
      </c>
    </row>
    <row r="334" spans="1:6" ht="15" customHeight="1" x14ac:dyDescent="0.3">
      <c r="A334" s="42" t="s">
        <v>448</v>
      </c>
      <c r="B334" s="43">
        <v>42774</v>
      </c>
      <c r="C334" s="42" t="s">
        <v>26</v>
      </c>
      <c r="D334" s="44">
        <v>3.4</v>
      </c>
      <c r="E334" s="44">
        <v>3.33</v>
      </c>
      <c r="F334">
        <v>2017</v>
      </c>
    </row>
    <row r="335" spans="1:6" ht="15" customHeight="1" x14ac:dyDescent="0.3">
      <c r="A335" s="42" t="s">
        <v>450</v>
      </c>
      <c r="B335" s="43">
        <v>42801</v>
      </c>
      <c r="C335" s="42" t="s">
        <v>26</v>
      </c>
      <c r="D335" s="44">
        <v>3.79</v>
      </c>
      <c r="E335" s="44">
        <v>3.52</v>
      </c>
      <c r="F335">
        <v>2017</v>
      </c>
    </row>
    <row r="336" spans="1:6" ht="15" customHeight="1" x14ac:dyDescent="0.3">
      <c r="A336" s="42" t="s">
        <v>451</v>
      </c>
      <c r="B336" s="43">
        <v>42829</v>
      </c>
      <c r="C336" s="42" t="s">
        <v>26</v>
      </c>
      <c r="D336" s="44">
        <v>5.04</v>
      </c>
      <c r="E336" s="44">
        <v>4.07</v>
      </c>
      <c r="F336">
        <v>2017</v>
      </c>
    </row>
    <row r="337" spans="1:6" ht="15" customHeight="1" x14ac:dyDescent="0.3">
      <c r="A337" s="42" t="s">
        <v>452</v>
      </c>
      <c r="B337" s="43">
        <v>42858</v>
      </c>
      <c r="C337" s="42" t="s">
        <v>26</v>
      </c>
      <c r="D337" s="44">
        <v>11.03</v>
      </c>
      <c r="E337" s="44">
        <v>10.77</v>
      </c>
      <c r="F337">
        <v>2017</v>
      </c>
    </row>
    <row r="338" spans="1:6" ht="15" customHeight="1" x14ac:dyDescent="0.3">
      <c r="A338" s="42" t="s">
        <v>453</v>
      </c>
      <c r="B338" s="43">
        <v>42893</v>
      </c>
      <c r="C338" s="42" t="s">
        <v>26</v>
      </c>
      <c r="D338" s="44">
        <v>15.19</v>
      </c>
      <c r="E338" s="44">
        <v>14.28</v>
      </c>
      <c r="F338">
        <v>2017</v>
      </c>
    </row>
    <row r="339" spans="1:6" ht="15" customHeight="1" x14ac:dyDescent="0.3">
      <c r="A339" s="42" t="s">
        <v>454</v>
      </c>
      <c r="B339" s="43">
        <v>42907</v>
      </c>
      <c r="C339" s="42" t="s">
        <v>26</v>
      </c>
      <c r="D339" s="44">
        <v>19.96</v>
      </c>
      <c r="E339" s="44">
        <v>14.28</v>
      </c>
      <c r="F339">
        <v>2017</v>
      </c>
    </row>
    <row r="340" spans="1:6" ht="15" customHeight="1" x14ac:dyDescent="0.3">
      <c r="A340" s="42" t="s">
        <v>455</v>
      </c>
      <c r="B340" s="43">
        <v>42922</v>
      </c>
      <c r="C340" s="42" t="s">
        <v>26</v>
      </c>
      <c r="D340" s="44">
        <v>21.14</v>
      </c>
      <c r="E340" s="44">
        <v>15.73</v>
      </c>
      <c r="F340">
        <v>2017</v>
      </c>
    </row>
    <row r="341" spans="1:6" ht="15" customHeight="1" x14ac:dyDescent="0.3">
      <c r="A341" s="42" t="s">
        <v>456</v>
      </c>
      <c r="B341" s="43">
        <v>42934</v>
      </c>
      <c r="C341" s="42" t="s">
        <v>26</v>
      </c>
      <c r="D341" s="44">
        <v>23.82</v>
      </c>
      <c r="E341" s="44">
        <v>19.12</v>
      </c>
      <c r="F341">
        <v>2017</v>
      </c>
    </row>
    <row r="342" spans="1:6" ht="15" customHeight="1" x14ac:dyDescent="0.3">
      <c r="A342" s="42" t="s">
        <v>457</v>
      </c>
      <c r="B342" s="43">
        <v>42948</v>
      </c>
      <c r="C342" s="42" t="s">
        <v>26</v>
      </c>
      <c r="D342" s="44">
        <v>23.84</v>
      </c>
      <c r="E342" s="44">
        <v>21.36</v>
      </c>
      <c r="F342">
        <v>2017</v>
      </c>
    </row>
    <row r="343" spans="1:6" ht="15" customHeight="1" x14ac:dyDescent="0.3">
      <c r="A343" s="42" t="s">
        <v>458</v>
      </c>
      <c r="B343" s="43">
        <v>42962</v>
      </c>
      <c r="C343" s="42" t="s">
        <v>26</v>
      </c>
      <c r="D343" s="44">
        <v>23.88</v>
      </c>
      <c r="E343" s="44">
        <v>21.14</v>
      </c>
      <c r="F343">
        <v>2017</v>
      </c>
    </row>
    <row r="344" spans="1:6" ht="15" customHeight="1" x14ac:dyDescent="0.3">
      <c r="A344" s="42" t="s">
        <v>459</v>
      </c>
      <c r="B344" s="43">
        <v>42975</v>
      </c>
      <c r="C344" s="42" t="s">
        <v>26</v>
      </c>
      <c r="D344" s="46">
        <v>22.84</v>
      </c>
      <c r="E344" s="46">
        <v>22.19</v>
      </c>
      <c r="F344">
        <v>2017</v>
      </c>
    </row>
    <row r="345" spans="1:6" ht="15" customHeight="1" x14ac:dyDescent="0.3">
      <c r="A345" s="42" t="s">
        <v>460</v>
      </c>
      <c r="B345" s="43">
        <v>43018</v>
      </c>
      <c r="C345" s="42" t="s">
        <v>26</v>
      </c>
      <c r="D345" s="44">
        <v>21.79</v>
      </c>
      <c r="E345" s="44">
        <v>21.22</v>
      </c>
      <c r="F345">
        <v>2017</v>
      </c>
    </row>
    <row r="346" spans="1:6" ht="15" customHeight="1" x14ac:dyDescent="0.3">
      <c r="A346" s="42" t="s">
        <v>461</v>
      </c>
      <c r="B346" s="43">
        <v>43052</v>
      </c>
      <c r="C346" s="42" t="s">
        <v>26</v>
      </c>
      <c r="D346" s="44">
        <v>14.86</v>
      </c>
      <c r="E346" s="44">
        <v>14.85</v>
      </c>
      <c r="F346">
        <v>2017</v>
      </c>
    </row>
    <row r="347" spans="1:6" ht="15" customHeight="1" x14ac:dyDescent="0.3">
      <c r="A347" s="42" t="s">
        <v>462</v>
      </c>
      <c r="B347" s="43">
        <v>43069</v>
      </c>
      <c r="C347" s="42" t="s">
        <v>26</v>
      </c>
      <c r="D347" s="44">
        <v>10.15</v>
      </c>
      <c r="E347" s="44">
        <v>11.55</v>
      </c>
      <c r="F347">
        <v>2017</v>
      </c>
    </row>
    <row r="348" spans="1:6" ht="15" customHeight="1" x14ac:dyDescent="0.3">
      <c r="A348" s="42" t="s">
        <v>463</v>
      </c>
      <c r="B348" s="43">
        <v>43111</v>
      </c>
      <c r="C348" s="42" t="s">
        <v>26</v>
      </c>
      <c r="D348" s="44">
        <v>1.06</v>
      </c>
      <c r="E348" s="44">
        <v>1.87</v>
      </c>
      <c r="F348">
        <v>2018</v>
      </c>
    </row>
    <row r="349" spans="1:6" ht="15" customHeight="1" x14ac:dyDescent="0.3">
      <c r="A349" s="42" t="s">
        <v>464</v>
      </c>
      <c r="B349" s="43">
        <v>43139</v>
      </c>
      <c r="C349" s="42" t="s">
        <v>26</v>
      </c>
      <c r="D349" s="45"/>
      <c r="E349" s="45"/>
      <c r="F349">
        <v>2018</v>
      </c>
    </row>
    <row r="350" spans="1:6" ht="15" customHeight="1" x14ac:dyDescent="0.3">
      <c r="A350" s="42" t="s">
        <v>466</v>
      </c>
      <c r="B350" s="43">
        <v>43178</v>
      </c>
      <c r="C350" s="42" t="s">
        <v>26</v>
      </c>
      <c r="D350" s="44">
        <v>3.53</v>
      </c>
      <c r="E350" s="44">
        <v>3.05</v>
      </c>
      <c r="F350">
        <v>2018</v>
      </c>
    </row>
    <row r="351" spans="1:6" ht="15" customHeight="1" x14ac:dyDescent="0.3">
      <c r="A351" s="42" t="s">
        <v>467</v>
      </c>
      <c r="B351" s="43">
        <v>43200</v>
      </c>
      <c r="C351" s="42" t="s">
        <v>26</v>
      </c>
      <c r="D351" s="44">
        <v>4.54</v>
      </c>
      <c r="E351" s="44">
        <v>4.5199999999999996</v>
      </c>
      <c r="F351">
        <v>2018</v>
      </c>
    </row>
    <row r="352" spans="1:6" ht="15" customHeight="1" x14ac:dyDescent="0.3">
      <c r="A352" s="42" t="s">
        <v>468</v>
      </c>
      <c r="B352" s="43">
        <v>43222</v>
      </c>
      <c r="C352" s="42" t="s">
        <v>26</v>
      </c>
      <c r="D352" s="44">
        <v>9.75</v>
      </c>
      <c r="E352" s="44">
        <v>6.98</v>
      </c>
      <c r="F352">
        <v>2018</v>
      </c>
    </row>
    <row r="353" spans="1:6" ht="15" customHeight="1" x14ac:dyDescent="0.3">
      <c r="A353" s="42" t="s">
        <v>469</v>
      </c>
      <c r="B353" s="43">
        <v>43256</v>
      </c>
      <c r="C353" s="42" t="s">
        <v>26</v>
      </c>
      <c r="D353" s="44">
        <v>16.48</v>
      </c>
      <c r="E353" s="44">
        <v>14.61</v>
      </c>
      <c r="F353">
        <v>2018</v>
      </c>
    </row>
    <row r="354" spans="1:6" ht="15" customHeight="1" x14ac:dyDescent="0.3">
      <c r="A354" s="42" t="s">
        <v>470</v>
      </c>
      <c r="B354" s="43">
        <v>43263</v>
      </c>
      <c r="C354" s="42" t="s">
        <v>26</v>
      </c>
      <c r="D354" s="44">
        <v>17.62</v>
      </c>
      <c r="E354" s="44">
        <v>12.83</v>
      </c>
      <c r="F354">
        <v>2018</v>
      </c>
    </row>
    <row r="355" spans="1:6" ht="15" customHeight="1" x14ac:dyDescent="0.3">
      <c r="A355" s="42" t="s">
        <v>471</v>
      </c>
      <c r="B355" s="43">
        <v>43286</v>
      </c>
      <c r="C355" s="42" t="s">
        <v>26</v>
      </c>
      <c r="D355" s="44">
        <v>24.6</v>
      </c>
      <c r="E355" s="44">
        <v>15.2</v>
      </c>
      <c r="F355">
        <v>2018</v>
      </c>
    </row>
    <row r="356" spans="1:6" ht="15" customHeight="1" x14ac:dyDescent="0.3">
      <c r="A356" s="42" t="s">
        <v>472</v>
      </c>
      <c r="B356" s="43">
        <v>43297</v>
      </c>
      <c r="C356" s="42" t="s">
        <v>26</v>
      </c>
      <c r="D356" s="44">
        <v>21.8</v>
      </c>
      <c r="E356" s="44">
        <v>16.82</v>
      </c>
      <c r="F356">
        <v>2018</v>
      </c>
    </row>
    <row r="357" spans="1:6" ht="15" customHeight="1" x14ac:dyDescent="0.3">
      <c r="A357" s="42" t="s">
        <v>473</v>
      </c>
      <c r="B357" s="43">
        <v>43314</v>
      </c>
      <c r="C357" s="42" t="s">
        <v>26</v>
      </c>
      <c r="D357" s="46">
        <v>23.86</v>
      </c>
      <c r="E357" s="46">
        <v>20.27</v>
      </c>
      <c r="F357">
        <v>2018</v>
      </c>
    </row>
    <row r="358" spans="1:6" ht="15" customHeight="1" x14ac:dyDescent="0.3">
      <c r="A358" s="42" t="s">
        <v>474</v>
      </c>
      <c r="B358" s="43">
        <v>43327</v>
      </c>
      <c r="C358" s="42" t="s">
        <v>26</v>
      </c>
      <c r="D358" s="44">
        <v>23.91</v>
      </c>
      <c r="E358" s="44">
        <v>22.21</v>
      </c>
      <c r="F358">
        <v>2018</v>
      </c>
    </row>
    <row r="359" spans="1:6" ht="15" customHeight="1" x14ac:dyDescent="0.3">
      <c r="A359" s="42" t="s">
        <v>475</v>
      </c>
      <c r="B359" s="43">
        <v>43339</v>
      </c>
      <c r="C359" s="42" t="s">
        <v>26</v>
      </c>
      <c r="D359" s="44">
        <v>23.88</v>
      </c>
      <c r="E359" s="44">
        <v>22.64</v>
      </c>
      <c r="F359">
        <v>2018</v>
      </c>
    </row>
    <row r="360" spans="1:6" ht="15" customHeight="1" x14ac:dyDescent="0.3">
      <c r="A360" s="42" t="s">
        <v>476</v>
      </c>
      <c r="B360" s="43">
        <v>43355</v>
      </c>
      <c r="C360" s="42" t="s">
        <v>26</v>
      </c>
      <c r="D360" s="44">
        <v>22.56</v>
      </c>
      <c r="E360" s="44">
        <v>22.51</v>
      </c>
      <c r="F360">
        <v>2018</v>
      </c>
    </row>
    <row r="361" spans="1:6" ht="15" customHeight="1" x14ac:dyDescent="0.3">
      <c r="A361" s="42" t="s">
        <v>477</v>
      </c>
      <c r="B361" s="43">
        <v>43376</v>
      </c>
      <c r="C361" s="42" t="s">
        <v>26</v>
      </c>
      <c r="D361" s="44">
        <v>21.27</v>
      </c>
      <c r="E361" s="44">
        <v>21.13</v>
      </c>
      <c r="F361">
        <v>2018</v>
      </c>
    </row>
    <row r="362" spans="1:6" ht="15" customHeight="1" x14ac:dyDescent="0.3">
      <c r="A362" s="42" t="s">
        <v>478</v>
      </c>
      <c r="B362" s="43">
        <v>43410</v>
      </c>
      <c r="C362" s="42" t="s">
        <v>26</v>
      </c>
      <c r="D362" s="44">
        <v>14.25</v>
      </c>
      <c r="E362" s="44">
        <v>14.36</v>
      </c>
      <c r="F362">
        <v>2018</v>
      </c>
    </row>
    <row r="363" spans="1:6" ht="15" customHeight="1" x14ac:dyDescent="0.3">
      <c r="A363" s="42" t="s">
        <v>479</v>
      </c>
      <c r="B363" s="43">
        <v>43437</v>
      </c>
      <c r="C363" s="42" t="s">
        <v>26</v>
      </c>
      <c r="D363" s="44">
        <v>8.15</v>
      </c>
      <c r="E363" s="44">
        <v>8.3800000000000008</v>
      </c>
      <c r="F363">
        <v>2018</v>
      </c>
    </row>
    <row r="364" spans="1:6" ht="15" customHeight="1" x14ac:dyDescent="0.3">
      <c r="A364" s="42" t="s">
        <v>6</v>
      </c>
      <c r="B364" s="43">
        <v>43468</v>
      </c>
      <c r="C364" s="42" t="s">
        <v>26</v>
      </c>
      <c r="D364" s="44">
        <v>5.49</v>
      </c>
      <c r="E364" s="44">
        <v>5.68</v>
      </c>
      <c r="F364">
        <v>2019</v>
      </c>
    </row>
    <row r="365" spans="1:6" ht="15" customHeight="1" x14ac:dyDescent="0.3">
      <c r="A365" s="42" t="s">
        <v>7</v>
      </c>
      <c r="B365" s="43">
        <v>43503</v>
      </c>
      <c r="C365" s="42" t="s">
        <v>26</v>
      </c>
      <c r="D365" s="44">
        <v>1.67</v>
      </c>
      <c r="E365" s="44">
        <v>1.77</v>
      </c>
      <c r="F365">
        <v>2019</v>
      </c>
    </row>
    <row r="366" spans="1:6" ht="15" customHeight="1" x14ac:dyDescent="0.3">
      <c r="A366" s="42" t="s">
        <v>9</v>
      </c>
      <c r="B366" s="43">
        <v>43529</v>
      </c>
      <c r="C366" s="42" t="s">
        <v>26</v>
      </c>
      <c r="D366" s="44">
        <v>1.89</v>
      </c>
      <c r="E366" s="44">
        <v>1.73</v>
      </c>
      <c r="F366">
        <v>2019</v>
      </c>
    </row>
    <row r="367" spans="1:6" ht="15" customHeight="1" x14ac:dyDescent="0.3">
      <c r="A367" s="42" t="s">
        <v>10</v>
      </c>
      <c r="B367" s="43">
        <v>43558</v>
      </c>
      <c r="C367" s="42" t="s">
        <v>26</v>
      </c>
      <c r="D367" s="44">
        <v>5.63</v>
      </c>
      <c r="E367" s="44">
        <v>3.95</v>
      </c>
      <c r="F367">
        <v>2019</v>
      </c>
    </row>
    <row r="368" spans="1:6" ht="15" customHeight="1" x14ac:dyDescent="0.3">
      <c r="A368" s="42" t="s">
        <v>11</v>
      </c>
      <c r="B368" s="43">
        <v>43592</v>
      </c>
      <c r="C368" s="42" t="s">
        <v>26</v>
      </c>
      <c r="D368" s="44">
        <v>11.46</v>
      </c>
      <c r="E368" s="44">
        <v>10.33</v>
      </c>
      <c r="F368">
        <v>2019</v>
      </c>
    </row>
    <row r="369" spans="1:6" ht="15" customHeight="1" x14ac:dyDescent="0.3">
      <c r="A369" s="42" t="s">
        <v>12</v>
      </c>
      <c r="B369" s="43">
        <v>43615</v>
      </c>
      <c r="C369" s="42" t="s">
        <v>26</v>
      </c>
      <c r="D369" s="44">
        <v>15.52</v>
      </c>
      <c r="E369" s="44">
        <v>11.87</v>
      </c>
      <c r="F369">
        <v>2019</v>
      </c>
    </row>
    <row r="370" spans="1:6" ht="15" customHeight="1" x14ac:dyDescent="0.3">
      <c r="A370" s="42" t="s">
        <v>13</v>
      </c>
      <c r="B370" s="43">
        <v>43628</v>
      </c>
      <c r="C370" s="42" t="s">
        <v>26</v>
      </c>
      <c r="D370" s="44">
        <v>16.760000000000002</v>
      </c>
      <c r="E370" s="44">
        <v>14.08</v>
      </c>
      <c r="F370">
        <v>2019</v>
      </c>
    </row>
    <row r="371" spans="1:6" ht="15" customHeight="1" x14ac:dyDescent="0.3">
      <c r="A371" s="42" t="s">
        <v>14</v>
      </c>
      <c r="B371" s="43">
        <v>43648</v>
      </c>
      <c r="C371" s="42" t="s">
        <v>26</v>
      </c>
      <c r="D371" s="44">
        <v>20.18</v>
      </c>
      <c r="E371" s="44">
        <v>14.76</v>
      </c>
      <c r="F371">
        <v>2019</v>
      </c>
    </row>
    <row r="372" spans="1:6" ht="15" customHeight="1" x14ac:dyDescent="0.3">
      <c r="A372" s="42" t="s">
        <v>15</v>
      </c>
      <c r="B372" s="43">
        <v>43661</v>
      </c>
      <c r="C372" s="42" t="s">
        <v>26</v>
      </c>
      <c r="D372" s="44">
        <v>22.36</v>
      </c>
      <c r="E372" s="46">
        <v>17.36</v>
      </c>
      <c r="F372">
        <v>2019</v>
      </c>
    </row>
    <row r="373" spans="1:6" ht="15" customHeight="1" x14ac:dyDescent="0.3">
      <c r="A373" s="42" t="s">
        <v>16</v>
      </c>
      <c r="B373" s="43">
        <v>43676</v>
      </c>
      <c r="C373" s="42" t="s">
        <v>26</v>
      </c>
      <c r="D373" s="44">
        <v>23.33</v>
      </c>
      <c r="E373" s="44">
        <v>18.21</v>
      </c>
      <c r="F373">
        <v>2019</v>
      </c>
    </row>
    <row r="374" spans="1:6" ht="15" customHeight="1" x14ac:dyDescent="0.3">
      <c r="A374" s="42" t="s">
        <v>17</v>
      </c>
      <c r="B374" s="43">
        <v>43689</v>
      </c>
      <c r="C374" s="42" t="s">
        <v>26</v>
      </c>
      <c r="D374" s="44">
        <v>22.91</v>
      </c>
      <c r="E374" s="44">
        <v>20.47</v>
      </c>
      <c r="F374">
        <v>2019</v>
      </c>
    </row>
    <row r="375" spans="1:6" ht="15" customHeight="1" x14ac:dyDescent="0.3">
      <c r="A375" s="42" t="s">
        <v>18</v>
      </c>
      <c r="B375" s="43">
        <v>43705</v>
      </c>
      <c r="C375" s="42" t="s">
        <v>26</v>
      </c>
      <c r="D375" s="44">
        <v>22.57</v>
      </c>
      <c r="E375" s="44">
        <v>22.34</v>
      </c>
      <c r="F375">
        <v>2019</v>
      </c>
    </row>
    <row r="376" spans="1:6" ht="15" customHeight="1" x14ac:dyDescent="0.3">
      <c r="A376" s="42" t="s">
        <v>19</v>
      </c>
      <c r="B376" s="43">
        <v>43718</v>
      </c>
      <c r="C376" s="42" t="s">
        <v>26</v>
      </c>
      <c r="D376" s="44">
        <v>21.99</v>
      </c>
      <c r="E376" s="44">
        <v>21.91</v>
      </c>
      <c r="F376">
        <v>2019</v>
      </c>
    </row>
    <row r="377" spans="1:6" ht="15" customHeight="1" x14ac:dyDescent="0.3">
      <c r="A377" s="42" t="s">
        <v>39</v>
      </c>
      <c r="B377" s="43">
        <v>43739</v>
      </c>
      <c r="C377" s="42" t="s">
        <v>26</v>
      </c>
      <c r="D377" s="44">
        <v>21.45</v>
      </c>
      <c r="E377" s="44">
        <v>21.39</v>
      </c>
      <c r="F377">
        <v>2019</v>
      </c>
    </row>
    <row r="378" spans="1:6" ht="15" customHeight="1" x14ac:dyDescent="0.3">
      <c r="A378" s="42" t="s">
        <v>40</v>
      </c>
      <c r="B378" s="43">
        <v>43774</v>
      </c>
      <c r="C378" s="42" t="s">
        <v>26</v>
      </c>
      <c r="D378" s="44">
        <v>14.93</v>
      </c>
      <c r="E378" s="44">
        <v>15.7</v>
      </c>
      <c r="F378">
        <v>2019</v>
      </c>
    </row>
    <row r="379" spans="1:6" ht="15" customHeight="1" x14ac:dyDescent="0.3">
      <c r="A379" s="42" t="s">
        <v>41</v>
      </c>
      <c r="B379" s="43">
        <v>43805</v>
      </c>
      <c r="C379" s="42" t="s">
        <v>26</v>
      </c>
      <c r="D379" s="44">
        <v>8.06</v>
      </c>
      <c r="E379" s="44">
        <v>8.09</v>
      </c>
      <c r="F379">
        <v>2019</v>
      </c>
    </row>
    <row r="380" spans="1:6" ht="15" customHeight="1" x14ac:dyDescent="0.3">
      <c r="A380" s="42" t="s">
        <v>502</v>
      </c>
      <c r="B380" s="43">
        <v>43839</v>
      </c>
      <c r="C380" s="42" t="s">
        <v>26</v>
      </c>
      <c r="D380" s="44">
        <v>4.71</v>
      </c>
      <c r="E380" s="44">
        <v>4.6900000000000004</v>
      </c>
      <c r="F380">
        <v>2020</v>
      </c>
    </row>
    <row r="381" spans="1:6" ht="15" customHeight="1" x14ac:dyDescent="0.3">
      <c r="A381" s="42" t="s">
        <v>503</v>
      </c>
      <c r="B381" s="43">
        <v>43864</v>
      </c>
      <c r="C381" s="42" t="s">
        <v>26</v>
      </c>
      <c r="D381" s="45"/>
      <c r="E381" s="45"/>
      <c r="F381">
        <v>2020</v>
      </c>
    </row>
    <row r="382" spans="1:6" ht="15" customHeight="1" x14ac:dyDescent="0.3">
      <c r="A382" s="42" t="s">
        <v>504</v>
      </c>
      <c r="B382" s="43">
        <v>43900</v>
      </c>
      <c r="C382" s="42" t="s">
        <v>26</v>
      </c>
      <c r="D382" s="44">
        <v>4.63</v>
      </c>
      <c r="E382" s="44">
        <v>4.37</v>
      </c>
      <c r="F382">
        <v>2020</v>
      </c>
    </row>
    <row r="383" spans="1:6" ht="15" customHeight="1" x14ac:dyDescent="0.3">
      <c r="A383" s="42" t="s">
        <v>510</v>
      </c>
      <c r="B383" s="43">
        <v>43999</v>
      </c>
      <c r="C383" s="42" t="s">
        <v>26</v>
      </c>
      <c r="D383" s="44">
        <v>18.260000000000002</v>
      </c>
      <c r="E383" s="44">
        <v>13.27</v>
      </c>
      <c r="F383">
        <v>2020</v>
      </c>
    </row>
    <row r="384" spans="1:6" ht="15" customHeight="1" x14ac:dyDescent="0.3">
      <c r="A384" s="42" t="s">
        <v>505</v>
      </c>
      <c r="B384" s="43">
        <v>44019</v>
      </c>
      <c r="C384" s="42" t="s">
        <v>26</v>
      </c>
      <c r="D384" s="44">
        <v>21.4</v>
      </c>
      <c r="E384" s="46">
        <v>16.690000000000001</v>
      </c>
      <c r="F384">
        <v>2020</v>
      </c>
    </row>
    <row r="385" spans="1:6" ht="15" customHeight="1" x14ac:dyDescent="0.3">
      <c r="A385" s="42" t="s">
        <v>511</v>
      </c>
      <c r="B385" s="43">
        <v>44032</v>
      </c>
      <c r="C385" s="42" t="s">
        <v>26</v>
      </c>
      <c r="D385" s="44">
        <v>24</v>
      </c>
      <c r="E385" s="44">
        <v>18.190000000000001</v>
      </c>
      <c r="F385">
        <v>2020</v>
      </c>
    </row>
    <row r="386" spans="1:6" ht="15" customHeight="1" x14ac:dyDescent="0.3">
      <c r="A386" s="42" t="s">
        <v>506</v>
      </c>
      <c r="B386" s="43">
        <v>44055</v>
      </c>
      <c r="C386" s="42" t="s">
        <v>26</v>
      </c>
      <c r="D386" s="44">
        <v>25.17</v>
      </c>
      <c r="E386" s="44">
        <v>21.65</v>
      </c>
      <c r="F386">
        <v>2020</v>
      </c>
    </row>
    <row r="387" spans="1:6" ht="15" customHeight="1" x14ac:dyDescent="0.3">
      <c r="A387" s="42" t="s">
        <v>512</v>
      </c>
      <c r="B387" s="43">
        <v>44075</v>
      </c>
      <c r="C387" s="42" t="s">
        <v>26</v>
      </c>
      <c r="D387" s="44">
        <v>24.42</v>
      </c>
      <c r="E387" s="44">
        <v>23.05</v>
      </c>
      <c r="F387">
        <v>2020</v>
      </c>
    </row>
    <row r="388" spans="1:6" ht="15" customHeight="1" x14ac:dyDescent="0.3">
      <c r="A388" s="42" t="s">
        <v>507</v>
      </c>
      <c r="B388" s="43">
        <v>44083</v>
      </c>
      <c r="C388" s="42" t="s">
        <v>26</v>
      </c>
      <c r="D388" s="44">
        <v>24.06</v>
      </c>
      <c r="E388" s="44">
        <v>23.15</v>
      </c>
      <c r="F388">
        <v>2020</v>
      </c>
    </row>
    <row r="389" spans="1:6" ht="15" customHeight="1" x14ac:dyDescent="0.3">
      <c r="A389" s="42" t="s">
        <v>508</v>
      </c>
      <c r="B389" s="43">
        <v>44118</v>
      </c>
      <c r="C389" s="42" t="s">
        <v>26</v>
      </c>
      <c r="D389" s="44">
        <v>18.399999999999999</v>
      </c>
      <c r="E389" s="44">
        <v>18.5</v>
      </c>
      <c r="F389">
        <v>2020</v>
      </c>
    </row>
    <row r="390" spans="1:6" ht="15" customHeight="1" x14ac:dyDescent="0.3">
      <c r="A390" s="42" t="s">
        <v>509</v>
      </c>
      <c r="B390" s="43">
        <v>44141</v>
      </c>
      <c r="C390" s="42" t="s">
        <v>26</v>
      </c>
      <c r="D390" s="44">
        <v>14.44</v>
      </c>
      <c r="E390" s="44">
        <v>14.76</v>
      </c>
      <c r="F390">
        <v>2020</v>
      </c>
    </row>
    <row r="391" spans="1:6" ht="15" customHeight="1" x14ac:dyDescent="0.3">
      <c r="A391" s="52" t="s">
        <v>522</v>
      </c>
      <c r="B391" s="53">
        <v>44265</v>
      </c>
      <c r="C391" s="52" t="s">
        <v>26</v>
      </c>
      <c r="D391" s="54">
        <v>2.3199999999999998</v>
      </c>
      <c r="E391" s="54">
        <v>3.15</v>
      </c>
      <c r="F391">
        <v>2021</v>
      </c>
    </row>
    <row r="392" spans="1:6" ht="15" customHeight="1" x14ac:dyDescent="0.3">
      <c r="A392" s="52" t="s">
        <v>523</v>
      </c>
      <c r="B392" s="53">
        <v>44293</v>
      </c>
      <c r="C392" s="52" t="s">
        <v>26</v>
      </c>
      <c r="D392" s="54">
        <v>5.24</v>
      </c>
      <c r="E392" s="54">
        <v>7.73</v>
      </c>
      <c r="F392">
        <v>2021</v>
      </c>
    </row>
    <row r="393" spans="1:6" ht="15" customHeight="1" x14ac:dyDescent="0.3">
      <c r="A393" s="52" t="s">
        <v>524</v>
      </c>
      <c r="B393" s="53">
        <v>44321</v>
      </c>
      <c r="C393" s="52" t="s">
        <v>26</v>
      </c>
      <c r="D393" s="54">
        <v>9.33</v>
      </c>
      <c r="E393" s="54">
        <v>10.25</v>
      </c>
      <c r="F393">
        <v>2021</v>
      </c>
    </row>
    <row r="394" spans="1:6" ht="15" customHeight="1" x14ac:dyDescent="0.3">
      <c r="A394" s="52" t="s">
        <v>525</v>
      </c>
      <c r="B394" s="53">
        <v>44355</v>
      </c>
      <c r="C394" s="52" t="s">
        <v>26</v>
      </c>
      <c r="D394" s="54">
        <v>13.16</v>
      </c>
      <c r="E394" s="54">
        <v>17.600000000000001</v>
      </c>
      <c r="F394">
        <v>2021</v>
      </c>
    </row>
    <row r="395" spans="1:6" ht="15" customHeight="1" x14ac:dyDescent="0.3">
      <c r="A395" s="52" t="s">
        <v>526</v>
      </c>
      <c r="B395" s="53">
        <v>44369</v>
      </c>
      <c r="C395" s="52" t="s">
        <v>26</v>
      </c>
      <c r="D395" s="54">
        <v>14.08</v>
      </c>
      <c r="E395" s="54">
        <v>19.05</v>
      </c>
      <c r="F395">
        <v>2021</v>
      </c>
    </row>
    <row r="396" spans="1:6" ht="15" customHeight="1" x14ac:dyDescent="0.3">
      <c r="A396" s="52" t="s">
        <v>527</v>
      </c>
      <c r="B396" s="53">
        <v>44385</v>
      </c>
      <c r="C396" s="52" t="s">
        <v>26</v>
      </c>
      <c r="D396" s="54">
        <v>17.059999999999999</v>
      </c>
      <c r="E396" s="54">
        <v>22</v>
      </c>
      <c r="F396">
        <v>2021</v>
      </c>
    </row>
    <row r="397" spans="1:6" ht="15" customHeight="1" x14ac:dyDescent="0.3">
      <c r="A397" s="52" t="s">
        <v>528</v>
      </c>
      <c r="B397" s="53">
        <v>44396</v>
      </c>
      <c r="C397" s="52" t="s">
        <v>26</v>
      </c>
      <c r="D397" s="54">
        <v>18.39</v>
      </c>
      <c r="E397" s="54">
        <v>23.68</v>
      </c>
      <c r="F397">
        <v>2021</v>
      </c>
    </row>
    <row r="398" spans="1:6" ht="15" customHeight="1" x14ac:dyDescent="0.3">
      <c r="A398" s="52" t="s">
        <v>529</v>
      </c>
      <c r="B398" s="53">
        <v>44411</v>
      </c>
      <c r="C398" s="52" t="s">
        <v>26</v>
      </c>
      <c r="D398" s="54">
        <v>19.920000000000002</v>
      </c>
      <c r="E398" s="54">
        <v>22.51</v>
      </c>
      <c r="F398">
        <v>2021</v>
      </c>
    </row>
    <row r="399" spans="1:6" ht="15" customHeight="1" x14ac:dyDescent="0.3">
      <c r="A399" s="52" t="s">
        <v>530</v>
      </c>
      <c r="B399" s="53">
        <v>44424</v>
      </c>
      <c r="C399" s="52" t="s">
        <v>26</v>
      </c>
      <c r="D399" s="54">
        <v>21.47</v>
      </c>
      <c r="E399" s="54">
        <v>24.5</v>
      </c>
      <c r="F399">
        <v>2021</v>
      </c>
    </row>
    <row r="400" spans="1:6" ht="15" customHeight="1" x14ac:dyDescent="0.3">
      <c r="A400" s="52" t="s">
        <v>531</v>
      </c>
      <c r="B400" s="53">
        <v>44439</v>
      </c>
      <c r="C400" s="52" t="s">
        <v>26</v>
      </c>
      <c r="D400" s="54">
        <v>22.86</v>
      </c>
      <c r="E400" s="54">
        <v>24.29</v>
      </c>
      <c r="F400">
        <v>2021</v>
      </c>
    </row>
    <row r="401" spans="1:6" ht="15" customHeight="1" x14ac:dyDescent="0.3">
      <c r="A401" s="52" t="s">
        <v>532</v>
      </c>
      <c r="B401" s="53">
        <v>44452</v>
      </c>
      <c r="C401" s="52" t="s">
        <v>26</v>
      </c>
      <c r="D401" s="54">
        <v>22.64</v>
      </c>
      <c r="E401" s="54">
        <v>22.93</v>
      </c>
      <c r="F401">
        <v>2021</v>
      </c>
    </row>
    <row r="402" spans="1:6" ht="15" customHeight="1" x14ac:dyDescent="0.3">
      <c r="A402" s="52" t="s">
        <v>533</v>
      </c>
      <c r="B402" s="53">
        <v>44474</v>
      </c>
      <c r="C402" s="52" t="s">
        <v>26</v>
      </c>
      <c r="D402" s="54">
        <v>21.29</v>
      </c>
      <c r="E402" s="54">
        <v>21.31</v>
      </c>
      <c r="F402">
        <v>2021</v>
      </c>
    </row>
    <row r="403" spans="1:6" ht="15" customHeight="1" x14ac:dyDescent="0.3">
      <c r="A403" s="52" t="s">
        <v>534</v>
      </c>
      <c r="B403" s="53">
        <v>44508</v>
      </c>
      <c r="C403" s="52" t="s">
        <v>26</v>
      </c>
      <c r="D403" s="54">
        <v>15.37</v>
      </c>
      <c r="E403" s="54">
        <v>15.56</v>
      </c>
      <c r="F403">
        <v>2021</v>
      </c>
    </row>
    <row r="404" spans="1:6" ht="15" customHeight="1" x14ac:dyDescent="0.3">
      <c r="A404" s="52" t="s">
        <v>535</v>
      </c>
      <c r="B404" s="53">
        <v>44537</v>
      </c>
      <c r="C404" s="52" t="s">
        <v>26</v>
      </c>
      <c r="D404" s="54">
        <v>10.25</v>
      </c>
      <c r="E404" s="54">
        <v>10.220000000000001</v>
      </c>
      <c r="F404">
        <v>2021</v>
      </c>
    </row>
    <row r="405" spans="1:6" ht="15" customHeight="1" x14ac:dyDescent="0.3">
      <c r="A405" s="52" t="s">
        <v>539</v>
      </c>
      <c r="B405" s="53">
        <v>44594</v>
      </c>
      <c r="C405" s="52" t="s">
        <v>26</v>
      </c>
      <c r="D405" s="54">
        <v>2.2400000000000002</v>
      </c>
      <c r="E405" s="54">
        <v>2.0099999999999998</v>
      </c>
      <c r="F405">
        <v>2022</v>
      </c>
    </row>
    <row r="406" spans="1:6" ht="15" customHeight="1" x14ac:dyDescent="0.3">
      <c r="A406" s="52" t="s">
        <v>540</v>
      </c>
      <c r="B406" s="53">
        <v>44607</v>
      </c>
      <c r="C406" s="52" t="s">
        <v>26</v>
      </c>
      <c r="D406" s="54">
        <v>1.93</v>
      </c>
      <c r="E406" s="54">
        <v>2.11</v>
      </c>
      <c r="F406">
        <v>2022</v>
      </c>
    </row>
    <row r="407" spans="1:6" ht="15" customHeight="1" x14ac:dyDescent="0.3">
      <c r="A407" s="52" t="s">
        <v>541</v>
      </c>
      <c r="B407" s="53">
        <v>44623</v>
      </c>
      <c r="C407" s="52" t="s">
        <v>26</v>
      </c>
      <c r="D407" s="54">
        <v>2.91</v>
      </c>
      <c r="E407" s="54">
        <v>3.02</v>
      </c>
      <c r="F407">
        <v>2022</v>
      </c>
    </row>
    <row r="408" spans="1:6" ht="15" customHeight="1" x14ac:dyDescent="0.3">
      <c r="A408" s="52" t="s">
        <v>542</v>
      </c>
      <c r="B408" s="53">
        <v>44656</v>
      </c>
      <c r="C408" s="52" t="s">
        <v>26</v>
      </c>
      <c r="D408" s="54">
        <v>5.27</v>
      </c>
      <c r="E408" s="54">
        <v>5.97</v>
      </c>
      <c r="F408">
        <v>2022</v>
      </c>
    </row>
    <row r="409" spans="1:6" ht="15" customHeight="1" x14ac:dyDescent="0.3">
      <c r="A409" s="52" t="s">
        <v>543</v>
      </c>
      <c r="B409" s="53">
        <v>44686</v>
      </c>
      <c r="C409" s="52" t="s">
        <v>26</v>
      </c>
      <c r="D409" s="54">
        <v>8.89</v>
      </c>
      <c r="E409" s="54">
        <v>10.95</v>
      </c>
      <c r="F409">
        <v>2022</v>
      </c>
    </row>
    <row r="410" spans="1:6" ht="15" customHeight="1" x14ac:dyDescent="0.3">
      <c r="A410" s="52" t="s">
        <v>544</v>
      </c>
      <c r="B410" s="53">
        <v>44715</v>
      </c>
      <c r="C410" s="52" t="s">
        <v>26</v>
      </c>
      <c r="D410" s="54">
        <v>12.9</v>
      </c>
      <c r="E410" s="54">
        <v>16.64</v>
      </c>
      <c r="F410">
        <v>2022</v>
      </c>
    </row>
    <row r="411" spans="1:6" ht="15" customHeight="1" x14ac:dyDescent="0.3">
      <c r="A411" s="52" t="s">
        <v>545</v>
      </c>
      <c r="B411" s="53">
        <v>44726</v>
      </c>
      <c r="C411" s="52" t="s">
        <v>26</v>
      </c>
      <c r="D411" s="54">
        <v>12.62</v>
      </c>
      <c r="E411" s="54">
        <v>17.45</v>
      </c>
      <c r="F411">
        <v>2022</v>
      </c>
    </row>
    <row r="412" spans="1:6" ht="15" customHeight="1" x14ac:dyDescent="0.3">
      <c r="A412" s="52" t="s">
        <v>546</v>
      </c>
      <c r="B412" s="53">
        <v>44749</v>
      </c>
      <c r="C412" s="52" t="s">
        <v>26</v>
      </c>
      <c r="D412" s="54">
        <v>16.5</v>
      </c>
      <c r="E412" s="54">
        <v>19.899999999999999</v>
      </c>
      <c r="F412">
        <v>2022</v>
      </c>
    </row>
    <row r="413" spans="1:6" ht="15" customHeight="1" x14ac:dyDescent="0.3">
      <c r="A413" s="52" t="s">
        <v>547</v>
      </c>
      <c r="B413" s="53">
        <v>44761</v>
      </c>
      <c r="C413" s="52" t="s">
        <v>26</v>
      </c>
      <c r="D413" s="54">
        <v>18.8</v>
      </c>
      <c r="E413" s="54">
        <v>22.31</v>
      </c>
      <c r="F413">
        <v>2022</v>
      </c>
    </row>
    <row r="414" spans="1:6" ht="15" customHeight="1" x14ac:dyDescent="0.3">
      <c r="A414" s="52" t="s">
        <v>548</v>
      </c>
      <c r="B414" s="53">
        <v>44775</v>
      </c>
      <c r="C414" s="52" t="s">
        <v>26</v>
      </c>
      <c r="D414" s="54">
        <v>19.71</v>
      </c>
      <c r="E414" s="54">
        <v>22.72</v>
      </c>
      <c r="F414">
        <v>2022</v>
      </c>
    </row>
    <row r="415" spans="1:6" ht="15" customHeight="1" x14ac:dyDescent="0.3">
      <c r="A415" s="52" t="s">
        <v>549</v>
      </c>
      <c r="B415" s="53">
        <v>44790</v>
      </c>
      <c r="C415" s="52" t="s">
        <v>26</v>
      </c>
      <c r="D415" s="54">
        <v>21.73</v>
      </c>
      <c r="E415" s="54">
        <v>23.03</v>
      </c>
      <c r="F415">
        <v>2022</v>
      </c>
    </row>
    <row r="416" spans="1:6" ht="15" customHeight="1" x14ac:dyDescent="0.3">
      <c r="A416" s="52" t="s">
        <v>550</v>
      </c>
      <c r="B416" s="53">
        <v>44805</v>
      </c>
      <c r="C416" s="52" t="s">
        <v>26</v>
      </c>
      <c r="D416" s="54">
        <v>23.23</v>
      </c>
      <c r="E416" s="54">
        <v>24.55</v>
      </c>
      <c r="F416">
        <v>2022</v>
      </c>
    </row>
    <row r="417" spans="1:6" ht="15" customHeight="1" x14ac:dyDescent="0.3">
      <c r="A417" s="52" t="s">
        <v>551</v>
      </c>
      <c r="B417" s="53">
        <v>44817</v>
      </c>
      <c r="C417" s="52" t="s">
        <v>26</v>
      </c>
      <c r="D417" s="54">
        <v>23.25</v>
      </c>
      <c r="E417" s="54">
        <v>23.49</v>
      </c>
      <c r="F417">
        <v>2022</v>
      </c>
    </row>
    <row r="418" spans="1:6" ht="15" customHeight="1" x14ac:dyDescent="0.3">
      <c r="A418" s="52" t="s">
        <v>552</v>
      </c>
      <c r="B418" s="53">
        <v>44845</v>
      </c>
      <c r="C418" s="52" t="s">
        <v>26</v>
      </c>
      <c r="D418" s="54">
        <v>17.850000000000001</v>
      </c>
      <c r="E418" s="54">
        <v>18.43</v>
      </c>
      <c r="F418">
        <v>2022</v>
      </c>
    </row>
    <row r="419" spans="1:6" ht="15" customHeight="1" x14ac:dyDescent="0.3">
      <c r="A419" s="52" t="s">
        <v>553</v>
      </c>
      <c r="B419" s="53">
        <v>44874</v>
      </c>
      <c r="C419" s="52" t="s">
        <v>26</v>
      </c>
      <c r="D419" s="54">
        <v>15.71</v>
      </c>
      <c r="E419" s="54">
        <v>15.73</v>
      </c>
      <c r="F419">
        <v>2022</v>
      </c>
    </row>
    <row r="420" spans="1:6" ht="15" customHeight="1" x14ac:dyDescent="0.3">
      <c r="A420" s="52" t="s">
        <v>556</v>
      </c>
      <c r="B420" s="53">
        <v>44900</v>
      </c>
      <c r="C420" s="52" t="s">
        <v>26</v>
      </c>
      <c r="D420" s="54">
        <v>9.65</v>
      </c>
      <c r="E420" s="54">
        <v>10.59</v>
      </c>
      <c r="F420">
        <v>2022</v>
      </c>
    </row>
    <row r="421" spans="1:6" ht="15" customHeight="1" x14ac:dyDescent="0.3">
      <c r="A421" s="116" t="s">
        <v>557</v>
      </c>
      <c r="B421" s="117">
        <v>44931</v>
      </c>
      <c r="C421" s="116" t="s">
        <v>26</v>
      </c>
      <c r="D421" s="118">
        <v>5.51</v>
      </c>
      <c r="E421" s="118">
        <v>5.61</v>
      </c>
      <c r="F421">
        <v>2023</v>
      </c>
    </row>
    <row r="422" spans="1:6" ht="15" customHeight="1" x14ac:dyDescent="0.3">
      <c r="A422" s="116" t="s">
        <v>558</v>
      </c>
      <c r="B422" s="117">
        <v>44964</v>
      </c>
      <c r="C422" s="116" t="s">
        <v>26</v>
      </c>
      <c r="D422" s="118">
        <v>3.9</v>
      </c>
      <c r="E422" s="118">
        <v>4.01</v>
      </c>
      <c r="F422">
        <v>2023</v>
      </c>
    </row>
    <row r="423" spans="1:6" ht="15" customHeight="1" x14ac:dyDescent="0.3">
      <c r="A423" s="116" t="s">
        <v>559</v>
      </c>
      <c r="B423" s="117">
        <v>45034</v>
      </c>
      <c r="C423" s="116" t="s">
        <v>26</v>
      </c>
      <c r="D423" s="118">
        <v>9.2200000000000006</v>
      </c>
      <c r="E423" s="118">
        <v>8.41</v>
      </c>
      <c r="F423">
        <v>2023</v>
      </c>
    </row>
    <row r="424" spans="1:6" ht="15" customHeight="1" x14ac:dyDescent="0.3">
      <c r="A424" s="116" t="s">
        <v>560</v>
      </c>
      <c r="B424" s="117">
        <v>45050</v>
      </c>
      <c r="C424" s="116" t="s">
        <v>26</v>
      </c>
      <c r="D424" s="118">
        <v>11.82</v>
      </c>
      <c r="E424" s="118">
        <v>10.3</v>
      </c>
      <c r="F424">
        <v>2023</v>
      </c>
    </row>
    <row r="425" spans="1:6" ht="15" customHeight="1" x14ac:dyDescent="0.3">
      <c r="A425" s="116" t="s">
        <v>561</v>
      </c>
      <c r="B425" s="117">
        <v>45078</v>
      </c>
      <c r="C425" s="116" t="s">
        <v>26</v>
      </c>
      <c r="D425" s="118">
        <v>17.77</v>
      </c>
      <c r="E425" s="118">
        <v>14.01</v>
      </c>
      <c r="F425">
        <v>2023</v>
      </c>
    </row>
    <row r="426" spans="1:6" ht="15" customHeight="1" x14ac:dyDescent="0.3">
      <c r="A426" s="116" t="s">
        <v>562</v>
      </c>
      <c r="B426" s="117">
        <v>45100</v>
      </c>
      <c r="C426" s="116" t="s">
        <v>26</v>
      </c>
      <c r="D426" s="118">
        <v>18.13</v>
      </c>
      <c r="E426" s="118">
        <v>17.91</v>
      </c>
      <c r="F426">
        <v>2023</v>
      </c>
    </row>
    <row r="427" spans="1:6" ht="15" customHeight="1" x14ac:dyDescent="0.3">
      <c r="A427" s="116" t="s">
        <v>563</v>
      </c>
      <c r="B427" s="117">
        <v>45117</v>
      </c>
      <c r="C427" s="116" t="s">
        <v>26</v>
      </c>
      <c r="D427" s="118">
        <v>22.57</v>
      </c>
      <c r="E427" s="118">
        <v>18.07</v>
      </c>
      <c r="F427">
        <v>2023</v>
      </c>
    </row>
    <row r="428" spans="1:6" ht="15" customHeight="1" x14ac:dyDescent="0.3">
      <c r="A428" s="116" t="s">
        <v>564</v>
      </c>
      <c r="B428" s="117">
        <v>45124</v>
      </c>
      <c r="C428" s="116" t="s">
        <v>26</v>
      </c>
      <c r="D428" s="118">
        <v>24.69</v>
      </c>
      <c r="E428" s="118">
        <v>18.75</v>
      </c>
      <c r="F428">
        <v>2023</v>
      </c>
    </row>
    <row r="429" spans="1:6" ht="15" customHeight="1" x14ac:dyDescent="0.3">
      <c r="A429" s="116" t="s">
        <v>565</v>
      </c>
      <c r="B429" s="117">
        <v>45140</v>
      </c>
      <c r="C429" s="116" t="s">
        <v>26</v>
      </c>
      <c r="D429" s="118">
        <v>22.84</v>
      </c>
      <c r="E429" s="118">
        <v>20.05</v>
      </c>
      <c r="F429">
        <v>2023</v>
      </c>
    </row>
    <row r="430" spans="1:6" ht="15" customHeight="1" x14ac:dyDescent="0.3">
      <c r="A430" s="116" t="s">
        <v>566</v>
      </c>
      <c r="B430" s="117">
        <v>45152</v>
      </c>
      <c r="C430" s="116" t="s">
        <v>26</v>
      </c>
      <c r="D430" s="118">
        <v>23.76</v>
      </c>
      <c r="E430" s="118">
        <v>21.3</v>
      </c>
      <c r="F430">
        <v>2023</v>
      </c>
    </row>
    <row r="431" spans="1:6" ht="15" customHeight="1" x14ac:dyDescent="0.3">
      <c r="A431" s="116" t="s">
        <v>567</v>
      </c>
      <c r="B431" s="117">
        <v>45176</v>
      </c>
      <c r="C431" s="116" t="s">
        <v>26</v>
      </c>
      <c r="D431" s="118">
        <v>24.17</v>
      </c>
      <c r="E431" s="118">
        <v>22.42</v>
      </c>
      <c r="F431">
        <v>2023</v>
      </c>
    </row>
    <row r="432" spans="1:6" ht="15" customHeight="1" x14ac:dyDescent="0.3">
      <c r="A432" s="116" t="s">
        <v>568</v>
      </c>
      <c r="B432" s="117">
        <v>45209</v>
      </c>
      <c r="C432" s="116" t="s">
        <v>26</v>
      </c>
      <c r="D432" s="118">
        <v>18.649999999999999</v>
      </c>
      <c r="E432" s="118">
        <v>19.07</v>
      </c>
      <c r="F432">
        <v>2023</v>
      </c>
    </row>
    <row r="433" spans="1:6" ht="15" customHeight="1" x14ac:dyDescent="0.3">
      <c r="A433" s="116" t="s">
        <v>569</v>
      </c>
      <c r="B433" s="117">
        <v>45238</v>
      </c>
      <c r="C433" s="116" t="s">
        <v>26</v>
      </c>
      <c r="D433" s="118">
        <v>14.9</v>
      </c>
      <c r="E433" s="118">
        <v>15.02</v>
      </c>
      <c r="F433">
        <v>2023</v>
      </c>
    </row>
    <row r="434" spans="1:6" ht="15" customHeight="1" x14ac:dyDescent="0.3">
      <c r="A434" s="116" t="s">
        <v>570</v>
      </c>
      <c r="B434" s="117">
        <v>45266</v>
      </c>
      <c r="C434" s="116" t="s">
        <v>26</v>
      </c>
      <c r="D434" s="118">
        <v>9.06</v>
      </c>
      <c r="E434" s="118">
        <v>9.77</v>
      </c>
      <c r="F434">
        <v>2023</v>
      </c>
    </row>
    <row r="435" spans="1:6" ht="15" customHeight="1" x14ac:dyDescent="0.3">
      <c r="A435" s="52" t="s">
        <v>571</v>
      </c>
      <c r="B435" s="53">
        <v>45299</v>
      </c>
      <c r="C435" s="52" t="s">
        <v>26</v>
      </c>
      <c r="D435" s="54">
        <v>6.38</v>
      </c>
      <c r="E435" s="54">
        <v>6.93</v>
      </c>
      <c r="F435">
        <v>2024</v>
      </c>
    </row>
    <row r="436" spans="1:6" ht="15" customHeight="1" x14ac:dyDescent="0.3">
      <c r="A436" s="52" t="s">
        <v>572</v>
      </c>
      <c r="B436" s="53">
        <v>45328</v>
      </c>
      <c r="C436" s="52" t="s">
        <v>26</v>
      </c>
      <c r="D436" s="54">
        <v>4.0199999999999996</v>
      </c>
      <c r="E436" s="54">
        <v>3.82</v>
      </c>
      <c r="F436">
        <v>2024</v>
      </c>
    </row>
    <row r="437" spans="1:6" ht="15" customHeight="1" x14ac:dyDescent="0.3">
      <c r="A437" s="52" t="s">
        <v>573</v>
      </c>
      <c r="B437" s="53">
        <v>45344</v>
      </c>
      <c r="C437" s="52" t="s">
        <v>26</v>
      </c>
      <c r="D437" s="54">
        <v>3.55</v>
      </c>
      <c r="E437" s="54">
        <v>3.76</v>
      </c>
      <c r="F437">
        <v>2024</v>
      </c>
    </row>
    <row r="438" spans="1:6" ht="15" customHeight="1" x14ac:dyDescent="0.3">
      <c r="A438" s="52" t="s">
        <v>574</v>
      </c>
      <c r="B438" s="53">
        <v>45357</v>
      </c>
      <c r="C438" s="52" t="s">
        <v>26</v>
      </c>
      <c r="D438" s="54">
        <v>4.67</v>
      </c>
      <c r="E438" s="54">
        <v>4.25</v>
      </c>
      <c r="F438">
        <v>2024</v>
      </c>
    </row>
    <row r="439" spans="1:6" ht="15" customHeight="1" x14ac:dyDescent="0.3">
      <c r="A439" s="52" t="s">
        <v>575</v>
      </c>
      <c r="B439" s="53">
        <v>45369</v>
      </c>
      <c r="C439" s="52" t="s">
        <v>26</v>
      </c>
      <c r="D439" s="54">
        <v>6.51</v>
      </c>
      <c r="E439" s="54">
        <v>5.94</v>
      </c>
      <c r="F439">
        <v>2024</v>
      </c>
    </row>
    <row r="440" spans="1:6" ht="15" customHeight="1" x14ac:dyDescent="0.3">
      <c r="A440" s="52" t="s">
        <v>576</v>
      </c>
      <c r="B440" s="53">
        <v>45390</v>
      </c>
      <c r="C440" s="52" t="s">
        <v>26</v>
      </c>
      <c r="D440" s="54">
        <v>7.08</v>
      </c>
      <c r="E440" s="54">
        <v>6.49</v>
      </c>
      <c r="F440">
        <v>2024</v>
      </c>
    </row>
    <row r="441" spans="1:6" ht="15" customHeight="1" x14ac:dyDescent="0.3">
      <c r="A441" s="52" t="s">
        <v>577</v>
      </c>
      <c r="B441" s="53">
        <v>45415</v>
      </c>
      <c r="C441" s="52" t="s">
        <v>26</v>
      </c>
      <c r="D441" s="54">
        <v>12.24</v>
      </c>
      <c r="E441" s="54">
        <v>10.7</v>
      </c>
      <c r="F441">
        <v>2024</v>
      </c>
    </row>
    <row r="442" spans="1:6" ht="15" customHeight="1" x14ac:dyDescent="0.3">
      <c r="A442" s="52" t="s">
        <v>578</v>
      </c>
      <c r="B442" s="53">
        <v>45447</v>
      </c>
      <c r="C442" s="52" t="s">
        <v>26</v>
      </c>
      <c r="D442" s="54">
        <v>18.690000000000001</v>
      </c>
      <c r="E442" s="54">
        <v>11.88</v>
      </c>
      <c r="F442">
        <v>2024</v>
      </c>
    </row>
    <row r="443" spans="1:6" ht="15" customHeight="1" x14ac:dyDescent="0.3">
      <c r="A443" s="52" t="s">
        <v>579</v>
      </c>
      <c r="B443" s="53">
        <v>45460</v>
      </c>
      <c r="C443" s="52" t="s">
        <v>26</v>
      </c>
      <c r="D443" s="54">
        <v>18.91</v>
      </c>
      <c r="E443" s="54">
        <v>13.19</v>
      </c>
      <c r="F443">
        <v>2024</v>
      </c>
    </row>
    <row r="444" spans="1:6" ht="15" customHeight="1" x14ac:dyDescent="0.3">
      <c r="A444" s="52" t="s">
        <v>580</v>
      </c>
      <c r="B444" s="53">
        <v>45475</v>
      </c>
      <c r="C444" s="52" t="s">
        <v>26</v>
      </c>
      <c r="D444" s="54">
        <v>19.45</v>
      </c>
      <c r="E444" s="54">
        <v>16.27</v>
      </c>
      <c r="F444">
        <v>2024</v>
      </c>
    </row>
    <row r="445" spans="1:6" ht="15" customHeight="1" x14ac:dyDescent="0.3">
      <c r="A445" s="52" t="s">
        <v>581</v>
      </c>
      <c r="B445" s="53">
        <v>45489</v>
      </c>
      <c r="C445" s="52" t="s">
        <v>26</v>
      </c>
      <c r="D445" s="54">
        <v>23.98</v>
      </c>
      <c r="E445" s="54">
        <v>17.440000000000001</v>
      </c>
      <c r="F445">
        <v>2024</v>
      </c>
    </row>
    <row r="446" spans="1:6" ht="15" customHeight="1" x14ac:dyDescent="0.3">
      <c r="A446" s="52" t="s">
        <v>582</v>
      </c>
      <c r="B446" s="53">
        <v>45504</v>
      </c>
      <c r="C446" s="52" t="s">
        <v>26</v>
      </c>
      <c r="D446" s="54">
        <v>24.17</v>
      </c>
      <c r="E446" s="54">
        <v>20.54</v>
      </c>
      <c r="F446">
        <v>2024</v>
      </c>
    </row>
    <row r="447" spans="1:6" ht="15" customHeight="1" x14ac:dyDescent="0.3">
      <c r="A447" s="52" t="s">
        <v>583</v>
      </c>
      <c r="B447" s="53">
        <v>45516</v>
      </c>
      <c r="C447" s="52" t="s">
        <v>26</v>
      </c>
      <c r="D447" s="54">
        <v>23.48</v>
      </c>
      <c r="E447" s="54">
        <v>22.15</v>
      </c>
      <c r="F447">
        <v>2024</v>
      </c>
    </row>
    <row r="448" spans="1:6" ht="15" customHeight="1" x14ac:dyDescent="0.3">
      <c r="A448" s="52" t="s">
        <v>584</v>
      </c>
      <c r="B448" s="53">
        <v>45531</v>
      </c>
      <c r="C448" s="52" t="s">
        <v>26</v>
      </c>
      <c r="D448" s="54">
        <v>23.39</v>
      </c>
      <c r="E448" s="54">
        <v>21.73</v>
      </c>
      <c r="F448">
        <v>2024</v>
      </c>
    </row>
    <row r="449" spans="1:6" ht="15" customHeight="1" x14ac:dyDescent="0.3">
      <c r="A449" s="132" t="s">
        <v>585</v>
      </c>
      <c r="B449" s="34">
        <v>45568</v>
      </c>
      <c r="C449" s="132" t="s">
        <v>26</v>
      </c>
      <c r="D449" s="133">
        <v>20.55</v>
      </c>
      <c r="E449" s="133">
        <v>20.45</v>
      </c>
      <c r="F449">
        <v>2024</v>
      </c>
    </row>
    <row r="450" spans="1:6" ht="15" customHeight="1" x14ac:dyDescent="0.3">
      <c r="A450" s="160" t="s">
        <v>601</v>
      </c>
      <c r="B450" s="34">
        <v>45687</v>
      </c>
      <c r="C450" s="132" t="s">
        <v>26</v>
      </c>
      <c r="D450">
        <v>2.11</v>
      </c>
      <c r="E450">
        <v>2.1</v>
      </c>
      <c r="F450">
        <v>2025</v>
      </c>
    </row>
    <row r="451" spans="1:6" ht="15" customHeight="1" x14ac:dyDescent="0.3">
      <c r="A451" s="160" t="s">
        <v>593</v>
      </c>
      <c r="B451" s="34">
        <v>45727</v>
      </c>
      <c r="C451" s="132" t="s">
        <v>26</v>
      </c>
      <c r="D451">
        <v>2.93</v>
      </c>
      <c r="E451">
        <v>2.37</v>
      </c>
      <c r="F451">
        <v>2025</v>
      </c>
    </row>
    <row r="452" spans="1:6" ht="15" customHeight="1" x14ac:dyDescent="0.3">
      <c r="A452" s="160" t="s">
        <v>594</v>
      </c>
      <c r="B452" s="34">
        <v>45748</v>
      </c>
      <c r="C452" s="132" t="s">
        <v>26</v>
      </c>
      <c r="D452">
        <v>6.07</v>
      </c>
      <c r="E452">
        <v>5.8</v>
      </c>
      <c r="F452">
        <v>2025</v>
      </c>
    </row>
    <row r="453" spans="1:6" ht="15" customHeight="1" x14ac:dyDescent="0.3">
      <c r="A453" s="160" t="s">
        <v>595</v>
      </c>
      <c r="B453" s="34">
        <v>45783</v>
      </c>
      <c r="C453" s="132" t="s">
        <v>26</v>
      </c>
      <c r="D453">
        <v>12.27</v>
      </c>
      <c r="E453">
        <v>10.57</v>
      </c>
      <c r="F453">
        <v>2025</v>
      </c>
    </row>
    <row r="454" spans="1:6" ht="15" customHeight="1" x14ac:dyDescent="0.3">
      <c r="A454" s="160" t="s">
        <v>596</v>
      </c>
      <c r="B454" s="34">
        <v>45811</v>
      </c>
      <c r="C454" s="132" t="s">
        <v>26</v>
      </c>
      <c r="D454">
        <v>15.42</v>
      </c>
      <c r="E454">
        <v>13.48</v>
      </c>
      <c r="F454">
        <v>2025</v>
      </c>
    </row>
    <row r="455" spans="1:6" ht="15" customHeight="1" x14ac:dyDescent="0.3">
      <c r="A455" s="160" t="s">
        <v>597</v>
      </c>
      <c r="B455" s="34">
        <v>45839</v>
      </c>
      <c r="C455" s="132" t="s">
        <v>26</v>
      </c>
      <c r="D455">
        <v>23.23</v>
      </c>
      <c r="E455">
        <v>17.87</v>
      </c>
      <c r="F455">
        <v>2025</v>
      </c>
    </row>
    <row r="456" spans="1:6" ht="15" customHeight="1" x14ac:dyDescent="0.3">
      <c r="A456" s="160" t="s">
        <v>598</v>
      </c>
      <c r="B456" s="34">
        <v>45852</v>
      </c>
      <c r="C456" s="132" t="s">
        <v>26</v>
      </c>
      <c r="D456">
        <v>23.27</v>
      </c>
      <c r="E456">
        <v>17.16</v>
      </c>
      <c r="F456">
        <v>2025</v>
      </c>
    </row>
    <row r="457" spans="1:6" ht="15" customHeight="1" x14ac:dyDescent="0.3">
      <c r="A457" s="160" t="s">
        <v>599</v>
      </c>
      <c r="B457" s="34">
        <v>45868</v>
      </c>
      <c r="C457" s="132" t="s">
        <v>26</v>
      </c>
      <c r="D457">
        <v>25.06</v>
      </c>
      <c r="E457">
        <v>19.84</v>
      </c>
      <c r="F457">
        <v>2025</v>
      </c>
    </row>
    <row r="458" spans="1:6" ht="15" customHeight="1" x14ac:dyDescent="0.3">
      <c r="A458" s="160" t="s">
        <v>600</v>
      </c>
      <c r="B458" s="34">
        <v>45880</v>
      </c>
      <c r="C458" s="132" t="s">
        <v>26</v>
      </c>
      <c r="D458">
        <v>24.99</v>
      </c>
      <c r="E458">
        <v>21.5</v>
      </c>
      <c r="F458">
        <v>2025</v>
      </c>
    </row>
    <row r="459" spans="1:6" ht="15" customHeight="1" x14ac:dyDescent="0.3">
      <c r="A459" s="205" t="s">
        <v>603</v>
      </c>
      <c r="B459" s="34">
        <v>45896</v>
      </c>
      <c r="C459" s="132" t="s">
        <v>26</v>
      </c>
      <c r="D459">
        <v>22.4</v>
      </c>
      <c r="E459">
        <v>21.99</v>
      </c>
      <c r="F459">
        <v>2025</v>
      </c>
    </row>
  </sheetData>
  <autoFilter ref="A1:F449" xr:uid="{00000000-0001-0000-0800-000000000000}"/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59"/>
  <sheetViews>
    <sheetView workbookViewId="0">
      <pane ySplit="1" topLeftCell="A433" activePane="bottomLeft" state="frozen"/>
      <selection activeCell="E1" sqref="E1"/>
      <selection pane="bottomLeft" activeCell="F451" sqref="F451:F459"/>
    </sheetView>
  </sheetViews>
  <sheetFormatPr defaultRowHeight="15" customHeight="1" x14ac:dyDescent="0.3"/>
  <cols>
    <col min="1" max="1" width="10.44140625" bestFit="1" customWidth="1"/>
    <col min="2" max="2" width="10.6640625" bestFit="1" customWidth="1"/>
    <col min="3" max="3" width="13.109375" bestFit="1" customWidth="1"/>
    <col min="4" max="4" width="7.44140625" bestFit="1" customWidth="1"/>
    <col min="5" max="5" width="7.5546875" bestFit="1" customWidth="1"/>
    <col min="9" max="9" width="12.5546875" bestFit="1" customWidth="1"/>
    <col min="10" max="10" width="16.88671875" bestFit="1" customWidth="1"/>
    <col min="11" max="11" width="17" bestFit="1" customWidth="1"/>
    <col min="14" max="14" width="17.6640625" bestFit="1" customWidth="1"/>
    <col min="15" max="15" width="17.88671875" bestFit="1" customWidth="1"/>
  </cols>
  <sheetData>
    <row r="1" spans="1:15" ht="15" customHeight="1" x14ac:dyDescent="0.3">
      <c r="A1" s="41" t="s">
        <v>1</v>
      </c>
      <c r="B1" s="41" t="s">
        <v>3</v>
      </c>
      <c r="C1" s="41" t="s">
        <v>2</v>
      </c>
      <c r="D1" s="41" t="s">
        <v>4</v>
      </c>
      <c r="E1" s="41" t="s">
        <v>5</v>
      </c>
      <c r="F1" s="48" t="s">
        <v>480</v>
      </c>
      <c r="I1" s="47" t="s">
        <v>515</v>
      </c>
      <c r="J1" t="s">
        <v>519</v>
      </c>
      <c r="K1" t="s">
        <v>518</v>
      </c>
      <c r="N1" t="s">
        <v>519</v>
      </c>
      <c r="O1" t="s">
        <v>518</v>
      </c>
    </row>
    <row r="2" spans="1:15" ht="15" customHeight="1" x14ac:dyDescent="0.3">
      <c r="A2" s="42" t="s">
        <v>88</v>
      </c>
      <c r="B2" s="43">
        <v>34674</v>
      </c>
      <c r="C2" s="42" t="s">
        <v>27</v>
      </c>
      <c r="D2" s="44">
        <v>9.93</v>
      </c>
      <c r="E2" s="44">
        <v>9.9499999999999993</v>
      </c>
      <c r="F2">
        <v>1994</v>
      </c>
      <c r="I2" s="9">
        <v>1994</v>
      </c>
      <c r="J2">
        <v>9.93</v>
      </c>
      <c r="K2">
        <v>9.9499999999999993</v>
      </c>
      <c r="M2">
        <v>1995</v>
      </c>
      <c r="N2">
        <v>13.794285714285715</v>
      </c>
      <c r="O2">
        <v>12.271414285714286</v>
      </c>
    </row>
    <row r="3" spans="1:15" ht="15" customHeight="1" x14ac:dyDescent="0.3">
      <c r="A3" s="42" t="s">
        <v>89</v>
      </c>
      <c r="B3" s="43">
        <v>34708</v>
      </c>
      <c r="C3" s="42" t="s">
        <v>27</v>
      </c>
      <c r="D3" s="44">
        <v>4.54</v>
      </c>
      <c r="E3" s="44">
        <v>4.8475000000000001</v>
      </c>
      <c r="F3">
        <v>1995</v>
      </c>
      <c r="I3" s="9">
        <v>1995</v>
      </c>
      <c r="J3">
        <v>13.794285714285715</v>
      </c>
      <c r="K3">
        <v>12.271414285714286</v>
      </c>
      <c r="M3">
        <v>1996</v>
      </c>
      <c r="N3">
        <v>14.86</v>
      </c>
      <c r="O3">
        <v>12.797499999999999</v>
      </c>
    </row>
    <row r="4" spans="1:15" ht="15" customHeight="1" x14ac:dyDescent="0.3">
      <c r="A4" s="42" t="s">
        <v>90</v>
      </c>
      <c r="B4" s="43">
        <v>34744</v>
      </c>
      <c r="C4" s="42" t="s">
        <v>27</v>
      </c>
      <c r="D4" s="44">
        <v>1.27</v>
      </c>
      <c r="E4" s="44">
        <v>1.36</v>
      </c>
      <c r="F4">
        <v>1995</v>
      </c>
      <c r="I4" s="9">
        <v>1996</v>
      </c>
      <c r="J4">
        <v>14.86</v>
      </c>
      <c r="K4">
        <v>12.797499999999999</v>
      </c>
      <c r="M4">
        <v>1997</v>
      </c>
      <c r="N4">
        <v>14.026428571428569</v>
      </c>
      <c r="O4">
        <v>12.174999999999999</v>
      </c>
    </row>
    <row r="5" spans="1:15" ht="15" customHeight="1" x14ac:dyDescent="0.3">
      <c r="A5" s="42" t="s">
        <v>91</v>
      </c>
      <c r="B5" s="43">
        <v>34768</v>
      </c>
      <c r="C5" s="42" t="s">
        <v>27</v>
      </c>
      <c r="D5" s="44">
        <v>2.48</v>
      </c>
      <c r="E5" s="44">
        <v>2.13</v>
      </c>
      <c r="F5">
        <v>1995</v>
      </c>
      <c r="I5" s="9">
        <v>1997</v>
      </c>
      <c r="J5">
        <v>14.026428571428569</v>
      </c>
      <c r="K5">
        <v>12.174999999999999</v>
      </c>
      <c r="M5">
        <v>1998</v>
      </c>
      <c r="N5">
        <v>15.510624999999999</v>
      </c>
      <c r="O5">
        <v>13.335333333333333</v>
      </c>
    </row>
    <row r="6" spans="1:15" ht="15" customHeight="1" x14ac:dyDescent="0.3">
      <c r="A6" s="42" t="s">
        <v>92</v>
      </c>
      <c r="B6" s="43">
        <v>34796</v>
      </c>
      <c r="C6" s="42" t="s">
        <v>27</v>
      </c>
      <c r="D6" s="44">
        <v>5.07</v>
      </c>
      <c r="E6" s="44">
        <v>4.55</v>
      </c>
      <c r="F6">
        <v>1995</v>
      </c>
      <c r="I6" s="9">
        <v>1998</v>
      </c>
      <c r="J6">
        <v>15.510624999999999</v>
      </c>
      <c r="K6">
        <v>13.335333333333333</v>
      </c>
      <c r="M6">
        <v>1999</v>
      </c>
      <c r="N6">
        <v>14.772</v>
      </c>
      <c r="O6">
        <v>13.131333333333334</v>
      </c>
    </row>
    <row r="7" spans="1:15" ht="15" customHeight="1" x14ac:dyDescent="0.3">
      <c r="A7" s="42" t="s">
        <v>93</v>
      </c>
      <c r="B7" s="43">
        <v>34831</v>
      </c>
      <c r="C7" s="42" t="s">
        <v>27</v>
      </c>
      <c r="D7" s="44">
        <v>9.9499999999999993</v>
      </c>
      <c r="E7" s="44">
        <v>9.3000000000000007</v>
      </c>
      <c r="F7">
        <v>1995</v>
      </c>
      <c r="I7" s="9">
        <v>1999</v>
      </c>
      <c r="J7">
        <v>14.772</v>
      </c>
      <c r="K7">
        <v>13.131333333333334</v>
      </c>
      <c r="M7">
        <v>2000</v>
      </c>
      <c r="N7">
        <v>13.949333333333334</v>
      </c>
      <c r="O7">
        <v>12.591333333333333</v>
      </c>
    </row>
    <row r="8" spans="1:15" ht="15" customHeight="1" x14ac:dyDescent="0.3">
      <c r="A8" s="42" t="s">
        <v>94</v>
      </c>
      <c r="B8" s="43">
        <v>34857</v>
      </c>
      <c r="C8" s="42" t="s">
        <v>27</v>
      </c>
      <c r="D8" s="44">
        <v>16.7</v>
      </c>
      <c r="E8" s="44">
        <v>11.46</v>
      </c>
      <c r="F8">
        <v>1995</v>
      </c>
      <c r="I8" s="9">
        <v>2000</v>
      </c>
      <c r="J8">
        <v>13.949333333333334</v>
      </c>
      <c r="K8">
        <v>12.591333333333333</v>
      </c>
      <c r="M8">
        <v>2001</v>
      </c>
      <c r="N8">
        <v>14.174999999999999</v>
      </c>
      <c r="O8">
        <v>11.902307692307691</v>
      </c>
    </row>
    <row r="9" spans="1:15" ht="15" customHeight="1" x14ac:dyDescent="0.3">
      <c r="A9" s="42" t="s">
        <v>96</v>
      </c>
      <c r="B9" s="43">
        <v>34887</v>
      </c>
      <c r="C9" s="42" t="s">
        <v>27</v>
      </c>
      <c r="D9" s="44">
        <v>20.53</v>
      </c>
      <c r="E9" s="44">
        <v>15.83</v>
      </c>
      <c r="F9">
        <v>1995</v>
      </c>
      <c r="I9" s="9">
        <v>2001</v>
      </c>
      <c r="J9">
        <v>14.174999999999999</v>
      </c>
      <c r="K9">
        <v>11.902307692307691</v>
      </c>
      <c r="M9">
        <v>2002</v>
      </c>
      <c r="N9">
        <v>14.637999999999998</v>
      </c>
      <c r="O9">
        <v>13.166</v>
      </c>
    </row>
    <row r="10" spans="1:15" ht="15" customHeight="1" x14ac:dyDescent="0.3">
      <c r="A10" s="42" t="s">
        <v>97</v>
      </c>
      <c r="B10" s="43">
        <v>34898</v>
      </c>
      <c r="C10" s="42" t="s">
        <v>27</v>
      </c>
      <c r="D10" s="44">
        <v>20.440000000000001</v>
      </c>
      <c r="E10" s="44">
        <v>17.82</v>
      </c>
      <c r="F10">
        <v>1995</v>
      </c>
      <c r="I10" s="9">
        <v>2002</v>
      </c>
      <c r="J10">
        <v>14.637999999999998</v>
      </c>
      <c r="K10">
        <v>13.166</v>
      </c>
      <c r="M10">
        <v>2003</v>
      </c>
      <c r="N10">
        <v>13.437142857142858</v>
      </c>
      <c r="O10">
        <v>11.501428571428573</v>
      </c>
    </row>
    <row r="11" spans="1:15" ht="15" customHeight="1" x14ac:dyDescent="0.3">
      <c r="A11" s="42" t="s">
        <v>98</v>
      </c>
      <c r="B11" s="43">
        <v>34914</v>
      </c>
      <c r="C11" s="42" t="s">
        <v>27</v>
      </c>
      <c r="D11" s="44">
        <v>22.92</v>
      </c>
      <c r="E11" s="44">
        <v>18.97</v>
      </c>
      <c r="F11">
        <v>1995</v>
      </c>
      <c r="I11" s="9">
        <v>2003</v>
      </c>
      <c r="J11">
        <v>13.437142857142858</v>
      </c>
      <c r="K11">
        <v>11.501428571428573</v>
      </c>
      <c r="M11">
        <v>2004</v>
      </c>
      <c r="N11">
        <v>13.304166666666669</v>
      </c>
      <c r="O11">
        <v>12.246153846153847</v>
      </c>
    </row>
    <row r="12" spans="1:15" ht="15" customHeight="1" x14ac:dyDescent="0.3">
      <c r="A12" s="42" t="s">
        <v>99</v>
      </c>
      <c r="B12" s="43">
        <v>34925</v>
      </c>
      <c r="C12" s="42" t="s">
        <v>27</v>
      </c>
      <c r="D12" s="44">
        <v>24.47</v>
      </c>
      <c r="E12" s="44">
        <v>21.52</v>
      </c>
      <c r="F12">
        <v>1995</v>
      </c>
      <c r="I12" s="9">
        <v>2004</v>
      </c>
      <c r="J12">
        <v>13.304166666666669</v>
      </c>
      <c r="K12">
        <v>12.246153846153847</v>
      </c>
      <c r="M12">
        <v>2005</v>
      </c>
      <c r="N12">
        <v>13.885999999999999</v>
      </c>
      <c r="O12">
        <v>11.698666666666666</v>
      </c>
    </row>
    <row r="13" spans="1:15" ht="15" customHeight="1" x14ac:dyDescent="0.3">
      <c r="A13" s="42" t="s">
        <v>100</v>
      </c>
      <c r="B13" s="43">
        <v>34947</v>
      </c>
      <c r="C13" s="42" t="s">
        <v>27</v>
      </c>
      <c r="D13" s="44">
        <v>23.02</v>
      </c>
      <c r="E13" s="44">
        <v>22.432400000000001</v>
      </c>
      <c r="F13">
        <v>1995</v>
      </c>
      <c r="I13" s="9">
        <v>2005</v>
      </c>
      <c r="J13">
        <v>13.885999999999999</v>
      </c>
      <c r="K13">
        <v>11.698666666666666</v>
      </c>
      <c r="M13">
        <v>2006</v>
      </c>
      <c r="N13">
        <v>16.204545454545453</v>
      </c>
      <c r="O13">
        <v>14.260000000000002</v>
      </c>
    </row>
    <row r="14" spans="1:15" ht="15" customHeight="1" x14ac:dyDescent="0.3">
      <c r="A14" s="42" t="s">
        <v>101</v>
      </c>
      <c r="B14" s="43">
        <v>34977</v>
      </c>
      <c r="C14" s="42" t="s">
        <v>27</v>
      </c>
      <c r="D14" s="44">
        <v>19.690000000000001</v>
      </c>
      <c r="E14" s="44">
        <v>19.420000000000002</v>
      </c>
      <c r="F14">
        <v>1995</v>
      </c>
      <c r="I14" s="9">
        <v>2006</v>
      </c>
      <c r="J14">
        <v>16.204545454545453</v>
      </c>
      <c r="K14">
        <v>14.260000000000002</v>
      </c>
      <c r="M14">
        <v>2007</v>
      </c>
      <c r="N14">
        <v>14.60375</v>
      </c>
      <c r="O14">
        <v>12.836875000000001</v>
      </c>
    </row>
    <row r="15" spans="1:15" ht="15" customHeight="1" x14ac:dyDescent="0.3">
      <c r="A15" s="42" t="s">
        <v>102</v>
      </c>
      <c r="B15" s="43">
        <v>35016</v>
      </c>
      <c r="C15" s="42" t="s">
        <v>27</v>
      </c>
      <c r="D15" s="44">
        <v>13.44</v>
      </c>
      <c r="E15" s="44">
        <v>13.5099</v>
      </c>
      <c r="F15">
        <v>1995</v>
      </c>
      <c r="I15" s="9">
        <v>2007</v>
      </c>
      <c r="J15">
        <v>14.60375</v>
      </c>
      <c r="K15">
        <v>12.836875000000001</v>
      </c>
      <c r="M15">
        <v>2008</v>
      </c>
      <c r="N15">
        <v>14.608124999999999</v>
      </c>
      <c r="O15">
        <v>12.921249999999999</v>
      </c>
    </row>
    <row r="16" spans="1:15" ht="15" customHeight="1" x14ac:dyDescent="0.3">
      <c r="A16" s="42" t="s">
        <v>103</v>
      </c>
      <c r="B16" s="43">
        <v>35040</v>
      </c>
      <c r="C16" s="42" t="s">
        <v>27</v>
      </c>
      <c r="D16" s="44">
        <v>8.6</v>
      </c>
      <c r="E16" s="44">
        <v>8.65</v>
      </c>
      <c r="F16">
        <v>1995</v>
      </c>
      <c r="I16" s="9">
        <v>2008</v>
      </c>
      <c r="J16">
        <v>14.608124999999999</v>
      </c>
      <c r="K16">
        <v>12.921249999999999</v>
      </c>
      <c r="M16">
        <v>2009</v>
      </c>
      <c r="N16">
        <v>13.989333333333331</v>
      </c>
      <c r="O16">
        <v>11.979333333333335</v>
      </c>
    </row>
    <row r="17" spans="1:15" ht="15" customHeight="1" x14ac:dyDescent="0.3">
      <c r="A17" s="42" t="s">
        <v>104</v>
      </c>
      <c r="B17" s="43">
        <v>35103</v>
      </c>
      <c r="C17" s="42" t="s">
        <v>27</v>
      </c>
      <c r="D17" s="44">
        <v>-0.28999999999999998</v>
      </c>
      <c r="E17" s="44">
        <v>0.33</v>
      </c>
      <c r="F17">
        <v>1996</v>
      </c>
      <c r="I17" s="9">
        <v>2009</v>
      </c>
      <c r="J17">
        <v>13.989333333333331</v>
      </c>
      <c r="K17">
        <v>11.979333333333335</v>
      </c>
      <c r="M17">
        <v>2010</v>
      </c>
      <c r="N17">
        <v>14.384666666666666</v>
      </c>
      <c r="O17">
        <v>12.581999999999999</v>
      </c>
    </row>
    <row r="18" spans="1:15" ht="15" customHeight="1" x14ac:dyDescent="0.3">
      <c r="A18" s="42" t="s">
        <v>105</v>
      </c>
      <c r="B18" s="43">
        <v>35129</v>
      </c>
      <c r="C18" s="42" t="s">
        <v>27</v>
      </c>
      <c r="D18" s="44">
        <v>0.64</v>
      </c>
      <c r="E18" s="44">
        <v>0.6</v>
      </c>
      <c r="F18">
        <v>1996</v>
      </c>
      <c r="I18" s="9">
        <v>2010</v>
      </c>
      <c r="J18">
        <v>14.384666666666666</v>
      </c>
      <c r="K18">
        <v>12.581999999999999</v>
      </c>
      <c r="M18">
        <v>2011</v>
      </c>
      <c r="N18">
        <v>14.337333333333333</v>
      </c>
      <c r="O18">
        <v>12.021428571428572</v>
      </c>
    </row>
    <row r="19" spans="1:15" ht="15" customHeight="1" x14ac:dyDescent="0.3">
      <c r="A19" s="42" t="s">
        <v>106</v>
      </c>
      <c r="B19" s="43">
        <v>35159</v>
      </c>
      <c r="C19" s="42" t="s">
        <v>27</v>
      </c>
      <c r="D19" s="45"/>
      <c r="E19" s="45"/>
      <c r="F19">
        <v>1996</v>
      </c>
      <c r="I19" s="9">
        <v>2011</v>
      </c>
      <c r="J19">
        <v>14.337333333333333</v>
      </c>
      <c r="K19">
        <v>12.021428571428572</v>
      </c>
      <c r="M19">
        <v>2012</v>
      </c>
      <c r="N19">
        <v>15.500625000000003</v>
      </c>
      <c r="O19">
        <v>14.193125</v>
      </c>
    </row>
    <row r="20" spans="1:15" ht="15" customHeight="1" x14ac:dyDescent="0.3">
      <c r="A20" s="42" t="s">
        <v>107</v>
      </c>
      <c r="B20" s="43">
        <v>35199</v>
      </c>
      <c r="C20" s="42" t="s">
        <v>27</v>
      </c>
      <c r="D20" s="44">
        <v>10.63</v>
      </c>
      <c r="E20" s="44">
        <v>8.23</v>
      </c>
      <c r="F20">
        <v>1996</v>
      </c>
      <c r="I20" s="9">
        <v>2012</v>
      </c>
      <c r="J20">
        <v>15.500625000000003</v>
      </c>
      <c r="K20">
        <v>14.193125</v>
      </c>
      <c r="M20">
        <v>2013</v>
      </c>
      <c r="N20">
        <v>14.972500000000002</v>
      </c>
      <c r="O20">
        <v>13.388124999999999</v>
      </c>
    </row>
    <row r="21" spans="1:15" ht="15" customHeight="1" x14ac:dyDescent="0.3">
      <c r="A21" s="42" t="s">
        <v>108</v>
      </c>
      <c r="B21" s="43">
        <v>35220</v>
      </c>
      <c r="C21" s="42" t="s">
        <v>27</v>
      </c>
      <c r="D21" s="44">
        <v>13.95</v>
      </c>
      <c r="E21" s="44">
        <v>11.85</v>
      </c>
      <c r="F21">
        <v>1996</v>
      </c>
      <c r="I21" s="9">
        <v>2013</v>
      </c>
      <c r="J21">
        <v>14.972500000000002</v>
      </c>
      <c r="K21">
        <v>13.388124999999999</v>
      </c>
      <c r="M21">
        <v>2014</v>
      </c>
      <c r="N21">
        <v>13.913125000000001</v>
      </c>
      <c r="O21">
        <v>12.395624999999999</v>
      </c>
    </row>
    <row r="22" spans="1:15" ht="15" customHeight="1" x14ac:dyDescent="0.3">
      <c r="A22" s="42" t="s">
        <v>109</v>
      </c>
      <c r="B22" s="43">
        <v>35242</v>
      </c>
      <c r="C22" s="42" t="s">
        <v>27</v>
      </c>
      <c r="D22" s="44">
        <v>18.8</v>
      </c>
      <c r="E22" s="44">
        <v>13.17</v>
      </c>
      <c r="F22">
        <v>1996</v>
      </c>
      <c r="I22" s="9">
        <v>2014</v>
      </c>
      <c r="J22">
        <v>13.913125000000001</v>
      </c>
      <c r="K22">
        <v>12.395624999999999</v>
      </c>
      <c r="M22">
        <v>2015</v>
      </c>
      <c r="N22">
        <v>13.970666666666666</v>
      </c>
      <c r="O22">
        <v>12.278666666666664</v>
      </c>
    </row>
    <row r="23" spans="1:15" ht="15" customHeight="1" x14ac:dyDescent="0.3">
      <c r="A23" s="42" t="s">
        <v>110</v>
      </c>
      <c r="B23" s="43">
        <v>35254</v>
      </c>
      <c r="C23" s="42" t="s">
        <v>27</v>
      </c>
      <c r="D23" s="45"/>
      <c r="E23" s="46">
        <v>14.94</v>
      </c>
      <c r="F23">
        <v>1996</v>
      </c>
      <c r="I23" s="9">
        <v>2015</v>
      </c>
      <c r="J23">
        <v>13.970666666666666</v>
      </c>
      <c r="K23">
        <v>12.278666666666664</v>
      </c>
      <c r="M23">
        <v>2016</v>
      </c>
      <c r="N23">
        <v>14.918000000000001</v>
      </c>
      <c r="O23">
        <v>13.724666666666669</v>
      </c>
    </row>
    <row r="24" spans="1:15" ht="15" customHeight="1" x14ac:dyDescent="0.3">
      <c r="A24" s="42" t="s">
        <v>111</v>
      </c>
      <c r="B24" s="43">
        <v>35270</v>
      </c>
      <c r="C24" s="42" t="s">
        <v>27</v>
      </c>
      <c r="D24" s="44">
        <v>19.149999999999999</v>
      </c>
      <c r="E24" s="44">
        <v>17.05</v>
      </c>
      <c r="F24">
        <v>1996</v>
      </c>
      <c r="I24" s="9">
        <v>2016</v>
      </c>
      <c r="J24">
        <v>14.918000000000001</v>
      </c>
      <c r="K24">
        <v>13.724666666666669</v>
      </c>
      <c r="M24">
        <v>2017</v>
      </c>
      <c r="N24">
        <v>14.742666666666667</v>
      </c>
      <c r="O24">
        <v>13.11066666666667</v>
      </c>
    </row>
    <row r="25" spans="1:15" ht="15" customHeight="1" x14ac:dyDescent="0.3">
      <c r="A25" s="42" t="s">
        <v>112</v>
      </c>
      <c r="B25" s="43">
        <v>35284</v>
      </c>
      <c r="C25" s="42" t="s">
        <v>27</v>
      </c>
      <c r="D25" s="44">
        <v>22.06</v>
      </c>
      <c r="E25" s="46">
        <v>19.2</v>
      </c>
      <c r="F25">
        <v>1996</v>
      </c>
      <c r="I25" s="9">
        <v>2017</v>
      </c>
      <c r="J25">
        <v>14.742666666666667</v>
      </c>
      <c r="K25">
        <v>13.11066666666667</v>
      </c>
      <c r="M25">
        <v>2018</v>
      </c>
      <c r="N25">
        <v>14.787499999999998</v>
      </c>
      <c r="O25">
        <v>12.813749999999999</v>
      </c>
    </row>
    <row r="26" spans="1:15" ht="15" customHeight="1" x14ac:dyDescent="0.3">
      <c r="A26" s="42" t="s">
        <v>113</v>
      </c>
      <c r="B26" s="43">
        <v>35298</v>
      </c>
      <c r="C26" s="42" t="s">
        <v>27</v>
      </c>
      <c r="D26" s="44">
        <v>22.11</v>
      </c>
      <c r="E26" s="44">
        <v>19.78</v>
      </c>
      <c r="F26">
        <v>1996</v>
      </c>
      <c r="I26" s="9">
        <v>2018</v>
      </c>
      <c r="J26">
        <v>14.787499999999998</v>
      </c>
      <c r="K26">
        <v>12.813749999999999</v>
      </c>
      <c r="M26">
        <v>2019</v>
      </c>
      <c r="N26">
        <v>14.596249999999998</v>
      </c>
      <c r="O26">
        <v>12.974375000000002</v>
      </c>
    </row>
    <row r="27" spans="1:15" ht="15" customHeight="1" x14ac:dyDescent="0.3">
      <c r="A27" s="42" t="s">
        <v>114</v>
      </c>
      <c r="B27" s="43">
        <v>35313</v>
      </c>
      <c r="C27" s="42" t="s">
        <v>27</v>
      </c>
      <c r="D27" s="44">
        <v>23.31</v>
      </c>
      <c r="E27" s="44">
        <v>20.82</v>
      </c>
      <c r="F27">
        <v>1996</v>
      </c>
      <c r="I27" s="9">
        <v>2019</v>
      </c>
      <c r="J27">
        <v>14.596249999999998</v>
      </c>
      <c r="K27">
        <v>12.974375000000002</v>
      </c>
      <c r="M27">
        <v>2020</v>
      </c>
      <c r="N27">
        <v>17.605</v>
      </c>
      <c r="O27">
        <v>15.596</v>
      </c>
    </row>
    <row r="28" spans="1:15" ht="15" customHeight="1" x14ac:dyDescent="0.3">
      <c r="A28" s="42" t="s">
        <v>490</v>
      </c>
      <c r="B28" s="43">
        <v>35328</v>
      </c>
      <c r="C28" s="42" t="s">
        <v>27</v>
      </c>
      <c r="D28" s="44">
        <v>20.85</v>
      </c>
      <c r="E28" s="45"/>
      <c r="F28">
        <v>1996</v>
      </c>
      <c r="I28" s="9">
        <v>2020</v>
      </c>
      <c r="J28">
        <v>17.605</v>
      </c>
      <c r="K28">
        <v>15.596</v>
      </c>
      <c r="M28">
        <v>2021</v>
      </c>
      <c r="N28">
        <v>17.084285714285709</v>
      </c>
      <c r="O28">
        <v>15.049285714285714</v>
      </c>
    </row>
    <row r="29" spans="1:15" ht="15" customHeight="1" x14ac:dyDescent="0.3">
      <c r="A29" s="42" t="s">
        <v>115</v>
      </c>
      <c r="B29" s="43">
        <v>35345</v>
      </c>
      <c r="C29" s="42" t="s">
        <v>27</v>
      </c>
      <c r="D29" s="44">
        <v>18.87</v>
      </c>
      <c r="E29" s="44">
        <v>18.72</v>
      </c>
      <c r="F29">
        <v>1996</v>
      </c>
      <c r="I29" s="9">
        <v>2021</v>
      </c>
      <c r="J29">
        <v>17.084285714285709</v>
      </c>
      <c r="K29">
        <v>15.049285714285714</v>
      </c>
      <c r="M29">
        <v>2022</v>
      </c>
      <c r="N29">
        <v>15.489333333333336</v>
      </c>
      <c r="O29">
        <v>14.227333333333332</v>
      </c>
    </row>
    <row r="30" spans="1:15" ht="15" customHeight="1" thickBot="1" x14ac:dyDescent="0.35">
      <c r="A30" s="42" t="s">
        <v>116</v>
      </c>
      <c r="B30" s="43">
        <v>35375</v>
      </c>
      <c r="C30" s="42" t="s">
        <v>27</v>
      </c>
      <c r="D30" s="45"/>
      <c r="E30" s="45"/>
      <c r="F30">
        <v>1996</v>
      </c>
      <c r="I30" s="9">
        <v>2022</v>
      </c>
      <c r="J30">
        <v>15.489333333333336</v>
      </c>
      <c r="K30">
        <v>14.227333333333332</v>
      </c>
      <c r="M30">
        <v>2023</v>
      </c>
      <c r="N30" s="115">
        <v>16.073571428571427</v>
      </c>
      <c r="O30" s="115">
        <v>14.303571428571431</v>
      </c>
    </row>
    <row r="31" spans="1:15" ht="15" customHeight="1" x14ac:dyDescent="0.3">
      <c r="A31" s="42" t="s">
        <v>117</v>
      </c>
      <c r="B31" s="43">
        <v>35403</v>
      </c>
      <c r="C31" s="42" t="s">
        <v>27</v>
      </c>
      <c r="D31" s="44">
        <v>8.24</v>
      </c>
      <c r="E31" s="44">
        <v>8.8800000000000008</v>
      </c>
      <c r="F31">
        <v>1996</v>
      </c>
      <c r="I31" s="9">
        <v>2023</v>
      </c>
      <c r="J31">
        <v>16.073571428571427</v>
      </c>
      <c r="K31">
        <v>14.303571428571431</v>
      </c>
      <c r="M31">
        <v>2024</v>
      </c>
      <c r="N31">
        <v>13.577857142857143</v>
      </c>
      <c r="O31">
        <v>11.544285714285715</v>
      </c>
    </row>
    <row r="32" spans="1:15" ht="15" customHeight="1" x14ac:dyDescent="0.3">
      <c r="A32" s="42" t="s">
        <v>118</v>
      </c>
      <c r="B32" s="43">
        <v>35464</v>
      </c>
      <c r="C32" s="42" t="s">
        <v>27</v>
      </c>
      <c r="D32" s="44">
        <v>2.09</v>
      </c>
      <c r="E32" s="44">
        <v>1.84</v>
      </c>
      <c r="F32">
        <v>1997</v>
      </c>
      <c r="I32" s="9">
        <v>2024</v>
      </c>
      <c r="J32">
        <v>14.044666666666668</v>
      </c>
      <c r="K32">
        <v>12.134666666666668</v>
      </c>
      <c r="M32" t="s">
        <v>517</v>
      </c>
      <c r="N32">
        <v>14.678718535469111</v>
      </c>
      <c r="O32">
        <v>12.937181986143189</v>
      </c>
    </row>
    <row r="33" spans="1:11" ht="15" customHeight="1" x14ac:dyDescent="0.3">
      <c r="A33" s="42" t="s">
        <v>119</v>
      </c>
      <c r="B33" s="43">
        <v>35492</v>
      </c>
      <c r="C33" s="42" t="s">
        <v>27</v>
      </c>
      <c r="D33" s="44">
        <v>3.24</v>
      </c>
      <c r="E33" s="46">
        <v>2.84</v>
      </c>
      <c r="F33">
        <v>1997</v>
      </c>
      <c r="I33" s="9" t="s">
        <v>517</v>
      </c>
      <c r="J33">
        <v>14.69219178082192</v>
      </c>
      <c r="K33">
        <v>12.95437741935484</v>
      </c>
    </row>
    <row r="34" spans="1:11" ht="15" customHeight="1" x14ac:dyDescent="0.3">
      <c r="A34" s="42" t="s">
        <v>120</v>
      </c>
      <c r="B34" s="43">
        <v>35523</v>
      </c>
      <c r="C34" s="42" t="s">
        <v>27</v>
      </c>
      <c r="D34" s="44">
        <v>5.26</v>
      </c>
      <c r="E34" s="44">
        <v>4.62</v>
      </c>
      <c r="F34">
        <v>1997</v>
      </c>
    </row>
    <row r="35" spans="1:11" ht="15" customHeight="1" x14ac:dyDescent="0.3">
      <c r="A35" s="42" t="s">
        <v>121</v>
      </c>
      <c r="B35" s="43">
        <v>35558</v>
      </c>
      <c r="C35" s="42" t="s">
        <v>27</v>
      </c>
      <c r="D35" s="44">
        <v>9.59</v>
      </c>
      <c r="E35" s="44">
        <v>8.6</v>
      </c>
      <c r="F35">
        <v>1997</v>
      </c>
    </row>
    <row r="36" spans="1:11" ht="15" customHeight="1" x14ac:dyDescent="0.3">
      <c r="A36" s="42" t="s">
        <v>122</v>
      </c>
      <c r="B36" s="43">
        <v>35585</v>
      </c>
      <c r="C36" s="42" t="s">
        <v>27</v>
      </c>
      <c r="D36" s="44">
        <v>13.81</v>
      </c>
      <c r="E36" s="44">
        <v>13.07</v>
      </c>
      <c r="F36">
        <v>1997</v>
      </c>
    </row>
    <row r="37" spans="1:11" ht="15" customHeight="1" x14ac:dyDescent="0.3">
      <c r="A37" s="42" t="s">
        <v>123</v>
      </c>
      <c r="B37" s="43">
        <v>35608</v>
      </c>
      <c r="C37" s="42" t="s">
        <v>27</v>
      </c>
      <c r="D37" s="44">
        <v>17.66</v>
      </c>
      <c r="E37" s="45"/>
      <c r="F37">
        <v>1997</v>
      </c>
    </row>
    <row r="38" spans="1:11" ht="15" customHeight="1" x14ac:dyDescent="0.3">
      <c r="A38" s="42" t="s">
        <v>491</v>
      </c>
      <c r="B38" s="43">
        <v>35620</v>
      </c>
      <c r="C38" s="42" t="s">
        <v>27</v>
      </c>
      <c r="D38" s="44">
        <v>19.91</v>
      </c>
      <c r="E38" s="44">
        <v>15.09</v>
      </c>
      <c r="F38">
        <v>1997</v>
      </c>
    </row>
    <row r="39" spans="1:11" ht="15" customHeight="1" x14ac:dyDescent="0.3">
      <c r="A39" s="42" t="s">
        <v>124</v>
      </c>
      <c r="B39" s="43">
        <v>35633</v>
      </c>
      <c r="C39" s="42" t="s">
        <v>27</v>
      </c>
      <c r="D39" s="44">
        <v>19.82</v>
      </c>
      <c r="E39" s="45"/>
      <c r="F39">
        <v>1997</v>
      </c>
    </row>
    <row r="40" spans="1:11" ht="15" customHeight="1" x14ac:dyDescent="0.3">
      <c r="A40" s="42" t="s">
        <v>125</v>
      </c>
      <c r="B40" s="43">
        <v>35647</v>
      </c>
      <c r="C40" s="42" t="s">
        <v>27</v>
      </c>
      <c r="D40" s="44">
        <v>21.07</v>
      </c>
      <c r="E40" s="44">
        <v>16.57</v>
      </c>
      <c r="F40">
        <v>1997</v>
      </c>
    </row>
    <row r="41" spans="1:11" ht="15" customHeight="1" x14ac:dyDescent="0.3">
      <c r="A41" s="42" t="s">
        <v>126</v>
      </c>
      <c r="B41" s="43">
        <v>35662</v>
      </c>
      <c r="C41" s="42" t="s">
        <v>27</v>
      </c>
      <c r="D41" s="44">
        <v>21.43</v>
      </c>
      <c r="E41" s="46">
        <v>20.52</v>
      </c>
      <c r="F41">
        <v>1997</v>
      </c>
    </row>
    <row r="42" spans="1:11" ht="15" customHeight="1" x14ac:dyDescent="0.3">
      <c r="A42" s="42" t="s">
        <v>127</v>
      </c>
      <c r="B42" s="43">
        <v>35677</v>
      </c>
      <c r="C42" s="42" t="s">
        <v>27</v>
      </c>
      <c r="D42" s="44">
        <v>21.51</v>
      </c>
      <c r="E42" s="44">
        <v>21.6</v>
      </c>
      <c r="F42">
        <v>1997</v>
      </c>
    </row>
    <row r="43" spans="1:11" ht="15" customHeight="1" x14ac:dyDescent="0.3">
      <c r="A43" s="42" t="s">
        <v>128</v>
      </c>
      <c r="B43" s="43">
        <v>35711</v>
      </c>
      <c r="C43" s="42" t="s">
        <v>27</v>
      </c>
      <c r="D43" s="44">
        <v>18.98</v>
      </c>
      <c r="E43" s="44">
        <v>19.02</v>
      </c>
      <c r="F43">
        <v>1997</v>
      </c>
    </row>
    <row r="44" spans="1:11" ht="15" customHeight="1" x14ac:dyDescent="0.3">
      <c r="A44" s="42" t="s">
        <v>129</v>
      </c>
      <c r="B44" s="43">
        <v>35737</v>
      </c>
      <c r="C44" s="42" t="s">
        <v>27</v>
      </c>
      <c r="D44" s="44">
        <v>14.38</v>
      </c>
      <c r="E44" s="44">
        <v>14.35</v>
      </c>
      <c r="F44">
        <v>1997</v>
      </c>
    </row>
    <row r="45" spans="1:11" ht="15" customHeight="1" x14ac:dyDescent="0.3">
      <c r="A45" s="42" t="s">
        <v>130</v>
      </c>
      <c r="B45" s="43">
        <v>35772</v>
      </c>
      <c r="C45" s="42" t="s">
        <v>27</v>
      </c>
      <c r="D45" s="44">
        <v>7.62</v>
      </c>
      <c r="E45" s="46">
        <v>7.98</v>
      </c>
      <c r="F45">
        <v>1997</v>
      </c>
    </row>
    <row r="46" spans="1:11" ht="15" customHeight="1" x14ac:dyDescent="0.3">
      <c r="A46" s="42" t="s">
        <v>131</v>
      </c>
      <c r="B46" s="43">
        <v>35809</v>
      </c>
      <c r="C46" s="42" t="s">
        <v>27</v>
      </c>
      <c r="D46" s="44">
        <v>4.72</v>
      </c>
      <c r="E46" s="44">
        <v>4.84</v>
      </c>
      <c r="F46">
        <v>1998</v>
      </c>
    </row>
    <row r="47" spans="1:11" ht="15" customHeight="1" x14ac:dyDescent="0.3">
      <c r="A47" s="42" t="s">
        <v>132</v>
      </c>
      <c r="B47" s="43">
        <v>35828</v>
      </c>
      <c r="C47" s="42" t="s">
        <v>27</v>
      </c>
      <c r="D47" s="44">
        <v>3.42</v>
      </c>
      <c r="E47" s="44">
        <v>3.44</v>
      </c>
      <c r="F47">
        <v>1998</v>
      </c>
    </row>
    <row r="48" spans="1:11" ht="15" customHeight="1" x14ac:dyDescent="0.3">
      <c r="A48" s="42" t="s">
        <v>134</v>
      </c>
      <c r="B48" s="43">
        <v>35858</v>
      </c>
      <c r="C48" s="42" t="s">
        <v>27</v>
      </c>
      <c r="D48" s="44">
        <v>4.43</v>
      </c>
      <c r="E48" s="44">
        <v>4.22</v>
      </c>
      <c r="F48">
        <v>1998</v>
      </c>
    </row>
    <row r="49" spans="1:6" ht="15" customHeight="1" x14ac:dyDescent="0.3">
      <c r="A49" s="42" t="s">
        <v>136</v>
      </c>
      <c r="B49" s="43">
        <v>35905</v>
      </c>
      <c r="C49" s="42" t="s">
        <v>27</v>
      </c>
      <c r="D49" s="44">
        <v>9.19</v>
      </c>
      <c r="E49" s="44">
        <v>7.56</v>
      </c>
      <c r="F49">
        <v>1998</v>
      </c>
    </row>
    <row r="50" spans="1:6" ht="15" customHeight="1" x14ac:dyDescent="0.3">
      <c r="A50" s="42" t="s">
        <v>137</v>
      </c>
      <c r="B50" s="43">
        <v>35928</v>
      </c>
      <c r="C50" s="42" t="s">
        <v>27</v>
      </c>
      <c r="D50" s="44">
        <v>11.76</v>
      </c>
      <c r="E50" s="44">
        <v>11.65</v>
      </c>
      <c r="F50">
        <v>1998</v>
      </c>
    </row>
    <row r="51" spans="1:6" ht="15" customHeight="1" x14ac:dyDescent="0.3">
      <c r="A51" s="42" t="s">
        <v>138</v>
      </c>
      <c r="B51" s="43">
        <v>35948</v>
      </c>
      <c r="C51" s="42" t="s">
        <v>27</v>
      </c>
      <c r="D51" s="44">
        <v>16.28</v>
      </c>
      <c r="E51" s="46">
        <v>11.86</v>
      </c>
      <c r="F51">
        <v>1998</v>
      </c>
    </row>
    <row r="52" spans="1:6" ht="15" customHeight="1" x14ac:dyDescent="0.3">
      <c r="A52" s="42" t="s">
        <v>139</v>
      </c>
      <c r="B52" s="43">
        <v>35971</v>
      </c>
      <c r="C52" s="42" t="s">
        <v>27</v>
      </c>
      <c r="D52" s="44">
        <v>19.2</v>
      </c>
      <c r="E52" s="44">
        <v>15.76</v>
      </c>
      <c r="F52">
        <v>1998</v>
      </c>
    </row>
    <row r="53" spans="1:6" ht="15" customHeight="1" x14ac:dyDescent="0.3">
      <c r="A53" s="42" t="s">
        <v>140</v>
      </c>
      <c r="B53" s="43">
        <v>35984</v>
      </c>
      <c r="C53" s="42" t="s">
        <v>27</v>
      </c>
      <c r="D53" s="44">
        <v>20.8</v>
      </c>
      <c r="E53" s="44">
        <v>16.149999999999999</v>
      </c>
      <c r="F53">
        <v>1998</v>
      </c>
    </row>
    <row r="54" spans="1:6" ht="15" customHeight="1" x14ac:dyDescent="0.3">
      <c r="A54" s="42" t="s">
        <v>141</v>
      </c>
      <c r="B54" s="43">
        <v>35998</v>
      </c>
      <c r="C54" s="42" t="s">
        <v>27</v>
      </c>
      <c r="D54" s="44">
        <v>21.74</v>
      </c>
      <c r="E54" s="44">
        <v>17.91</v>
      </c>
      <c r="F54">
        <v>1998</v>
      </c>
    </row>
    <row r="55" spans="1:6" ht="15" customHeight="1" x14ac:dyDescent="0.3">
      <c r="A55" s="42" t="s">
        <v>142</v>
      </c>
      <c r="B55" s="43">
        <v>36010</v>
      </c>
      <c r="C55" s="42" t="s">
        <v>27</v>
      </c>
      <c r="D55" s="44">
        <v>21.93</v>
      </c>
      <c r="E55" s="44">
        <v>19.02</v>
      </c>
      <c r="F55">
        <v>1998</v>
      </c>
    </row>
    <row r="56" spans="1:6" ht="15" customHeight="1" x14ac:dyDescent="0.3">
      <c r="A56" s="42" t="s">
        <v>143</v>
      </c>
      <c r="B56" s="43">
        <v>36024</v>
      </c>
      <c r="C56" s="42" t="s">
        <v>27</v>
      </c>
      <c r="D56" s="44">
        <v>23.4</v>
      </c>
      <c r="E56" s="44">
        <v>20.58</v>
      </c>
      <c r="F56">
        <v>1998</v>
      </c>
    </row>
    <row r="57" spans="1:6" ht="15" customHeight="1" x14ac:dyDescent="0.3">
      <c r="A57" s="42" t="s">
        <v>144</v>
      </c>
      <c r="B57" s="43">
        <v>36040</v>
      </c>
      <c r="C57" s="42" t="s">
        <v>27</v>
      </c>
      <c r="D57" s="44">
        <v>23.7</v>
      </c>
      <c r="E57" s="44">
        <v>21.53</v>
      </c>
      <c r="F57">
        <v>1998</v>
      </c>
    </row>
    <row r="58" spans="1:6" ht="15" customHeight="1" x14ac:dyDescent="0.3">
      <c r="A58" s="42" t="s">
        <v>145</v>
      </c>
      <c r="B58" s="43">
        <v>36054</v>
      </c>
      <c r="C58" s="42" t="s">
        <v>27</v>
      </c>
      <c r="D58" s="44">
        <v>22.25</v>
      </c>
      <c r="E58" s="45"/>
      <c r="F58">
        <v>1998</v>
      </c>
    </row>
    <row r="59" spans="1:6" ht="15" customHeight="1" x14ac:dyDescent="0.3">
      <c r="A59" s="42" t="s">
        <v>146</v>
      </c>
      <c r="B59" s="43">
        <v>36074</v>
      </c>
      <c r="C59" s="42" t="s">
        <v>27</v>
      </c>
      <c r="D59" s="44">
        <v>19.63</v>
      </c>
      <c r="E59" s="44">
        <v>19.77</v>
      </c>
      <c r="F59">
        <v>1998</v>
      </c>
    </row>
    <row r="60" spans="1:6" ht="15" customHeight="1" x14ac:dyDescent="0.3">
      <c r="A60" s="42" t="s">
        <v>147</v>
      </c>
      <c r="B60" s="43">
        <v>36104</v>
      </c>
      <c r="C60" s="42" t="s">
        <v>27</v>
      </c>
      <c r="D60" s="44">
        <v>14.89</v>
      </c>
      <c r="E60" s="44">
        <v>14.9</v>
      </c>
      <c r="F60">
        <v>1998</v>
      </c>
    </row>
    <row r="61" spans="1:6" ht="15" customHeight="1" x14ac:dyDescent="0.3">
      <c r="A61" s="42" t="s">
        <v>148</v>
      </c>
      <c r="B61" s="43">
        <v>36131</v>
      </c>
      <c r="C61" s="42" t="s">
        <v>27</v>
      </c>
      <c r="D61" s="44">
        <v>10.83</v>
      </c>
      <c r="E61" s="44">
        <v>10.84</v>
      </c>
      <c r="F61">
        <v>1998</v>
      </c>
    </row>
    <row r="62" spans="1:6" ht="15" customHeight="1" x14ac:dyDescent="0.3">
      <c r="A62" s="42" t="s">
        <v>149</v>
      </c>
      <c r="B62" s="43">
        <v>36171</v>
      </c>
      <c r="C62" s="42" t="s">
        <v>27</v>
      </c>
      <c r="D62" s="44">
        <v>4.16</v>
      </c>
      <c r="E62" s="44">
        <v>4.3099999999999996</v>
      </c>
      <c r="F62">
        <v>1999</v>
      </c>
    </row>
    <row r="63" spans="1:6" ht="15" customHeight="1" x14ac:dyDescent="0.3">
      <c r="A63" s="42" t="s">
        <v>150</v>
      </c>
      <c r="B63" s="43">
        <v>36195</v>
      </c>
      <c r="C63" s="42" t="s">
        <v>27</v>
      </c>
      <c r="D63" s="44">
        <v>2.99</v>
      </c>
      <c r="E63" s="44">
        <v>2.97</v>
      </c>
      <c r="F63">
        <v>1999</v>
      </c>
    </row>
    <row r="64" spans="1:6" ht="15" customHeight="1" x14ac:dyDescent="0.3">
      <c r="A64" s="42" t="s">
        <v>152</v>
      </c>
      <c r="B64" s="43">
        <v>36228</v>
      </c>
      <c r="C64" s="42" t="s">
        <v>27</v>
      </c>
      <c r="D64" s="44">
        <v>2.67</v>
      </c>
      <c r="E64" s="44">
        <v>2.72</v>
      </c>
      <c r="F64">
        <v>1999</v>
      </c>
    </row>
    <row r="65" spans="1:6" ht="15" customHeight="1" x14ac:dyDescent="0.3">
      <c r="A65" s="42" t="s">
        <v>154</v>
      </c>
      <c r="B65" s="43">
        <v>36257</v>
      </c>
      <c r="C65" s="42" t="s">
        <v>27</v>
      </c>
      <c r="D65" s="44">
        <v>6.76</v>
      </c>
      <c r="E65" s="44">
        <v>5.01</v>
      </c>
      <c r="F65">
        <v>1999</v>
      </c>
    </row>
    <row r="66" spans="1:6" ht="15" customHeight="1" x14ac:dyDescent="0.3">
      <c r="A66" s="42" t="s">
        <v>155</v>
      </c>
      <c r="B66" s="43">
        <v>36286</v>
      </c>
      <c r="C66" s="42" t="s">
        <v>27</v>
      </c>
      <c r="D66" s="44">
        <v>10.86</v>
      </c>
      <c r="E66" s="44">
        <v>9.3699999999999992</v>
      </c>
      <c r="F66">
        <v>1999</v>
      </c>
    </row>
    <row r="67" spans="1:6" ht="15" customHeight="1" x14ac:dyDescent="0.3">
      <c r="A67" s="42" t="s">
        <v>156</v>
      </c>
      <c r="B67" s="43">
        <v>36312</v>
      </c>
      <c r="C67" s="42" t="s">
        <v>27</v>
      </c>
      <c r="D67" s="44">
        <v>17.25</v>
      </c>
      <c r="E67" s="44">
        <v>11.3</v>
      </c>
      <c r="F67">
        <v>1999</v>
      </c>
    </row>
    <row r="68" spans="1:6" ht="15" customHeight="1" x14ac:dyDescent="0.3">
      <c r="A68" s="42" t="s">
        <v>157</v>
      </c>
      <c r="B68" s="43">
        <v>36335</v>
      </c>
      <c r="C68" s="42" t="s">
        <v>27</v>
      </c>
      <c r="D68" s="44">
        <v>19.29</v>
      </c>
      <c r="E68" s="44">
        <v>14.97</v>
      </c>
      <c r="F68">
        <v>1999</v>
      </c>
    </row>
    <row r="69" spans="1:6" ht="15" customHeight="1" x14ac:dyDescent="0.3">
      <c r="A69" s="42" t="s">
        <v>158</v>
      </c>
      <c r="B69" s="43">
        <v>36348</v>
      </c>
      <c r="C69" s="42" t="s">
        <v>27</v>
      </c>
      <c r="D69" s="44">
        <v>20.93</v>
      </c>
      <c r="E69" s="44">
        <v>16.809999999999999</v>
      </c>
      <c r="F69">
        <v>1999</v>
      </c>
    </row>
    <row r="70" spans="1:6" ht="15" customHeight="1" x14ac:dyDescent="0.3">
      <c r="A70" s="42" t="s">
        <v>159</v>
      </c>
      <c r="B70" s="43">
        <v>36362</v>
      </c>
      <c r="C70" s="42" t="s">
        <v>27</v>
      </c>
      <c r="D70" s="44">
        <v>22.26</v>
      </c>
      <c r="E70" s="44">
        <v>18.82</v>
      </c>
      <c r="F70">
        <v>1999</v>
      </c>
    </row>
    <row r="71" spans="1:6" ht="15" customHeight="1" x14ac:dyDescent="0.3">
      <c r="A71" s="42" t="s">
        <v>160</v>
      </c>
      <c r="B71" s="43">
        <v>36376</v>
      </c>
      <c r="C71" s="42" t="s">
        <v>27</v>
      </c>
      <c r="D71" s="44">
        <v>23.3</v>
      </c>
      <c r="E71" s="44">
        <v>20.420000000000002</v>
      </c>
      <c r="F71">
        <v>1999</v>
      </c>
    </row>
    <row r="72" spans="1:6" ht="15" customHeight="1" x14ac:dyDescent="0.3">
      <c r="A72" s="42" t="s">
        <v>161</v>
      </c>
      <c r="B72" s="43">
        <v>36390</v>
      </c>
      <c r="C72" s="42" t="s">
        <v>27</v>
      </c>
      <c r="D72" s="44">
        <v>23.32</v>
      </c>
      <c r="E72" s="46">
        <v>21.55</v>
      </c>
      <c r="F72">
        <v>1999</v>
      </c>
    </row>
    <row r="73" spans="1:6" ht="15" customHeight="1" x14ac:dyDescent="0.3">
      <c r="A73" s="42" t="s">
        <v>162</v>
      </c>
      <c r="B73" s="43">
        <v>36404</v>
      </c>
      <c r="C73" s="42" t="s">
        <v>27</v>
      </c>
      <c r="D73" s="44">
        <v>22.25</v>
      </c>
      <c r="E73" s="44">
        <v>22.24</v>
      </c>
      <c r="F73">
        <v>1999</v>
      </c>
    </row>
    <row r="74" spans="1:6" ht="15" customHeight="1" x14ac:dyDescent="0.3">
      <c r="A74" s="42" t="s">
        <v>163</v>
      </c>
      <c r="B74" s="43">
        <v>36431</v>
      </c>
      <c r="C74" s="42" t="s">
        <v>27</v>
      </c>
      <c r="D74" s="44">
        <v>20.58</v>
      </c>
      <c r="E74" s="44">
        <v>20.81</v>
      </c>
      <c r="F74">
        <v>1999</v>
      </c>
    </row>
    <row r="75" spans="1:6" ht="15" customHeight="1" x14ac:dyDescent="0.3">
      <c r="A75" s="42" t="s">
        <v>164</v>
      </c>
      <c r="B75" s="43">
        <v>36469</v>
      </c>
      <c r="C75" s="42" t="s">
        <v>27</v>
      </c>
      <c r="D75" s="44">
        <v>15.3</v>
      </c>
      <c r="E75" s="44">
        <v>15.54</v>
      </c>
      <c r="F75">
        <v>1999</v>
      </c>
    </row>
    <row r="76" spans="1:6" ht="15" customHeight="1" x14ac:dyDescent="0.3">
      <c r="A76" s="42" t="s">
        <v>165</v>
      </c>
      <c r="B76" s="43">
        <v>36503</v>
      </c>
      <c r="C76" s="42" t="s">
        <v>27</v>
      </c>
      <c r="D76" s="44">
        <v>9.66</v>
      </c>
      <c r="E76" s="44">
        <v>10.130000000000001</v>
      </c>
      <c r="F76">
        <v>1999</v>
      </c>
    </row>
    <row r="77" spans="1:6" ht="15" customHeight="1" x14ac:dyDescent="0.3">
      <c r="A77" s="42" t="s">
        <v>166</v>
      </c>
      <c r="B77" s="43">
        <v>36531</v>
      </c>
      <c r="C77" s="42" t="s">
        <v>27</v>
      </c>
      <c r="D77" s="44">
        <v>5.5</v>
      </c>
      <c r="E77" s="44">
        <v>5.93</v>
      </c>
      <c r="F77">
        <v>2000</v>
      </c>
    </row>
    <row r="78" spans="1:6" ht="15" customHeight="1" x14ac:dyDescent="0.3">
      <c r="A78" s="42" t="s">
        <v>167</v>
      </c>
      <c r="B78" s="43">
        <v>36563</v>
      </c>
      <c r="C78" s="42" t="s">
        <v>27</v>
      </c>
      <c r="D78" s="44">
        <v>0.79</v>
      </c>
      <c r="E78" s="44">
        <v>0.8</v>
      </c>
      <c r="F78">
        <v>2000</v>
      </c>
    </row>
    <row r="79" spans="1:6" ht="15" customHeight="1" x14ac:dyDescent="0.3">
      <c r="A79" s="42" t="s">
        <v>169</v>
      </c>
      <c r="B79" s="43">
        <v>36591</v>
      </c>
      <c r="C79" s="42" t="s">
        <v>27</v>
      </c>
      <c r="D79" s="44">
        <v>3.02</v>
      </c>
      <c r="E79" s="44">
        <v>2.2200000000000002</v>
      </c>
      <c r="F79">
        <v>2000</v>
      </c>
    </row>
    <row r="80" spans="1:6" ht="15" customHeight="1" x14ac:dyDescent="0.3">
      <c r="A80" s="42" t="s">
        <v>171</v>
      </c>
      <c r="B80" s="43">
        <v>36626</v>
      </c>
      <c r="C80" s="42" t="s">
        <v>27</v>
      </c>
      <c r="D80" s="44">
        <v>6.23</v>
      </c>
      <c r="E80" s="44">
        <v>6.17</v>
      </c>
      <c r="F80">
        <v>2000</v>
      </c>
    </row>
    <row r="81" spans="1:6" ht="15" customHeight="1" x14ac:dyDescent="0.3">
      <c r="A81" s="42" t="s">
        <v>172</v>
      </c>
      <c r="B81" s="43">
        <v>36649</v>
      </c>
      <c r="C81" s="42" t="s">
        <v>27</v>
      </c>
      <c r="D81" s="44">
        <v>9.83</v>
      </c>
      <c r="E81" s="44">
        <v>8.11</v>
      </c>
      <c r="F81">
        <v>2000</v>
      </c>
    </row>
    <row r="82" spans="1:6" ht="15" customHeight="1" x14ac:dyDescent="0.3">
      <c r="A82" s="42" t="s">
        <v>173</v>
      </c>
      <c r="B82" s="43">
        <v>36682</v>
      </c>
      <c r="C82" s="42" t="s">
        <v>27</v>
      </c>
      <c r="D82" s="44">
        <v>16.510000000000002</v>
      </c>
      <c r="E82" s="44">
        <v>13.46</v>
      </c>
      <c r="F82">
        <v>2000</v>
      </c>
    </row>
    <row r="83" spans="1:6" ht="15" customHeight="1" x14ac:dyDescent="0.3">
      <c r="A83" s="42" t="s">
        <v>174</v>
      </c>
      <c r="B83" s="43">
        <v>36703</v>
      </c>
      <c r="C83" s="42" t="s">
        <v>27</v>
      </c>
      <c r="D83" s="44">
        <v>19.7</v>
      </c>
      <c r="E83" s="44">
        <v>14.14</v>
      </c>
      <c r="F83">
        <v>2000</v>
      </c>
    </row>
    <row r="84" spans="1:6" ht="15" customHeight="1" x14ac:dyDescent="0.3">
      <c r="A84" s="42" t="s">
        <v>175</v>
      </c>
      <c r="B84" s="43">
        <v>36717</v>
      </c>
      <c r="C84" s="42" t="s">
        <v>27</v>
      </c>
      <c r="D84" s="44">
        <v>19.68</v>
      </c>
      <c r="E84" s="44">
        <v>16.510000000000002</v>
      </c>
      <c r="F84">
        <v>2000</v>
      </c>
    </row>
    <row r="85" spans="1:6" ht="15" customHeight="1" x14ac:dyDescent="0.3">
      <c r="A85" s="42" t="s">
        <v>176</v>
      </c>
      <c r="B85" s="43">
        <v>36726</v>
      </c>
      <c r="C85" s="42" t="s">
        <v>27</v>
      </c>
      <c r="D85" s="44">
        <v>20.85</v>
      </c>
      <c r="E85" s="44">
        <v>17.649999999999999</v>
      </c>
      <c r="F85">
        <v>2000</v>
      </c>
    </row>
    <row r="86" spans="1:6" ht="15" customHeight="1" x14ac:dyDescent="0.3">
      <c r="A86" s="42" t="s">
        <v>177</v>
      </c>
      <c r="B86" s="43">
        <v>36745</v>
      </c>
      <c r="C86" s="42" t="s">
        <v>27</v>
      </c>
      <c r="D86" s="44">
        <v>21.81</v>
      </c>
      <c r="E86" s="44">
        <v>19.62</v>
      </c>
      <c r="F86">
        <v>2000</v>
      </c>
    </row>
    <row r="87" spans="1:6" ht="15" customHeight="1" x14ac:dyDescent="0.3">
      <c r="A87" s="42" t="s">
        <v>178</v>
      </c>
      <c r="B87" s="43">
        <v>36754</v>
      </c>
      <c r="C87" s="42" t="s">
        <v>27</v>
      </c>
      <c r="D87" s="44">
        <v>21.59</v>
      </c>
      <c r="E87" s="44">
        <v>20.91</v>
      </c>
      <c r="F87">
        <v>2000</v>
      </c>
    </row>
    <row r="88" spans="1:6" ht="15" customHeight="1" x14ac:dyDescent="0.3">
      <c r="A88" s="42" t="s">
        <v>179</v>
      </c>
      <c r="B88" s="43">
        <v>36769</v>
      </c>
      <c r="C88" s="42" t="s">
        <v>27</v>
      </c>
      <c r="D88" s="44">
        <v>21.86</v>
      </c>
      <c r="E88" s="44">
        <v>21.54</v>
      </c>
      <c r="F88">
        <v>2000</v>
      </c>
    </row>
    <row r="89" spans="1:6" ht="15" customHeight="1" x14ac:dyDescent="0.3">
      <c r="A89" s="42" t="s">
        <v>180</v>
      </c>
      <c r="B89" s="43">
        <v>36802</v>
      </c>
      <c r="C89" s="42" t="s">
        <v>27</v>
      </c>
      <c r="D89" s="44">
        <v>19.420000000000002</v>
      </c>
      <c r="E89" s="44">
        <v>19.309999999999999</v>
      </c>
      <c r="F89">
        <v>2000</v>
      </c>
    </row>
    <row r="90" spans="1:6" ht="15" customHeight="1" x14ac:dyDescent="0.3">
      <c r="A90" s="42" t="s">
        <v>181</v>
      </c>
      <c r="B90" s="43">
        <v>36839</v>
      </c>
      <c r="C90" s="42" t="s">
        <v>27</v>
      </c>
      <c r="D90" s="44">
        <v>13.95</v>
      </c>
      <c r="E90" s="44">
        <v>13.9</v>
      </c>
      <c r="F90">
        <v>2000</v>
      </c>
    </row>
    <row r="91" spans="1:6" ht="15" customHeight="1" x14ac:dyDescent="0.3">
      <c r="A91" s="42" t="s">
        <v>182</v>
      </c>
      <c r="B91" s="43">
        <v>36864</v>
      </c>
      <c r="C91" s="42" t="s">
        <v>27</v>
      </c>
      <c r="D91" s="44">
        <v>8.5</v>
      </c>
      <c r="E91" s="44">
        <v>8.6</v>
      </c>
      <c r="F91">
        <v>2000</v>
      </c>
    </row>
    <row r="92" spans="1:6" ht="15" customHeight="1" x14ac:dyDescent="0.3">
      <c r="A92" s="42" t="s">
        <v>183</v>
      </c>
      <c r="B92" s="43">
        <v>36908</v>
      </c>
      <c r="C92" s="42" t="s">
        <v>27</v>
      </c>
      <c r="D92" s="44">
        <v>2.04</v>
      </c>
      <c r="E92" s="44">
        <v>2.1</v>
      </c>
      <c r="F92">
        <v>2001</v>
      </c>
    </row>
    <row r="93" spans="1:6" ht="15" customHeight="1" x14ac:dyDescent="0.3">
      <c r="A93" s="42" t="s">
        <v>184</v>
      </c>
      <c r="B93" s="43">
        <v>36929</v>
      </c>
      <c r="C93" s="42" t="s">
        <v>27</v>
      </c>
      <c r="D93" s="44">
        <v>1.68</v>
      </c>
      <c r="E93" s="44">
        <v>1.69</v>
      </c>
      <c r="F93">
        <v>2001</v>
      </c>
    </row>
    <row r="94" spans="1:6" ht="15" customHeight="1" x14ac:dyDescent="0.3">
      <c r="A94" s="42" t="s">
        <v>186</v>
      </c>
      <c r="B94" s="43">
        <v>36958</v>
      </c>
      <c r="C94" s="42" t="s">
        <v>27</v>
      </c>
      <c r="D94" s="44">
        <v>1.65</v>
      </c>
      <c r="E94" s="44">
        <v>1.64</v>
      </c>
      <c r="F94">
        <v>2001</v>
      </c>
    </row>
    <row r="95" spans="1:6" ht="15" customHeight="1" x14ac:dyDescent="0.3">
      <c r="A95" s="42" t="s">
        <v>187</v>
      </c>
      <c r="B95" s="43">
        <v>36985</v>
      </c>
      <c r="C95" s="42" t="s">
        <v>27</v>
      </c>
      <c r="D95" s="44">
        <v>4.2</v>
      </c>
      <c r="E95" s="44">
        <v>3.58</v>
      </c>
      <c r="F95">
        <v>2001</v>
      </c>
    </row>
    <row r="96" spans="1:6" ht="15" customHeight="1" x14ac:dyDescent="0.3">
      <c r="A96" s="42" t="s">
        <v>188</v>
      </c>
      <c r="B96" s="43">
        <v>37012</v>
      </c>
      <c r="C96" s="42" t="s">
        <v>27</v>
      </c>
      <c r="D96" s="45"/>
      <c r="E96" s="45"/>
      <c r="F96">
        <v>2001</v>
      </c>
    </row>
    <row r="97" spans="1:6" ht="15" customHeight="1" x14ac:dyDescent="0.3">
      <c r="A97" s="42" t="s">
        <v>189</v>
      </c>
      <c r="B97" s="43">
        <v>37048</v>
      </c>
      <c r="C97" s="42" t="s">
        <v>27</v>
      </c>
      <c r="D97" s="44">
        <v>15.84</v>
      </c>
      <c r="E97" s="44">
        <v>12</v>
      </c>
      <c r="F97">
        <v>2001</v>
      </c>
    </row>
    <row r="98" spans="1:6" ht="15" customHeight="1" x14ac:dyDescent="0.3">
      <c r="A98" s="42" t="s">
        <v>190</v>
      </c>
      <c r="B98" s="43">
        <v>37063</v>
      </c>
      <c r="C98" s="42" t="s">
        <v>27</v>
      </c>
      <c r="D98" s="44">
        <v>19.95</v>
      </c>
      <c r="E98" s="44">
        <v>12.99</v>
      </c>
      <c r="F98">
        <v>2001</v>
      </c>
    </row>
    <row r="99" spans="1:6" ht="15" customHeight="1" x14ac:dyDescent="0.3">
      <c r="A99" s="42" t="s">
        <v>191</v>
      </c>
      <c r="B99" s="43">
        <v>37082</v>
      </c>
      <c r="C99" s="42" t="s">
        <v>27</v>
      </c>
      <c r="D99" s="44">
        <v>19.62</v>
      </c>
      <c r="E99" s="44">
        <v>16.13</v>
      </c>
      <c r="F99">
        <v>2001</v>
      </c>
    </row>
    <row r="100" spans="1:6" ht="15" customHeight="1" x14ac:dyDescent="0.3">
      <c r="A100" s="42" t="s">
        <v>192</v>
      </c>
      <c r="B100" s="43">
        <v>37097</v>
      </c>
      <c r="C100" s="42" t="s">
        <v>27</v>
      </c>
      <c r="D100" s="44">
        <v>21.59</v>
      </c>
      <c r="E100" s="44">
        <v>18.39</v>
      </c>
      <c r="F100">
        <v>2001</v>
      </c>
    </row>
    <row r="101" spans="1:6" ht="15" customHeight="1" x14ac:dyDescent="0.3">
      <c r="A101" s="42" t="s">
        <v>193</v>
      </c>
      <c r="B101" s="43">
        <v>37110</v>
      </c>
      <c r="C101" s="42" t="s">
        <v>27</v>
      </c>
      <c r="D101" s="44">
        <v>22.93</v>
      </c>
      <c r="E101" s="46">
        <v>19.66</v>
      </c>
      <c r="F101">
        <v>2001</v>
      </c>
    </row>
    <row r="102" spans="1:6" ht="15" customHeight="1" x14ac:dyDescent="0.3">
      <c r="A102" s="42" t="s">
        <v>194</v>
      </c>
      <c r="B102" s="43">
        <v>37124</v>
      </c>
      <c r="C102" s="42" t="s">
        <v>27</v>
      </c>
      <c r="D102" s="45"/>
      <c r="E102" s="45"/>
      <c r="F102">
        <v>2001</v>
      </c>
    </row>
    <row r="103" spans="1:6" ht="15" customHeight="1" x14ac:dyDescent="0.3">
      <c r="A103" s="42" t="s">
        <v>196</v>
      </c>
      <c r="B103" s="43">
        <v>37138</v>
      </c>
      <c r="C103" s="42" t="s">
        <v>27</v>
      </c>
      <c r="D103" s="44">
        <v>22.59</v>
      </c>
      <c r="E103" s="44">
        <v>21.65</v>
      </c>
      <c r="F103">
        <v>2001</v>
      </c>
    </row>
    <row r="104" spans="1:6" ht="15" customHeight="1" x14ac:dyDescent="0.3">
      <c r="A104" s="42" t="s">
        <v>197</v>
      </c>
      <c r="B104" s="43">
        <v>37158</v>
      </c>
      <c r="C104" s="42" t="s">
        <v>27</v>
      </c>
      <c r="D104" s="44">
        <v>21.79</v>
      </c>
      <c r="E104" s="45"/>
      <c r="F104">
        <v>2001</v>
      </c>
    </row>
    <row r="105" spans="1:6" ht="15" customHeight="1" x14ac:dyDescent="0.3">
      <c r="A105" s="42" t="s">
        <v>198</v>
      </c>
      <c r="B105" s="43">
        <v>37168</v>
      </c>
      <c r="C105" s="42" t="s">
        <v>27</v>
      </c>
      <c r="D105" s="44">
        <v>19.260000000000002</v>
      </c>
      <c r="E105" s="44">
        <v>19.45</v>
      </c>
      <c r="F105">
        <v>2001</v>
      </c>
    </row>
    <row r="106" spans="1:6" ht="15" customHeight="1" x14ac:dyDescent="0.3">
      <c r="A106" s="42" t="s">
        <v>199</v>
      </c>
      <c r="B106" s="43">
        <v>37208</v>
      </c>
      <c r="C106" s="42" t="s">
        <v>27</v>
      </c>
      <c r="D106" s="44">
        <v>13.61</v>
      </c>
      <c r="E106" s="44">
        <v>13.58</v>
      </c>
      <c r="F106">
        <v>2001</v>
      </c>
    </row>
    <row r="107" spans="1:6" ht="15" customHeight="1" x14ac:dyDescent="0.3">
      <c r="A107" s="42" t="s">
        <v>200</v>
      </c>
      <c r="B107" s="43">
        <v>37230</v>
      </c>
      <c r="C107" s="42" t="s">
        <v>27</v>
      </c>
      <c r="D107" s="44">
        <v>11.7</v>
      </c>
      <c r="E107" s="44">
        <v>11.87</v>
      </c>
      <c r="F107">
        <v>2001</v>
      </c>
    </row>
    <row r="108" spans="1:6" ht="15" customHeight="1" x14ac:dyDescent="0.3">
      <c r="A108" s="42" t="s">
        <v>201</v>
      </c>
      <c r="B108" s="43">
        <v>37271</v>
      </c>
      <c r="C108" s="42" t="s">
        <v>27</v>
      </c>
      <c r="D108" s="44">
        <v>4.84</v>
      </c>
      <c r="E108" s="44">
        <v>5.64</v>
      </c>
      <c r="F108">
        <v>2002</v>
      </c>
    </row>
    <row r="109" spans="1:6" ht="15" customHeight="1" x14ac:dyDescent="0.3">
      <c r="A109" s="42" t="s">
        <v>202</v>
      </c>
      <c r="B109" s="43">
        <v>37293</v>
      </c>
      <c r="C109" s="42" t="s">
        <v>27</v>
      </c>
      <c r="D109" s="44">
        <v>4.38</v>
      </c>
      <c r="E109" s="44">
        <v>4.41</v>
      </c>
      <c r="F109">
        <v>2002</v>
      </c>
    </row>
    <row r="110" spans="1:6" ht="15" customHeight="1" x14ac:dyDescent="0.3">
      <c r="A110" s="42" t="s">
        <v>204</v>
      </c>
      <c r="B110" s="43">
        <v>37319</v>
      </c>
      <c r="C110" s="42" t="s">
        <v>27</v>
      </c>
      <c r="D110" s="44">
        <v>4.7300000000000004</v>
      </c>
      <c r="E110" s="44">
        <v>4.7</v>
      </c>
      <c r="F110">
        <v>2002</v>
      </c>
    </row>
    <row r="111" spans="1:6" ht="15" customHeight="1" x14ac:dyDescent="0.3">
      <c r="A111" s="42" t="s">
        <v>206</v>
      </c>
      <c r="B111" s="43">
        <v>37350</v>
      </c>
      <c r="C111" s="42" t="s">
        <v>27</v>
      </c>
      <c r="D111" s="46">
        <v>6.71</v>
      </c>
      <c r="E111" s="46">
        <v>5.88</v>
      </c>
      <c r="F111">
        <v>2002</v>
      </c>
    </row>
    <row r="112" spans="1:6" ht="15" customHeight="1" x14ac:dyDescent="0.3">
      <c r="A112" s="42" t="s">
        <v>207</v>
      </c>
      <c r="B112" s="43">
        <v>37383</v>
      </c>
      <c r="C112" s="42" t="s">
        <v>27</v>
      </c>
      <c r="D112" s="44">
        <v>11.31</v>
      </c>
      <c r="E112" s="44">
        <v>9.65</v>
      </c>
      <c r="F112">
        <v>2002</v>
      </c>
    </row>
    <row r="113" spans="1:6" ht="15" customHeight="1" x14ac:dyDescent="0.3">
      <c r="A113" s="42" t="s">
        <v>208</v>
      </c>
      <c r="B113" s="43">
        <v>37413</v>
      </c>
      <c r="C113" s="42" t="s">
        <v>27</v>
      </c>
      <c r="D113" s="44">
        <v>16.399999999999999</v>
      </c>
      <c r="E113" s="44">
        <v>12.63</v>
      </c>
      <c r="F113">
        <v>2002</v>
      </c>
    </row>
    <row r="114" spans="1:6" ht="15" customHeight="1" x14ac:dyDescent="0.3">
      <c r="A114" s="42" t="s">
        <v>209</v>
      </c>
      <c r="B114" s="43">
        <v>37433</v>
      </c>
      <c r="C114" s="42" t="s">
        <v>27</v>
      </c>
      <c r="D114" s="44">
        <v>20.5</v>
      </c>
      <c r="E114" s="44">
        <v>15.87</v>
      </c>
      <c r="F114">
        <v>2002</v>
      </c>
    </row>
    <row r="115" spans="1:6" ht="15" customHeight="1" x14ac:dyDescent="0.3">
      <c r="A115" s="42" t="s">
        <v>210</v>
      </c>
      <c r="B115" s="43">
        <v>37446</v>
      </c>
      <c r="C115" s="42" t="s">
        <v>27</v>
      </c>
      <c r="D115" s="44">
        <v>20.49</v>
      </c>
      <c r="E115" s="44">
        <v>16.18</v>
      </c>
      <c r="F115">
        <v>2002</v>
      </c>
    </row>
    <row r="116" spans="1:6" ht="15" customHeight="1" x14ac:dyDescent="0.3">
      <c r="A116" s="42" t="s">
        <v>211</v>
      </c>
      <c r="B116" s="43">
        <v>37459</v>
      </c>
      <c r="C116" s="42" t="s">
        <v>27</v>
      </c>
      <c r="D116" s="44">
        <v>22.2</v>
      </c>
      <c r="E116" s="44">
        <v>18.25</v>
      </c>
      <c r="F116">
        <v>2002</v>
      </c>
    </row>
    <row r="117" spans="1:6" ht="15" customHeight="1" x14ac:dyDescent="0.3">
      <c r="A117" s="42" t="s">
        <v>212</v>
      </c>
      <c r="B117" s="43">
        <v>37475</v>
      </c>
      <c r="C117" s="42" t="s">
        <v>27</v>
      </c>
      <c r="D117" s="44">
        <v>22.57</v>
      </c>
      <c r="E117" s="44">
        <v>19.88</v>
      </c>
      <c r="F117">
        <v>2002</v>
      </c>
    </row>
    <row r="118" spans="1:6" ht="15" customHeight="1" x14ac:dyDescent="0.3">
      <c r="A118" s="42" t="s">
        <v>213</v>
      </c>
      <c r="B118" s="43">
        <v>37490</v>
      </c>
      <c r="C118" s="42" t="s">
        <v>27</v>
      </c>
      <c r="D118" s="44">
        <v>23.73</v>
      </c>
      <c r="E118" s="44">
        <v>21.8</v>
      </c>
      <c r="F118">
        <v>2002</v>
      </c>
    </row>
    <row r="119" spans="1:6" ht="15" customHeight="1" x14ac:dyDescent="0.3">
      <c r="A119" s="42" t="s">
        <v>214</v>
      </c>
      <c r="B119" s="43">
        <v>37509</v>
      </c>
      <c r="C119" s="42" t="s">
        <v>27</v>
      </c>
      <c r="D119" s="44">
        <v>22.42</v>
      </c>
      <c r="E119" s="44">
        <v>21.65</v>
      </c>
      <c r="F119">
        <v>2002</v>
      </c>
    </row>
    <row r="120" spans="1:6" ht="15" customHeight="1" x14ac:dyDescent="0.3">
      <c r="A120" s="42" t="s">
        <v>215</v>
      </c>
      <c r="B120" s="43">
        <v>37538</v>
      </c>
      <c r="C120" s="42" t="s">
        <v>27</v>
      </c>
      <c r="D120" s="44">
        <v>20.48</v>
      </c>
      <c r="E120" s="44">
        <v>20.64</v>
      </c>
      <c r="F120">
        <v>2002</v>
      </c>
    </row>
    <row r="121" spans="1:6" ht="15" customHeight="1" x14ac:dyDescent="0.3">
      <c r="A121" s="42" t="s">
        <v>216</v>
      </c>
      <c r="B121" s="43">
        <v>37573</v>
      </c>
      <c r="C121" s="42" t="s">
        <v>27</v>
      </c>
      <c r="D121" s="44">
        <v>12.45</v>
      </c>
      <c r="E121" s="44">
        <v>13.22</v>
      </c>
      <c r="F121">
        <v>2002</v>
      </c>
    </row>
    <row r="122" spans="1:6" ht="15" customHeight="1" x14ac:dyDescent="0.3">
      <c r="A122" s="42" t="s">
        <v>217</v>
      </c>
      <c r="B122" s="43">
        <v>37600</v>
      </c>
      <c r="C122" s="42" t="s">
        <v>27</v>
      </c>
      <c r="D122" s="44">
        <v>6.36</v>
      </c>
      <c r="E122" s="44">
        <v>7.09</v>
      </c>
      <c r="F122">
        <v>2002</v>
      </c>
    </row>
    <row r="123" spans="1:6" ht="15" customHeight="1" x14ac:dyDescent="0.3">
      <c r="A123" s="42" t="s">
        <v>218</v>
      </c>
      <c r="B123" s="43">
        <v>37666</v>
      </c>
      <c r="C123" s="42" t="s">
        <v>27</v>
      </c>
      <c r="D123" s="44">
        <v>-0.25</v>
      </c>
      <c r="E123" s="44">
        <v>-0.14000000000000001</v>
      </c>
      <c r="F123">
        <v>2003</v>
      </c>
    </row>
    <row r="124" spans="1:6" ht="15" customHeight="1" x14ac:dyDescent="0.3">
      <c r="A124" s="42" t="s">
        <v>219</v>
      </c>
      <c r="B124" s="43">
        <v>37690</v>
      </c>
      <c r="C124" s="42" t="s">
        <v>27</v>
      </c>
      <c r="D124" s="44">
        <v>-0.26</v>
      </c>
      <c r="E124" s="44">
        <v>-0.25</v>
      </c>
      <c r="F124">
        <v>2003</v>
      </c>
    </row>
    <row r="125" spans="1:6" ht="15" customHeight="1" x14ac:dyDescent="0.3">
      <c r="A125" s="42" t="s">
        <v>221</v>
      </c>
      <c r="B125" s="43">
        <v>37712</v>
      </c>
      <c r="C125" s="42" t="s">
        <v>27</v>
      </c>
      <c r="D125" s="44">
        <v>4.24</v>
      </c>
      <c r="E125" s="44">
        <v>1.78</v>
      </c>
      <c r="F125">
        <v>2003</v>
      </c>
    </row>
    <row r="126" spans="1:6" ht="15" customHeight="1" x14ac:dyDescent="0.3">
      <c r="A126" s="42" t="s">
        <v>222</v>
      </c>
      <c r="B126" s="43">
        <v>37747</v>
      </c>
      <c r="C126" s="42" t="s">
        <v>27</v>
      </c>
      <c r="D126" s="44">
        <v>9.2899999999999991</v>
      </c>
      <c r="E126" s="44">
        <v>6.61</v>
      </c>
      <c r="F126">
        <v>2003</v>
      </c>
    </row>
    <row r="127" spans="1:6" ht="15" customHeight="1" x14ac:dyDescent="0.3">
      <c r="A127" s="42" t="s">
        <v>223</v>
      </c>
      <c r="B127" s="43">
        <v>37777</v>
      </c>
      <c r="C127" s="42" t="s">
        <v>27</v>
      </c>
      <c r="D127" s="44">
        <v>13.15</v>
      </c>
      <c r="E127" s="44">
        <v>11.25</v>
      </c>
      <c r="F127">
        <v>2003</v>
      </c>
    </row>
    <row r="128" spans="1:6" ht="15" customHeight="1" x14ac:dyDescent="0.3">
      <c r="A128" s="42" t="s">
        <v>224</v>
      </c>
      <c r="B128" s="43">
        <v>37791</v>
      </c>
      <c r="C128" s="42" t="s">
        <v>27</v>
      </c>
      <c r="D128" s="44">
        <v>15.76</v>
      </c>
      <c r="E128" s="44">
        <v>12.72</v>
      </c>
      <c r="F128">
        <v>2003</v>
      </c>
    </row>
    <row r="129" spans="1:6" ht="15" customHeight="1" x14ac:dyDescent="0.3">
      <c r="A129" s="42" t="s">
        <v>225</v>
      </c>
      <c r="B129" s="43">
        <v>37810</v>
      </c>
      <c r="C129" s="42" t="s">
        <v>27</v>
      </c>
      <c r="D129" s="46">
        <v>20.66</v>
      </c>
      <c r="E129" s="44">
        <v>13.53</v>
      </c>
      <c r="F129">
        <v>2003</v>
      </c>
    </row>
    <row r="130" spans="1:6" ht="15" customHeight="1" x14ac:dyDescent="0.3">
      <c r="A130" s="42" t="s">
        <v>226</v>
      </c>
      <c r="B130" s="43">
        <v>37830</v>
      </c>
      <c r="C130" s="42" t="s">
        <v>27</v>
      </c>
      <c r="D130" s="44">
        <v>19.100000000000001</v>
      </c>
      <c r="E130" s="44">
        <v>15.9</v>
      </c>
      <c r="F130">
        <v>2003</v>
      </c>
    </row>
    <row r="131" spans="1:6" ht="15" customHeight="1" x14ac:dyDescent="0.3">
      <c r="A131" s="42" t="s">
        <v>227</v>
      </c>
      <c r="B131" s="43">
        <v>37839</v>
      </c>
      <c r="C131" s="42" t="s">
        <v>27</v>
      </c>
      <c r="D131" s="44">
        <v>20.68</v>
      </c>
      <c r="E131" s="44">
        <v>17.77</v>
      </c>
      <c r="F131">
        <v>2003</v>
      </c>
    </row>
    <row r="132" spans="1:6" ht="15" customHeight="1" x14ac:dyDescent="0.3">
      <c r="A132" s="42" t="s">
        <v>228</v>
      </c>
      <c r="B132" s="43">
        <v>37853</v>
      </c>
      <c r="C132" s="42" t="s">
        <v>27</v>
      </c>
      <c r="D132" s="44">
        <v>23.11</v>
      </c>
      <c r="E132" s="44">
        <v>19.329999999999998</v>
      </c>
      <c r="F132">
        <v>2003</v>
      </c>
    </row>
    <row r="133" spans="1:6" ht="15" customHeight="1" x14ac:dyDescent="0.3">
      <c r="A133" s="42" t="s">
        <v>229</v>
      </c>
      <c r="B133" s="43">
        <v>37867</v>
      </c>
      <c r="C133" s="42" t="s">
        <v>27</v>
      </c>
      <c r="D133" s="44">
        <v>20.8</v>
      </c>
      <c r="E133" s="44">
        <v>20.66</v>
      </c>
      <c r="F133">
        <v>2003</v>
      </c>
    </row>
    <row r="134" spans="1:6" ht="15" customHeight="1" x14ac:dyDescent="0.3">
      <c r="A134" s="42" t="s">
        <v>230</v>
      </c>
      <c r="B134" s="43">
        <v>37900</v>
      </c>
      <c r="C134" s="42" t="s">
        <v>27</v>
      </c>
      <c r="D134" s="44">
        <v>19.3</v>
      </c>
      <c r="E134" s="44">
        <v>19.25</v>
      </c>
      <c r="F134">
        <v>2003</v>
      </c>
    </row>
    <row r="135" spans="1:6" ht="15" customHeight="1" x14ac:dyDescent="0.3">
      <c r="A135" s="42" t="s">
        <v>231</v>
      </c>
      <c r="B135" s="43">
        <v>37930</v>
      </c>
      <c r="C135" s="42" t="s">
        <v>27</v>
      </c>
      <c r="D135" s="44">
        <v>15.07</v>
      </c>
      <c r="E135" s="44">
        <v>15.09</v>
      </c>
      <c r="F135">
        <v>2003</v>
      </c>
    </row>
    <row r="136" spans="1:6" ht="15" customHeight="1" x14ac:dyDescent="0.3">
      <c r="A136" s="42" t="s">
        <v>232</v>
      </c>
      <c r="B136" s="43">
        <v>37964</v>
      </c>
      <c r="C136" s="42" t="s">
        <v>27</v>
      </c>
      <c r="D136" s="44">
        <v>7.47</v>
      </c>
      <c r="E136" s="44">
        <v>7.52</v>
      </c>
      <c r="F136">
        <v>2003</v>
      </c>
    </row>
    <row r="137" spans="1:6" ht="15" customHeight="1" x14ac:dyDescent="0.3">
      <c r="A137" s="42" t="s">
        <v>233</v>
      </c>
      <c r="B137" s="43">
        <v>38019</v>
      </c>
      <c r="C137" s="42" t="s">
        <v>27</v>
      </c>
      <c r="D137" s="44">
        <v>-0.62</v>
      </c>
      <c r="E137" s="44">
        <v>-0.71</v>
      </c>
      <c r="F137">
        <v>2004</v>
      </c>
    </row>
    <row r="138" spans="1:6" ht="15" customHeight="1" x14ac:dyDescent="0.3">
      <c r="A138" s="42" t="s">
        <v>235</v>
      </c>
      <c r="B138" s="43">
        <v>38047</v>
      </c>
      <c r="C138" s="42" t="s">
        <v>27</v>
      </c>
      <c r="D138" s="44">
        <v>0.57999999999999996</v>
      </c>
      <c r="E138" s="44">
        <v>0.28000000000000003</v>
      </c>
      <c r="F138">
        <v>2004</v>
      </c>
    </row>
    <row r="139" spans="1:6" ht="15" customHeight="1" x14ac:dyDescent="0.3">
      <c r="A139" s="42" t="s">
        <v>237</v>
      </c>
      <c r="B139" s="43">
        <v>38091</v>
      </c>
      <c r="C139" s="42" t="s">
        <v>27</v>
      </c>
      <c r="D139" s="44">
        <v>5.44</v>
      </c>
      <c r="E139" s="44">
        <v>4.67</v>
      </c>
      <c r="F139">
        <v>2004</v>
      </c>
    </row>
    <row r="140" spans="1:6" ht="15" customHeight="1" x14ac:dyDescent="0.3">
      <c r="A140" s="42" t="s">
        <v>238</v>
      </c>
      <c r="B140" s="43">
        <v>38113</v>
      </c>
      <c r="C140" s="42" t="s">
        <v>27</v>
      </c>
      <c r="D140" s="44">
        <v>9.75</v>
      </c>
      <c r="E140" s="44">
        <v>7.25</v>
      </c>
      <c r="F140">
        <v>2004</v>
      </c>
    </row>
    <row r="141" spans="1:6" ht="15" customHeight="1" x14ac:dyDescent="0.3">
      <c r="A141" s="42" t="s">
        <v>239</v>
      </c>
      <c r="B141" s="43">
        <v>38140</v>
      </c>
      <c r="C141" s="42" t="s">
        <v>27</v>
      </c>
      <c r="D141" s="44">
        <v>15.08</v>
      </c>
      <c r="E141" s="44">
        <v>11.48</v>
      </c>
      <c r="F141">
        <v>2004</v>
      </c>
    </row>
    <row r="142" spans="1:6" ht="15" customHeight="1" x14ac:dyDescent="0.3">
      <c r="A142" s="42" t="s">
        <v>240</v>
      </c>
      <c r="B142" s="43">
        <v>38167</v>
      </c>
      <c r="C142" s="42" t="s">
        <v>27</v>
      </c>
      <c r="D142" s="44">
        <v>16.72</v>
      </c>
      <c r="E142" s="44">
        <v>13.75</v>
      </c>
      <c r="F142">
        <v>2004</v>
      </c>
    </row>
    <row r="143" spans="1:6" ht="15" customHeight="1" x14ac:dyDescent="0.3">
      <c r="A143" s="42" t="s">
        <v>241</v>
      </c>
      <c r="B143" s="43">
        <v>38174</v>
      </c>
      <c r="C143" s="42" t="s">
        <v>27</v>
      </c>
      <c r="D143" s="44">
        <v>18.760000000000002</v>
      </c>
      <c r="E143" s="44">
        <v>15.7</v>
      </c>
      <c r="F143">
        <v>2004</v>
      </c>
    </row>
    <row r="144" spans="1:6" ht="15" customHeight="1" x14ac:dyDescent="0.3">
      <c r="A144" s="42" t="s">
        <v>242</v>
      </c>
      <c r="B144" s="43">
        <v>38188</v>
      </c>
      <c r="C144" s="42" t="s">
        <v>27</v>
      </c>
      <c r="D144" s="44">
        <v>20.73</v>
      </c>
      <c r="E144" s="44">
        <v>17.54</v>
      </c>
      <c r="F144">
        <v>2004</v>
      </c>
    </row>
    <row r="145" spans="1:6" ht="15" customHeight="1" x14ac:dyDescent="0.3">
      <c r="A145" s="42" t="s">
        <v>243</v>
      </c>
      <c r="B145" s="43">
        <v>38202</v>
      </c>
      <c r="C145" s="42" t="s">
        <v>27</v>
      </c>
      <c r="D145" s="45"/>
      <c r="E145" s="44">
        <v>19.100000000000001</v>
      </c>
      <c r="F145">
        <v>2004</v>
      </c>
    </row>
    <row r="146" spans="1:6" ht="15" customHeight="1" x14ac:dyDescent="0.3">
      <c r="A146" s="42" t="s">
        <v>244</v>
      </c>
      <c r="B146" s="43">
        <v>38222</v>
      </c>
      <c r="C146" s="42" t="s">
        <v>27</v>
      </c>
      <c r="D146" s="44">
        <v>22.22</v>
      </c>
      <c r="E146" s="44">
        <v>20.3</v>
      </c>
      <c r="F146">
        <v>2004</v>
      </c>
    </row>
    <row r="147" spans="1:6" ht="15" customHeight="1" x14ac:dyDescent="0.3">
      <c r="A147" s="42" t="s">
        <v>245</v>
      </c>
      <c r="B147" s="43">
        <v>38233</v>
      </c>
      <c r="C147" s="42" t="s">
        <v>27</v>
      </c>
      <c r="D147" s="44">
        <v>23.23</v>
      </c>
      <c r="E147" s="44">
        <v>21.38</v>
      </c>
      <c r="F147">
        <v>2004</v>
      </c>
    </row>
    <row r="148" spans="1:6" ht="15" customHeight="1" x14ac:dyDescent="0.3">
      <c r="A148" s="42" t="s">
        <v>246</v>
      </c>
      <c r="B148" s="43">
        <v>38273</v>
      </c>
      <c r="C148" s="42" t="s">
        <v>27</v>
      </c>
      <c r="D148" s="44">
        <v>18.899999999999999</v>
      </c>
      <c r="E148" s="44">
        <v>19.3</v>
      </c>
      <c r="F148">
        <v>2004</v>
      </c>
    </row>
    <row r="149" spans="1:6" ht="15" customHeight="1" x14ac:dyDescent="0.3">
      <c r="A149" s="42" t="s">
        <v>247</v>
      </c>
      <c r="B149" s="43">
        <v>38330</v>
      </c>
      <c r="C149" s="42" t="s">
        <v>27</v>
      </c>
      <c r="D149" s="44">
        <v>8.86</v>
      </c>
      <c r="E149" s="44">
        <v>9.16</v>
      </c>
      <c r="F149">
        <v>2004</v>
      </c>
    </row>
    <row r="150" spans="1:6" ht="15" customHeight="1" x14ac:dyDescent="0.3">
      <c r="A150" s="42" t="s">
        <v>248</v>
      </c>
      <c r="B150" s="43">
        <v>38363</v>
      </c>
      <c r="C150" s="42" t="s">
        <v>27</v>
      </c>
      <c r="D150" s="44">
        <v>4.3899999999999997</v>
      </c>
      <c r="E150" s="44">
        <v>4.43</v>
      </c>
      <c r="F150">
        <v>2005</v>
      </c>
    </row>
    <row r="151" spans="1:6" ht="15" customHeight="1" x14ac:dyDescent="0.3">
      <c r="A151" s="42" t="s">
        <v>249</v>
      </c>
      <c r="B151" s="43">
        <v>38383</v>
      </c>
      <c r="C151" s="42" t="s">
        <v>27</v>
      </c>
      <c r="D151" s="44">
        <v>0.91</v>
      </c>
      <c r="E151" s="44">
        <v>0.83</v>
      </c>
      <c r="F151">
        <v>2005</v>
      </c>
    </row>
    <row r="152" spans="1:6" ht="15" customHeight="1" x14ac:dyDescent="0.3">
      <c r="A152" s="42" t="s">
        <v>250</v>
      </c>
      <c r="B152" s="43">
        <v>38421</v>
      </c>
      <c r="C152" s="42" t="s">
        <v>27</v>
      </c>
      <c r="D152" s="44">
        <v>0.99</v>
      </c>
      <c r="E152" s="44">
        <v>0.99</v>
      </c>
      <c r="F152">
        <v>2005</v>
      </c>
    </row>
    <row r="153" spans="1:6" ht="15" customHeight="1" x14ac:dyDescent="0.3">
      <c r="A153" s="42" t="s">
        <v>251</v>
      </c>
      <c r="B153" s="43">
        <v>38448</v>
      </c>
      <c r="C153" s="42" t="s">
        <v>27</v>
      </c>
      <c r="D153" s="44">
        <v>4.6500000000000004</v>
      </c>
      <c r="E153" s="44">
        <v>3.34</v>
      </c>
      <c r="F153">
        <v>2005</v>
      </c>
    </row>
    <row r="154" spans="1:6" ht="15" customHeight="1" x14ac:dyDescent="0.3">
      <c r="A154" s="42" t="s">
        <v>252</v>
      </c>
      <c r="B154" s="43">
        <v>38481</v>
      </c>
      <c r="C154" s="42" t="s">
        <v>27</v>
      </c>
      <c r="D154" s="44">
        <v>9.26</v>
      </c>
      <c r="E154" s="44">
        <v>8.84</v>
      </c>
      <c r="F154">
        <v>2005</v>
      </c>
    </row>
    <row r="155" spans="1:6" ht="15" customHeight="1" x14ac:dyDescent="0.3">
      <c r="A155" s="42" t="s">
        <v>253</v>
      </c>
      <c r="B155" s="43">
        <v>38512</v>
      </c>
      <c r="C155" s="42" t="s">
        <v>27</v>
      </c>
      <c r="D155" s="46">
        <v>18.239999999999998</v>
      </c>
      <c r="E155" s="44">
        <v>11.75</v>
      </c>
      <c r="F155">
        <v>2005</v>
      </c>
    </row>
    <row r="156" spans="1:6" ht="15" customHeight="1" x14ac:dyDescent="0.3">
      <c r="A156" s="42" t="s">
        <v>254</v>
      </c>
      <c r="B156" s="43">
        <v>38526</v>
      </c>
      <c r="C156" s="42" t="s">
        <v>27</v>
      </c>
      <c r="D156" s="44">
        <v>17.54</v>
      </c>
      <c r="E156" s="44">
        <v>12.95</v>
      </c>
      <c r="F156">
        <v>2005</v>
      </c>
    </row>
    <row r="157" spans="1:6" ht="15" customHeight="1" x14ac:dyDescent="0.3">
      <c r="A157" s="42" t="s">
        <v>255</v>
      </c>
      <c r="B157" s="43">
        <v>38544</v>
      </c>
      <c r="C157" s="42" t="s">
        <v>27</v>
      </c>
      <c r="D157" s="46">
        <v>20.55</v>
      </c>
      <c r="E157" s="44">
        <v>16.670000000000002</v>
      </c>
      <c r="F157">
        <v>2005</v>
      </c>
    </row>
    <row r="158" spans="1:6" ht="15" customHeight="1" x14ac:dyDescent="0.3">
      <c r="A158" s="42" t="s">
        <v>256</v>
      </c>
      <c r="B158" s="43">
        <v>38554</v>
      </c>
      <c r="C158" s="42" t="s">
        <v>27</v>
      </c>
      <c r="D158" s="44">
        <v>23.7</v>
      </c>
      <c r="E158" s="44">
        <v>17.079999999999998</v>
      </c>
      <c r="F158">
        <v>2005</v>
      </c>
    </row>
    <row r="159" spans="1:6" ht="15" customHeight="1" x14ac:dyDescent="0.3">
      <c r="A159" s="42" t="s">
        <v>257</v>
      </c>
      <c r="B159" s="43">
        <v>38567</v>
      </c>
      <c r="C159" s="42" t="s">
        <v>27</v>
      </c>
      <c r="D159" s="44">
        <v>22.75</v>
      </c>
      <c r="E159" s="44">
        <v>18.510000000000002</v>
      </c>
      <c r="F159">
        <v>2005</v>
      </c>
    </row>
    <row r="160" spans="1:6" ht="15" customHeight="1" x14ac:dyDescent="0.3">
      <c r="A160" s="42" t="s">
        <v>258</v>
      </c>
      <c r="B160" s="43">
        <v>38581</v>
      </c>
      <c r="C160" s="42" t="s">
        <v>27</v>
      </c>
      <c r="D160" s="44">
        <v>23.1</v>
      </c>
      <c r="E160" s="44">
        <v>19.649999999999999</v>
      </c>
      <c r="F160">
        <v>2005</v>
      </c>
    </row>
    <row r="161" spans="1:6" ht="15" customHeight="1" x14ac:dyDescent="0.3">
      <c r="A161" s="42" t="s">
        <v>259</v>
      </c>
      <c r="B161" s="43">
        <v>38594</v>
      </c>
      <c r="C161" s="42" t="s">
        <v>27</v>
      </c>
      <c r="D161" s="44">
        <v>23.16</v>
      </c>
      <c r="E161" s="44">
        <v>21.06</v>
      </c>
      <c r="F161">
        <v>2005</v>
      </c>
    </row>
    <row r="162" spans="1:6" ht="15" customHeight="1" x14ac:dyDescent="0.3">
      <c r="A162" s="42" t="s">
        <v>261</v>
      </c>
      <c r="B162" s="43">
        <v>38643</v>
      </c>
      <c r="C162" s="42" t="s">
        <v>27</v>
      </c>
      <c r="D162" s="44">
        <v>18.329999999999998</v>
      </c>
      <c r="E162" s="44">
        <v>18.59</v>
      </c>
      <c r="F162">
        <v>2005</v>
      </c>
    </row>
    <row r="163" spans="1:6" ht="15" customHeight="1" x14ac:dyDescent="0.3">
      <c r="A163" s="42" t="s">
        <v>262</v>
      </c>
      <c r="B163" s="43">
        <v>38674</v>
      </c>
      <c r="C163" s="42" t="s">
        <v>27</v>
      </c>
      <c r="D163" s="44">
        <v>13.18</v>
      </c>
      <c r="E163" s="44">
        <v>13.16</v>
      </c>
      <c r="F163">
        <v>2005</v>
      </c>
    </row>
    <row r="164" spans="1:6" ht="15" customHeight="1" x14ac:dyDescent="0.3">
      <c r="A164" s="42" t="s">
        <v>263</v>
      </c>
      <c r="B164" s="43">
        <v>38698</v>
      </c>
      <c r="C164" s="42" t="s">
        <v>27</v>
      </c>
      <c r="D164" s="44">
        <v>7.54</v>
      </c>
      <c r="E164" s="44">
        <v>7.63</v>
      </c>
      <c r="F164">
        <v>2005</v>
      </c>
    </row>
    <row r="165" spans="1:6" ht="15" customHeight="1" x14ac:dyDescent="0.3">
      <c r="A165" s="42" t="s">
        <v>264</v>
      </c>
      <c r="B165" s="43">
        <v>38782</v>
      </c>
      <c r="C165" s="42" t="s">
        <v>27</v>
      </c>
      <c r="D165" s="44">
        <v>2.06</v>
      </c>
      <c r="E165" s="44">
        <v>2.13</v>
      </c>
      <c r="F165">
        <v>2006</v>
      </c>
    </row>
    <row r="166" spans="1:6" ht="15" customHeight="1" x14ac:dyDescent="0.3">
      <c r="A166" s="42" t="s">
        <v>265</v>
      </c>
      <c r="B166" s="43">
        <v>38840</v>
      </c>
      <c r="C166" s="42" t="s">
        <v>27</v>
      </c>
      <c r="D166" s="44">
        <v>10.45</v>
      </c>
      <c r="E166" s="44">
        <v>9.8000000000000007</v>
      </c>
      <c r="F166">
        <v>2006</v>
      </c>
    </row>
    <row r="167" spans="1:6" ht="15" customHeight="1" x14ac:dyDescent="0.3">
      <c r="A167" s="42" t="s">
        <v>266</v>
      </c>
      <c r="B167" s="43">
        <v>38876</v>
      </c>
      <c r="C167" s="42" t="s">
        <v>27</v>
      </c>
      <c r="D167" s="44">
        <v>15.98</v>
      </c>
      <c r="E167" s="44">
        <v>14.36</v>
      </c>
      <c r="F167">
        <v>2006</v>
      </c>
    </row>
    <row r="168" spans="1:6" ht="15" customHeight="1" x14ac:dyDescent="0.3">
      <c r="A168" s="42" t="s">
        <v>267</v>
      </c>
      <c r="B168" s="43">
        <v>38891</v>
      </c>
      <c r="C168" s="42" t="s">
        <v>27</v>
      </c>
      <c r="D168" s="44">
        <v>17.45</v>
      </c>
      <c r="E168" s="44">
        <v>14.21</v>
      </c>
      <c r="F168">
        <v>2006</v>
      </c>
    </row>
    <row r="169" spans="1:6" ht="15" customHeight="1" x14ac:dyDescent="0.3">
      <c r="A169" s="42" t="s">
        <v>268</v>
      </c>
      <c r="B169" s="43">
        <v>38908</v>
      </c>
      <c r="C169" s="42" t="s">
        <v>27</v>
      </c>
      <c r="D169" s="44">
        <v>19.86</v>
      </c>
      <c r="E169" s="44">
        <v>15.85</v>
      </c>
      <c r="F169">
        <v>2006</v>
      </c>
    </row>
    <row r="170" spans="1:6" ht="15" customHeight="1" x14ac:dyDescent="0.3">
      <c r="A170" s="42" t="s">
        <v>269</v>
      </c>
      <c r="B170" s="43">
        <v>38916</v>
      </c>
      <c r="C170" s="42" t="s">
        <v>27</v>
      </c>
      <c r="D170" s="44">
        <v>20.68</v>
      </c>
      <c r="E170" s="44">
        <v>17.02</v>
      </c>
      <c r="F170">
        <v>2006</v>
      </c>
    </row>
    <row r="171" spans="1:6" ht="15" customHeight="1" x14ac:dyDescent="0.3">
      <c r="A171" s="42" t="s">
        <v>270</v>
      </c>
      <c r="B171" s="43">
        <v>38931</v>
      </c>
      <c r="C171" s="42" t="s">
        <v>27</v>
      </c>
      <c r="D171" s="44">
        <v>24.72</v>
      </c>
      <c r="E171" s="44">
        <v>18.39</v>
      </c>
      <c r="F171">
        <v>2006</v>
      </c>
    </row>
    <row r="172" spans="1:6" ht="15" customHeight="1" x14ac:dyDescent="0.3">
      <c r="A172" s="42" t="s">
        <v>271</v>
      </c>
      <c r="B172" s="43">
        <v>38946</v>
      </c>
      <c r="C172" s="42" t="s">
        <v>27</v>
      </c>
      <c r="D172" s="44">
        <v>23.63</v>
      </c>
      <c r="E172" s="44">
        <v>20.81</v>
      </c>
      <c r="F172">
        <v>2006</v>
      </c>
    </row>
    <row r="173" spans="1:6" ht="15" customHeight="1" x14ac:dyDescent="0.3">
      <c r="A173" s="42" t="s">
        <v>272</v>
      </c>
      <c r="B173" s="43">
        <v>38960</v>
      </c>
      <c r="C173" s="42" t="s">
        <v>27</v>
      </c>
      <c r="D173" s="44">
        <v>21.64</v>
      </c>
      <c r="E173" s="44">
        <v>21.52</v>
      </c>
      <c r="F173">
        <v>2006</v>
      </c>
    </row>
    <row r="174" spans="1:6" ht="15" customHeight="1" x14ac:dyDescent="0.3">
      <c r="A174" s="42" t="s">
        <v>273</v>
      </c>
      <c r="B174" s="43">
        <v>39006</v>
      </c>
      <c r="C174" s="42" t="s">
        <v>27</v>
      </c>
      <c r="D174" s="45"/>
      <c r="E174" s="45"/>
      <c r="F174">
        <v>2006</v>
      </c>
    </row>
    <row r="175" spans="1:6" ht="15" customHeight="1" x14ac:dyDescent="0.3">
      <c r="A175" s="42" t="s">
        <v>274</v>
      </c>
      <c r="B175" s="43">
        <v>39030</v>
      </c>
      <c r="C175" s="42" t="s">
        <v>27</v>
      </c>
      <c r="D175" s="44">
        <v>13.31</v>
      </c>
      <c r="E175" s="44">
        <v>13.39</v>
      </c>
      <c r="F175">
        <v>2006</v>
      </c>
    </row>
    <row r="176" spans="1:6" ht="15" customHeight="1" x14ac:dyDescent="0.3">
      <c r="A176" s="42" t="s">
        <v>275</v>
      </c>
      <c r="B176" s="43">
        <v>39065</v>
      </c>
      <c r="C176" s="42" t="s">
        <v>27</v>
      </c>
      <c r="D176" s="44">
        <v>8.4700000000000006</v>
      </c>
      <c r="E176" s="44">
        <v>9.3800000000000008</v>
      </c>
      <c r="F176">
        <v>2006</v>
      </c>
    </row>
    <row r="177" spans="1:6" ht="15" customHeight="1" x14ac:dyDescent="0.3">
      <c r="A177" s="42" t="s">
        <v>276</v>
      </c>
      <c r="B177" s="43">
        <v>39101</v>
      </c>
      <c r="C177" s="42" t="s">
        <v>27</v>
      </c>
      <c r="D177" s="44">
        <v>5.82</v>
      </c>
      <c r="E177" s="44">
        <v>6.41</v>
      </c>
      <c r="F177">
        <v>2007</v>
      </c>
    </row>
    <row r="178" spans="1:6" ht="15" customHeight="1" x14ac:dyDescent="0.3">
      <c r="A178" s="42" t="s">
        <v>277</v>
      </c>
      <c r="B178" s="43">
        <v>39120</v>
      </c>
      <c r="C178" s="42" t="s">
        <v>27</v>
      </c>
      <c r="D178" s="44">
        <v>2.5499999999999998</v>
      </c>
      <c r="E178" s="44">
        <v>2.78</v>
      </c>
      <c r="F178">
        <v>2007</v>
      </c>
    </row>
    <row r="179" spans="1:6" ht="15" customHeight="1" x14ac:dyDescent="0.3">
      <c r="A179" s="42" t="s">
        <v>278</v>
      </c>
      <c r="B179" s="43">
        <v>39153</v>
      </c>
      <c r="C179" s="42" t="s">
        <v>27</v>
      </c>
      <c r="D179" s="44">
        <v>1.1499999999999999</v>
      </c>
      <c r="E179" s="44">
        <v>0.97</v>
      </c>
      <c r="F179">
        <v>2007</v>
      </c>
    </row>
    <row r="180" spans="1:6" ht="15" customHeight="1" x14ac:dyDescent="0.3">
      <c r="A180" s="42" t="s">
        <v>280</v>
      </c>
      <c r="B180" s="43">
        <v>39175</v>
      </c>
      <c r="C180" s="42" t="s">
        <v>27</v>
      </c>
      <c r="D180" s="44">
        <v>4.6900000000000004</v>
      </c>
      <c r="E180" s="44">
        <v>2.75</v>
      </c>
      <c r="F180">
        <v>2007</v>
      </c>
    </row>
    <row r="181" spans="1:6" ht="15" customHeight="1" x14ac:dyDescent="0.3">
      <c r="A181" s="42" t="s">
        <v>281</v>
      </c>
      <c r="B181" s="43">
        <v>39210</v>
      </c>
      <c r="C181" s="42" t="s">
        <v>27</v>
      </c>
      <c r="D181" s="44">
        <v>10.4</v>
      </c>
      <c r="E181" s="44">
        <v>6.63</v>
      </c>
      <c r="F181">
        <v>2007</v>
      </c>
    </row>
    <row r="182" spans="1:6" ht="15" customHeight="1" x14ac:dyDescent="0.3">
      <c r="A182" s="42" t="s">
        <v>282</v>
      </c>
      <c r="B182" s="43">
        <v>39239</v>
      </c>
      <c r="C182" s="42" t="s">
        <v>27</v>
      </c>
      <c r="D182" s="44">
        <v>14.78</v>
      </c>
      <c r="E182" s="44">
        <v>11.1</v>
      </c>
      <c r="F182">
        <v>2007</v>
      </c>
    </row>
    <row r="183" spans="1:6" ht="15" customHeight="1" x14ac:dyDescent="0.3">
      <c r="A183" s="42" t="s">
        <v>283</v>
      </c>
      <c r="B183" s="43">
        <v>39254</v>
      </c>
      <c r="C183" s="42" t="s">
        <v>27</v>
      </c>
      <c r="D183" s="44">
        <v>18.2</v>
      </c>
      <c r="E183" s="44">
        <v>13.09</v>
      </c>
      <c r="F183">
        <v>2007</v>
      </c>
    </row>
    <row r="184" spans="1:6" ht="15" customHeight="1" x14ac:dyDescent="0.3">
      <c r="A184" s="42" t="s">
        <v>284</v>
      </c>
      <c r="B184" s="43">
        <v>39273</v>
      </c>
      <c r="C184" s="42" t="s">
        <v>27</v>
      </c>
      <c r="D184" s="44">
        <v>19.3</v>
      </c>
      <c r="E184" s="44">
        <v>15.78</v>
      </c>
      <c r="F184">
        <v>2007</v>
      </c>
    </row>
    <row r="185" spans="1:6" ht="15" customHeight="1" x14ac:dyDescent="0.3">
      <c r="A185" s="42" t="s">
        <v>285</v>
      </c>
      <c r="B185" s="43">
        <v>39287</v>
      </c>
      <c r="C185" s="42" t="s">
        <v>27</v>
      </c>
      <c r="D185" s="44">
        <v>20.83</v>
      </c>
      <c r="E185" s="44">
        <v>18.09</v>
      </c>
      <c r="F185">
        <v>2007</v>
      </c>
    </row>
    <row r="186" spans="1:6" ht="15" customHeight="1" x14ac:dyDescent="0.3">
      <c r="A186" s="42" t="s">
        <v>286</v>
      </c>
      <c r="B186" s="43">
        <v>39295</v>
      </c>
      <c r="C186" s="42" t="s">
        <v>27</v>
      </c>
      <c r="D186" s="44">
        <v>23.15</v>
      </c>
      <c r="E186" s="44">
        <v>18.809999999999999</v>
      </c>
      <c r="F186">
        <v>2007</v>
      </c>
    </row>
    <row r="187" spans="1:6" ht="15" customHeight="1" x14ac:dyDescent="0.3">
      <c r="A187" s="42" t="s">
        <v>287</v>
      </c>
      <c r="B187" s="43">
        <v>39308</v>
      </c>
      <c r="C187" s="42" t="s">
        <v>27</v>
      </c>
      <c r="D187" s="44">
        <v>22.73</v>
      </c>
      <c r="E187" s="44">
        <v>21.77</v>
      </c>
      <c r="F187">
        <v>2007</v>
      </c>
    </row>
    <row r="188" spans="1:6" ht="15" customHeight="1" x14ac:dyDescent="0.3">
      <c r="A188" s="42" t="s">
        <v>288</v>
      </c>
      <c r="B188" s="43">
        <v>39323</v>
      </c>
      <c r="C188" s="42" t="s">
        <v>27</v>
      </c>
      <c r="D188" s="44">
        <v>22.89</v>
      </c>
      <c r="E188" s="44">
        <v>21.03</v>
      </c>
      <c r="F188">
        <v>2007</v>
      </c>
    </row>
    <row r="189" spans="1:6" ht="15" customHeight="1" x14ac:dyDescent="0.3">
      <c r="A189" s="42" t="s">
        <v>289</v>
      </c>
      <c r="B189" s="43">
        <v>39335</v>
      </c>
      <c r="C189" s="42" t="s">
        <v>27</v>
      </c>
      <c r="D189" s="44">
        <v>22.7</v>
      </c>
      <c r="E189" s="44">
        <v>21.71</v>
      </c>
      <c r="F189">
        <v>2007</v>
      </c>
    </row>
    <row r="190" spans="1:6" ht="15" customHeight="1" x14ac:dyDescent="0.3">
      <c r="A190" s="42" t="s">
        <v>290</v>
      </c>
      <c r="B190" s="43">
        <v>39358</v>
      </c>
      <c r="C190" s="42" t="s">
        <v>27</v>
      </c>
      <c r="D190" s="44">
        <v>21.12</v>
      </c>
      <c r="E190" s="44">
        <v>21.18</v>
      </c>
      <c r="F190">
        <v>2007</v>
      </c>
    </row>
    <row r="191" spans="1:6" ht="15" customHeight="1" x14ac:dyDescent="0.3">
      <c r="A191" s="42" t="s">
        <v>291</v>
      </c>
      <c r="B191" s="43">
        <v>39400</v>
      </c>
      <c r="C191" s="42" t="s">
        <v>27</v>
      </c>
      <c r="D191" s="44">
        <v>14.4</v>
      </c>
      <c r="E191" s="44">
        <v>14.12</v>
      </c>
      <c r="F191">
        <v>2007</v>
      </c>
    </row>
    <row r="192" spans="1:6" ht="15" customHeight="1" x14ac:dyDescent="0.3">
      <c r="A192" s="42" t="s">
        <v>292</v>
      </c>
      <c r="B192" s="43">
        <v>39422</v>
      </c>
      <c r="C192" s="42" t="s">
        <v>27</v>
      </c>
      <c r="D192" s="44">
        <v>8.9499999999999993</v>
      </c>
      <c r="E192" s="44">
        <v>9.17</v>
      </c>
      <c r="F192">
        <v>2007</v>
      </c>
    </row>
    <row r="193" spans="1:6" ht="15" customHeight="1" x14ac:dyDescent="0.3">
      <c r="A193" s="42" t="s">
        <v>293</v>
      </c>
      <c r="B193" s="43">
        <v>39457</v>
      </c>
      <c r="C193" s="42" t="s">
        <v>27</v>
      </c>
      <c r="D193" s="44">
        <v>4.49</v>
      </c>
      <c r="E193" s="44">
        <v>4.7699999999999996</v>
      </c>
      <c r="F193">
        <v>2008</v>
      </c>
    </row>
    <row r="194" spans="1:6" ht="15" customHeight="1" x14ac:dyDescent="0.3">
      <c r="A194" s="42" t="s">
        <v>294</v>
      </c>
      <c r="B194" s="43">
        <v>39484</v>
      </c>
      <c r="C194" s="42" t="s">
        <v>27</v>
      </c>
      <c r="D194" s="44">
        <v>3.12</v>
      </c>
      <c r="E194" s="44">
        <v>3.03</v>
      </c>
      <c r="F194">
        <v>2008</v>
      </c>
    </row>
    <row r="195" spans="1:6" ht="15" customHeight="1" x14ac:dyDescent="0.3">
      <c r="A195" s="42" t="s">
        <v>296</v>
      </c>
      <c r="B195" s="43">
        <v>39510</v>
      </c>
      <c r="C195" s="42" t="s">
        <v>27</v>
      </c>
      <c r="D195" s="44">
        <v>2.44</v>
      </c>
      <c r="E195" s="44">
        <v>2.58</v>
      </c>
      <c r="F195">
        <v>2008</v>
      </c>
    </row>
    <row r="196" spans="1:6" ht="15" customHeight="1" x14ac:dyDescent="0.3">
      <c r="A196" s="42" t="s">
        <v>298</v>
      </c>
      <c r="B196" s="43">
        <v>39546</v>
      </c>
      <c r="C196" s="42" t="s">
        <v>27</v>
      </c>
      <c r="D196" s="44">
        <v>5.73</v>
      </c>
      <c r="E196" s="44">
        <v>5.7</v>
      </c>
      <c r="F196">
        <v>2008</v>
      </c>
    </row>
    <row r="197" spans="1:6" ht="15" customHeight="1" x14ac:dyDescent="0.3">
      <c r="A197" s="42" t="s">
        <v>299</v>
      </c>
      <c r="B197" s="43">
        <v>39575</v>
      </c>
      <c r="C197" s="42" t="s">
        <v>27</v>
      </c>
      <c r="D197" s="44">
        <v>12.93</v>
      </c>
      <c r="E197" s="44">
        <v>10.67</v>
      </c>
      <c r="F197">
        <v>2008</v>
      </c>
    </row>
    <row r="198" spans="1:6" ht="15" customHeight="1" x14ac:dyDescent="0.3">
      <c r="A198" s="42" t="s">
        <v>300</v>
      </c>
      <c r="B198" s="43">
        <v>39602</v>
      </c>
      <c r="C198" s="42" t="s">
        <v>27</v>
      </c>
      <c r="D198" s="44">
        <v>15.6</v>
      </c>
      <c r="E198" s="44">
        <v>11.41</v>
      </c>
      <c r="F198">
        <v>2008</v>
      </c>
    </row>
    <row r="199" spans="1:6" ht="15" customHeight="1" x14ac:dyDescent="0.3">
      <c r="A199" s="42" t="s">
        <v>301</v>
      </c>
      <c r="B199" s="43">
        <v>39616</v>
      </c>
      <c r="C199" s="42" t="s">
        <v>27</v>
      </c>
      <c r="D199" s="44">
        <v>18.64</v>
      </c>
      <c r="E199" s="44">
        <v>12.89</v>
      </c>
      <c r="F199">
        <v>2008</v>
      </c>
    </row>
    <row r="200" spans="1:6" ht="15" customHeight="1" x14ac:dyDescent="0.3">
      <c r="A200" s="42" t="s">
        <v>302</v>
      </c>
      <c r="B200" s="43">
        <v>39632</v>
      </c>
      <c r="C200" s="42" t="s">
        <v>27</v>
      </c>
      <c r="D200" s="44">
        <v>18.54</v>
      </c>
      <c r="E200" s="44">
        <v>14.35</v>
      </c>
      <c r="F200">
        <v>2008</v>
      </c>
    </row>
    <row r="201" spans="1:6" ht="15" customHeight="1" x14ac:dyDescent="0.3">
      <c r="A201" s="42" t="s">
        <v>303</v>
      </c>
      <c r="B201" s="43">
        <v>39651</v>
      </c>
      <c r="C201" s="42" t="s">
        <v>27</v>
      </c>
      <c r="D201" s="44">
        <v>21.75</v>
      </c>
      <c r="E201" s="44">
        <v>17.440000000000001</v>
      </c>
      <c r="F201">
        <v>2008</v>
      </c>
    </row>
    <row r="202" spans="1:6" ht="15" customHeight="1" x14ac:dyDescent="0.3">
      <c r="A202" s="42" t="s">
        <v>304</v>
      </c>
      <c r="B202" s="43">
        <v>39665</v>
      </c>
      <c r="C202" s="42" t="s">
        <v>27</v>
      </c>
      <c r="D202" s="44">
        <v>22.86</v>
      </c>
      <c r="E202" s="44">
        <v>19.440000000000001</v>
      </c>
      <c r="F202">
        <v>2008</v>
      </c>
    </row>
    <row r="203" spans="1:6" ht="15" customHeight="1" x14ac:dyDescent="0.3">
      <c r="A203" s="42" t="s">
        <v>305</v>
      </c>
      <c r="B203" s="43">
        <v>39680</v>
      </c>
      <c r="C203" s="42" t="s">
        <v>27</v>
      </c>
      <c r="D203" s="44">
        <v>22.09</v>
      </c>
      <c r="E203" s="44">
        <v>20.75</v>
      </c>
      <c r="F203">
        <v>2008</v>
      </c>
    </row>
    <row r="204" spans="1:6" ht="15" customHeight="1" x14ac:dyDescent="0.3">
      <c r="A204" s="42" t="s">
        <v>306</v>
      </c>
      <c r="B204" s="43">
        <v>39694</v>
      </c>
      <c r="C204" s="42" t="s">
        <v>27</v>
      </c>
      <c r="D204" s="44">
        <v>22.81</v>
      </c>
      <c r="E204" s="44">
        <v>21.8</v>
      </c>
      <c r="F204">
        <v>2008</v>
      </c>
    </row>
    <row r="205" spans="1:6" ht="15" customHeight="1" x14ac:dyDescent="0.3">
      <c r="A205" s="42" t="s">
        <v>307</v>
      </c>
      <c r="B205" s="43">
        <v>39707</v>
      </c>
      <c r="C205" s="42" t="s">
        <v>27</v>
      </c>
      <c r="D205" s="44">
        <v>22.23</v>
      </c>
      <c r="E205" s="44">
        <v>21.5</v>
      </c>
      <c r="F205">
        <v>2008</v>
      </c>
    </row>
    <row r="206" spans="1:6" ht="15" customHeight="1" x14ac:dyDescent="0.3">
      <c r="A206" s="42" t="s">
        <v>308</v>
      </c>
      <c r="B206" s="43">
        <v>39728</v>
      </c>
      <c r="C206" s="42" t="s">
        <v>27</v>
      </c>
      <c r="D206" s="44">
        <v>19.329999999999998</v>
      </c>
      <c r="E206" s="44">
        <v>19.36</v>
      </c>
      <c r="F206">
        <v>2008</v>
      </c>
    </row>
    <row r="207" spans="1:6" ht="15" customHeight="1" x14ac:dyDescent="0.3">
      <c r="A207" s="42" t="s">
        <v>309</v>
      </c>
      <c r="B207" s="43">
        <v>39759</v>
      </c>
      <c r="C207" s="42" t="s">
        <v>27</v>
      </c>
      <c r="D207" s="44">
        <v>14.25</v>
      </c>
      <c r="E207" s="44">
        <v>14.13</v>
      </c>
      <c r="F207">
        <v>2008</v>
      </c>
    </row>
    <row r="208" spans="1:6" ht="15" customHeight="1" x14ac:dyDescent="0.3">
      <c r="A208" s="42" t="s">
        <v>310</v>
      </c>
      <c r="B208" s="43">
        <v>39799</v>
      </c>
      <c r="C208" s="42" t="s">
        <v>27</v>
      </c>
      <c r="D208" s="44">
        <v>6.92</v>
      </c>
      <c r="E208" s="44">
        <v>6.92</v>
      </c>
      <c r="F208">
        <v>2008</v>
      </c>
    </row>
    <row r="209" spans="1:6" ht="15" customHeight="1" x14ac:dyDescent="0.3">
      <c r="A209" s="42" t="s">
        <v>311</v>
      </c>
      <c r="B209" s="43">
        <v>39825</v>
      </c>
      <c r="C209" s="42" t="s">
        <v>27</v>
      </c>
      <c r="D209" s="44">
        <v>3.13</v>
      </c>
      <c r="E209" s="44">
        <v>3.15</v>
      </c>
      <c r="F209">
        <v>2009</v>
      </c>
    </row>
    <row r="210" spans="1:6" ht="15" customHeight="1" x14ac:dyDescent="0.3">
      <c r="A210" s="42" t="s">
        <v>312</v>
      </c>
      <c r="B210" s="43">
        <v>39848</v>
      </c>
      <c r="C210" s="42" t="s">
        <v>27</v>
      </c>
      <c r="D210" s="44">
        <v>0.68</v>
      </c>
      <c r="E210" s="44">
        <v>0.82</v>
      </c>
      <c r="F210">
        <v>2009</v>
      </c>
    </row>
    <row r="211" spans="1:6" ht="15" customHeight="1" x14ac:dyDescent="0.3">
      <c r="A211" s="42" t="s">
        <v>314</v>
      </c>
      <c r="B211" s="43">
        <v>39877</v>
      </c>
      <c r="C211" s="42" t="s">
        <v>27</v>
      </c>
      <c r="D211" s="44">
        <v>1.27</v>
      </c>
      <c r="E211" s="44">
        <v>1.35</v>
      </c>
      <c r="F211">
        <v>2009</v>
      </c>
    </row>
    <row r="212" spans="1:6" ht="15" customHeight="1" x14ac:dyDescent="0.3">
      <c r="A212" s="42" t="s">
        <v>316</v>
      </c>
      <c r="B212" s="43">
        <v>39904</v>
      </c>
      <c r="C212" s="42" t="s">
        <v>27</v>
      </c>
      <c r="D212" s="44">
        <v>4.79</v>
      </c>
      <c r="E212" s="44">
        <v>3.94</v>
      </c>
      <c r="F212">
        <v>2009</v>
      </c>
    </row>
    <row r="213" spans="1:6" ht="15" customHeight="1" x14ac:dyDescent="0.3">
      <c r="A213" s="42" t="s">
        <v>317</v>
      </c>
      <c r="B213" s="43">
        <v>39937</v>
      </c>
      <c r="C213" s="42" t="s">
        <v>27</v>
      </c>
      <c r="D213" s="44">
        <v>10.65</v>
      </c>
      <c r="E213" s="44">
        <v>7.96</v>
      </c>
      <c r="F213">
        <v>2009</v>
      </c>
    </row>
    <row r="214" spans="1:6" ht="15" customHeight="1" x14ac:dyDescent="0.3">
      <c r="A214" s="42" t="s">
        <v>318</v>
      </c>
      <c r="B214" s="43">
        <v>39973</v>
      </c>
      <c r="C214" s="42" t="s">
        <v>27</v>
      </c>
      <c r="D214" s="44">
        <v>16.09</v>
      </c>
      <c r="E214" s="44">
        <v>12.61</v>
      </c>
      <c r="F214">
        <v>2009</v>
      </c>
    </row>
    <row r="215" spans="1:6" ht="15" customHeight="1" x14ac:dyDescent="0.3">
      <c r="A215" s="42" t="s">
        <v>319</v>
      </c>
      <c r="B215" s="43">
        <v>39987</v>
      </c>
      <c r="C215" s="42" t="s">
        <v>27</v>
      </c>
      <c r="D215" s="44">
        <v>17.79</v>
      </c>
      <c r="E215" s="44">
        <v>13.91</v>
      </c>
      <c r="F215">
        <v>2009</v>
      </c>
    </row>
    <row r="216" spans="1:6" ht="15" customHeight="1" x14ac:dyDescent="0.3">
      <c r="A216" s="42" t="s">
        <v>320</v>
      </c>
      <c r="B216" s="43">
        <v>40002</v>
      </c>
      <c r="C216" s="42" t="s">
        <v>27</v>
      </c>
      <c r="D216" s="44">
        <v>20.81</v>
      </c>
      <c r="E216" s="44">
        <v>15.24</v>
      </c>
      <c r="F216">
        <v>2009</v>
      </c>
    </row>
    <row r="217" spans="1:6" ht="15" customHeight="1" x14ac:dyDescent="0.3">
      <c r="A217" s="42" t="s">
        <v>321</v>
      </c>
      <c r="B217" s="43">
        <v>40016</v>
      </c>
      <c r="C217" s="42" t="s">
        <v>27</v>
      </c>
      <c r="D217" s="44">
        <v>19.91</v>
      </c>
      <c r="E217" s="44">
        <v>17</v>
      </c>
      <c r="F217">
        <v>2009</v>
      </c>
    </row>
    <row r="218" spans="1:6" ht="15" customHeight="1" x14ac:dyDescent="0.3">
      <c r="A218" s="42" t="s">
        <v>322</v>
      </c>
      <c r="B218" s="43">
        <v>40030</v>
      </c>
      <c r="C218" s="42" t="s">
        <v>27</v>
      </c>
      <c r="D218" s="44">
        <v>23.12</v>
      </c>
      <c r="E218" s="44">
        <v>18.149999999999999</v>
      </c>
      <c r="F218">
        <v>2009</v>
      </c>
    </row>
    <row r="219" spans="1:6" ht="15" customHeight="1" x14ac:dyDescent="0.3">
      <c r="A219" s="42" t="s">
        <v>323</v>
      </c>
      <c r="B219" s="43">
        <v>40043</v>
      </c>
      <c r="C219" s="42" t="s">
        <v>27</v>
      </c>
      <c r="D219" s="44">
        <v>25.74</v>
      </c>
      <c r="E219" s="44">
        <v>20.04</v>
      </c>
      <c r="F219">
        <v>2009</v>
      </c>
    </row>
    <row r="220" spans="1:6" ht="15" customHeight="1" x14ac:dyDescent="0.3">
      <c r="A220" s="42" t="s">
        <v>324</v>
      </c>
      <c r="B220" s="43">
        <v>40058</v>
      </c>
      <c r="C220" s="42" t="s">
        <v>27</v>
      </c>
      <c r="D220" s="44">
        <v>22.11</v>
      </c>
      <c r="E220" s="44">
        <v>21.14</v>
      </c>
      <c r="F220">
        <v>2009</v>
      </c>
    </row>
    <row r="221" spans="1:6" ht="15" customHeight="1" x14ac:dyDescent="0.3">
      <c r="A221" s="42" t="s">
        <v>325</v>
      </c>
      <c r="B221" s="43">
        <v>40092</v>
      </c>
      <c r="C221" s="42" t="s">
        <v>27</v>
      </c>
      <c r="D221" s="44">
        <v>18.940000000000001</v>
      </c>
      <c r="E221" s="44">
        <v>19.12</v>
      </c>
      <c r="F221">
        <v>2009</v>
      </c>
    </row>
    <row r="222" spans="1:6" ht="15" customHeight="1" x14ac:dyDescent="0.3">
      <c r="A222" s="42" t="s">
        <v>326</v>
      </c>
      <c r="B222" s="43">
        <v>40121</v>
      </c>
      <c r="C222" s="42" t="s">
        <v>27</v>
      </c>
      <c r="D222" s="44">
        <v>14.12</v>
      </c>
      <c r="E222" s="44">
        <v>14.11</v>
      </c>
      <c r="F222">
        <v>2009</v>
      </c>
    </row>
    <row r="223" spans="1:6" ht="15" customHeight="1" x14ac:dyDescent="0.3">
      <c r="A223" s="42" t="s">
        <v>327</v>
      </c>
      <c r="B223" s="43">
        <v>40149</v>
      </c>
      <c r="C223" s="42" t="s">
        <v>27</v>
      </c>
      <c r="D223" s="44">
        <v>10.69</v>
      </c>
      <c r="E223" s="44">
        <v>11.15</v>
      </c>
      <c r="F223">
        <v>2009</v>
      </c>
    </row>
    <row r="224" spans="1:6" ht="15" customHeight="1" x14ac:dyDescent="0.3">
      <c r="A224" s="42" t="s">
        <v>328</v>
      </c>
      <c r="B224" s="43">
        <v>40190</v>
      </c>
      <c r="C224" s="42" t="s">
        <v>27</v>
      </c>
      <c r="D224" s="44">
        <v>2.61</v>
      </c>
      <c r="E224" s="44">
        <v>2.59</v>
      </c>
      <c r="F224">
        <v>2010</v>
      </c>
    </row>
    <row r="225" spans="1:6" ht="15" customHeight="1" x14ac:dyDescent="0.3">
      <c r="A225" s="42" t="s">
        <v>329</v>
      </c>
      <c r="B225" s="43">
        <v>40217</v>
      </c>
      <c r="C225" s="42" t="s">
        <v>27</v>
      </c>
      <c r="D225" s="44">
        <v>1.33</v>
      </c>
      <c r="E225" s="44">
        <v>1.35</v>
      </c>
      <c r="F225">
        <v>2010</v>
      </c>
    </row>
    <row r="226" spans="1:6" ht="15" customHeight="1" x14ac:dyDescent="0.3">
      <c r="A226" s="42" t="s">
        <v>330</v>
      </c>
      <c r="B226" s="43">
        <v>40239</v>
      </c>
      <c r="C226" s="42" t="s">
        <v>27</v>
      </c>
      <c r="D226" s="44">
        <v>2.09</v>
      </c>
      <c r="E226" s="44">
        <v>1.74</v>
      </c>
      <c r="F226">
        <v>2010</v>
      </c>
    </row>
    <row r="227" spans="1:6" ht="15" customHeight="1" x14ac:dyDescent="0.3">
      <c r="A227" s="42" t="s">
        <v>332</v>
      </c>
      <c r="B227" s="43">
        <v>40268</v>
      </c>
      <c r="C227" s="42" t="s">
        <v>27</v>
      </c>
      <c r="D227" s="44">
        <v>5.64</v>
      </c>
      <c r="E227" s="44">
        <v>5.66</v>
      </c>
      <c r="F227">
        <v>2010</v>
      </c>
    </row>
    <row r="228" spans="1:6" ht="15" customHeight="1" x14ac:dyDescent="0.3">
      <c r="A228" s="42" t="s">
        <v>333</v>
      </c>
      <c r="B228" s="43">
        <v>40302</v>
      </c>
      <c r="C228" s="42" t="s">
        <v>27</v>
      </c>
      <c r="D228" s="44">
        <v>12</v>
      </c>
      <c r="E228" s="44">
        <v>8.24</v>
      </c>
      <c r="F228">
        <v>2010</v>
      </c>
    </row>
    <row r="229" spans="1:6" ht="15" customHeight="1" x14ac:dyDescent="0.3">
      <c r="A229" s="42" t="s">
        <v>334</v>
      </c>
      <c r="B229" s="43">
        <v>40325</v>
      </c>
      <c r="C229" s="42" t="s">
        <v>27</v>
      </c>
      <c r="D229" s="44">
        <v>15.39</v>
      </c>
      <c r="E229" s="44">
        <v>11.47</v>
      </c>
      <c r="F229">
        <v>2010</v>
      </c>
    </row>
    <row r="230" spans="1:6" ht="15" customHeight="1" x14ac:dyDescent="0.3">
      <c r="A230" s="42" t="s">
        <v>335</v>
      </c>
      <c r="B230" s="43">
        <v>40347</v>
      </c>
      <c r="C230" s="42" t="s">
        <v>27</v>
      </c>
      <c r="D230" s="44">
        <v>16.96</v>
      </c>
      <c r="E230" s="44">
        <v>13.75</v>
      </c>
      <c r="F230">
        <v>2010</v>
      </c>
    </row>
    <row r="231" spans="1:6" ht="15" customHeight="1" x14ac:dyDescent="0.3">
      <c r="A231" s="42" t="s">
        <v>336</v>
      </c>
      <c r="B231" s="43">
        <v>40367</v>
      </c>
      <c r="C231" s="42" t="s">
        <v>27</v>
      </c>
      <c r="D231" s="44">
        <v>22.72</v>
      </c>
      <c r="E231" s="44">
        <v>15.97</v>
      </c>
      <c r="F231">
        <v>2010</v>
      </c>
    </row>
    <row r="232" spans="1:6" ht="15" customHeight="1" x14ac:dyDescent="0.3">
      <c r="A232" s="42" t="s">
        <v>337</v>
      </c>
      <c r="B232" s="43">
        <v>40382</v>
      </c>
      <c r="C232" s="42" t="s">
        <v>27</v>
      </c>
      <c r="D232" s="44">
        <v>22.83</v>
      </c>
      <c r="E232" s="44">
        <v>18.64</v>
      </c>
      <c r="F232">
        <v>2010</v>
      </c>
    </row>
    <row r="233" spans="1:6" ht="15" customHeight="1" x14ac:dyDescent="0.3">
      <c r="A233" s="42" t="s">
        <v>338</v>
      </c>
      <c r="B233" s="43">
        <v>40393</v>
      </c>
      <c r="C233" s="42" t="s">
        <v>27</v>
      </c>
      <c r="D233" s="44">
        <v>23.44</v>
      </c>
      <c r="E233" s="44">
        <v>19.899999999999999</v>
      </c>
      <c r="F233">
        <v>2010</v>
      </c>
    </row>
    <row r="234" spans="1:6" ht="15" customHeight="1" x14ac:dyDescent="0.3">
      <c r="A234" s="42" t="s">
        <v>339</v>
      </c>
      <c r="B234" s="43">
        <v>40407</v>
      </c>
      <c r="C234" s="42" t="s">
        <v>27</v>
      </c>
      <c r="D234" s="44">
        <v>22.75</v>
      </c>
      <c r="E234" s="44">
        <v>22.13</v>
      </c>
      <c r="F234">
        <v>2010</v>
      </c>
    </row>
    <row r="235" spans="1:6" ht="15" customHeight="1" x14ac:dyDescent="0.3">
      <c r="A235" s="42" t="s">
        <v>340</v>
      </c>
      <c r="B235" s="43">
        <v>40421</v>
      </c>
      <c r="C235" s="42" t="s">
        <v>27</v>
      </c>
      <c r="D235" s="44">
        <v>23.26</v>
      </c>
      <c r="E235" s="44">
        <v>22.3</v>
      </c>
      <c r="F235">
        <v>2010</v>
      </c>
    </row>
    <row r="236" spans="1:6" ht="15" customHeight="1" x14ac:dyDescent="0.3">
      <c r="A236" s="42" t="s">
        <v>341</v>
      </c>
      <c r="B236" s="43">
        <v>40463</v>
      </c>
      <c r="C236" s="42" t="s">
        <v>27</v>
      </c>
      <c r="D236" s="44">
        <v>18.88</v>
      </c>
      <c r="E236" s="44">
        <v>19.04</v>
      </c>
      <c r="F236">
        <v>2010</v>
      </c>
    </row>
    <row r="237" spans="1:6" ht="15" customHeight="1" x14ac:dyDescent="0.3">
      <c r="A237" s="42" t="s">
        <v>342</v>
      </c>
      <c r="B237" s="43">
        <v>40483</v>
      </c>
      <c r="C237" s="42" t="s">
        <v>27</v>
      </c>
      <c r="D237" s="44">
        <v>15.63</v>
      </c>
      <c r="E237" s="44">
        <v>15.7</v>
      </c>
      <c r="F237">
        <v>2010</v>
      </c>
    </row>
    <row r="238" spans="1:6" ht="15" customHeight="1" x14ac:dyDescent="0.3">
      <c r="A238" s="42" t="s">
        <v>343</v>
      </c>
      <c r="B238" s="43">
        <v>40514</v>
      </c>
      <c r="C238" s="42" t="s">
        <v>27</v>
      </c>
      <c r="D238" s="44">
        <v>10.24</v>
      </c>
      <c r="E238" s="44">
        <v>10.25</v>
      </c>
      <c r="F238">
        <v>2010</v>
      </c>
    </row>
    <row r="239" spans="1:6" ht="15" customHeight="1" x14ac:dyDescent="0.3">
      <c r="A239" s="42" t="s">
        <v>344</v>
      </c>
      <c r="B239" s="43">
        <v>40557</v>
      </c>
      <c r="C239" s="42" t="s">
        <v>27</v>
      </c>
      <c r="D239" s="44">
        <v>2.04</v>
      </c>
      <c r="E239" s="44">
        <v>2.16</v>
      </c>
      <c r="F239">
        <v>2011</v>
      </c>
    </row>
    <row r="240" spans="1:6" ht="15" customHeight="1" x14ac:dyDescent="0.3">
      <c r="A240" s="42" t="s">
        <v>345</v>
      </c>
      <c r="B240" s="43">
        <v>40584</v>
      </c>
      <c r="C240" s="42" t="s">
        <v>27</v>
      </c>
      <c r="D240" s="44">
        <v>0.42</v>
      </c>
      <c r="E240" s="44">
        <v>0.49</v>
      </c>
      <c r="F240">
        <v>2011</v>
      </c>
    </row>
    <row r="241" spans="1:6" ht="15" customHeight="1" x14ac:dyDescent="0.3">
      <c r="A241" s="42" t="s">
        <v>347</v>
      </c>
      <c r="B241" s="43">
        <v>40610</v>
      </c>
      <c r="C241" s="42" t="s">
        <v>27</v>
      </c>
      <c r="D241" s="44">
        <v>2.16</v>
      </c>
      <c r="E241" s="44">
        <v>2.08</v>
      </c>
      <c r="F241">
        <v>2011</v>
      </c>
    </row>
    <row r="242" spans="1:6" ht="15" customHeight="1" x14ac:dyDescent="0.3">
      <c r="A242" s="42" t="s">
        <v>348</v>
      </c>
      <c r="B242" s="43">
        <v>40647</v>
      </c>
      <c r="C242" s="42" t="s">
        <v>27</v>
      </c>
      <c r="D242" s="44">
        <v>6.36</v>
      </c>
      <c r="E242" s="44">
        <v>5.47</v>
      </c>
      <c r="F242">
        <v>2011</v>
      </c>
    </row>
    <row r="243" spans="1:6" ht="15" customHeight="1" x14ac:dyDescent="0.3">
      <c r="A243" s="42" t="s">
        <v>349</v>
      </c>
      <c r="B243" s="43">
        <v>40666</v>
      </c>
      <c r="C243" s="42" t="s">
        <v>27</v>
      </c>
      <c r="D243" s="44">
        <v>11.14</v>
      </c>
      <c r="E243" s="44">
        <v>7.26</v>
      </c>
      <c r="F243">
        <v>2011</v>
      </c>
    </row>
    <row r="244" spans="1:6" ht="15" customHeight="1" x14ac:dyDescent="0.3">
      <c r="A244" s="42" t="s">
        <v>350</v>
      </c>
      <c r="B244" s="43">
        <v>40695</v>
      </c>
      <c r="C244" s="42" t="s">
        <v>27</v>
      </c>
      <c r="D244" s="44">
        <v>19.850000000000001</v>
      </c>
      <c r="E244" s="44">
        <v>10.89</v>
      </c>
      <c r="F244">
        <v>2011</v>
      </c>
    </row>
    <row r="245" spans="1:6" ht="15" customHeight="1" x14ac:dyDescent="0.3">
      <c r="A245" s="42" t="s">
        <v>351</v>
      </c>
      <c r="B245" s="43">
        <v>40710</v>
      </c>
      <c r="C245" s="42" t="s">
        <v>27</v>
      </c>
      <c r="D245" s="44">
        <v>17.39</v>
      </c>
      <c r="E245" s="44">
        <v>14.86</v>
      </c>
      <c r="F245">
        <v>2011</v>
      </c>
    </row>
    <row r="246" spans="1:6" ht="15" customHeight="1" x14ac:dyDescent="0.3">
      <c r="A246" s="42" t="s">
        <v>352</v>
      </c>
      <c r="B246" s="43">
        <v>40730</v>
      </c>
      <c r="C246" s="42" t="s">
        <v>27</v>
      </c>
      <c r="D246" s="44">
        <v>19.46</v>
      </c>
      <c r="E246" s="44">
        <v>15.59</v>
      </c>
      <c r="F246">
        <v>2011</v>
      </c>
    </row>
    <row r="247" spans="1:6" ht="15" customHeight="1" x14ac:dyDescent="0.3">
      <c r="A247" s="42" t="s">
        <v>353</v>
      </c>
      <c r="B247" s="43">
        <v>40742</v>
      </c>
      <c r="C247" s="42" t="s">
        <v>27</v>
      </c>
      <c r="D247" s="44">
        <v>21.45</v>
      </c>
      <c r="E247" s="45"/>
      <c r="F247">
        <v>2011</v>
      </c>
    </row>
    <row r="248" spans="1:6" ht="15" customHeight="1" x14ac:dyDescent="0.3">
      <c r="A248" s="42" t="s">
        <v>354</v>
      </c>
      <c r="B248" s="43">
        <v>40758</v>
      </c>
      <c r="C248" s="42" t="s">
        <v>27</v>
      </c>
      <c r="D248" s="44">
        <v>23.15</v>
      </c>
      <c r="E248" s="44">
        <v>19.75</v>
      </c>
      <c r="F248">
        <v>2011</v>
      </c>
    </row>
    <row r="249" spans="1:6" ht="15" customHeight="1" x14ac:dyDescent="0.3">
      <c r="A249" s="42" t="s">
        <v>355</v>
      </c>
      <c r="B249" s="43">
        <v>40770</v>
      </c>
      <c r="C249" s="42" t="s">
        <v>27</v>
      </c>
      <c r="D249" s="44">
        <v>22.47</v>
      </c>
      <c r="E249" s="44">
        <v>20.99</v>
      </c>
      <c r="F249">
        <v>2011</v>
      </c>
    </row>
    <row r="250" spans="1:6" ht="15" customHeight="1" x14ac:dyDescent="0.3">
      <c r="A250" s="42" t="s">
        <v>356</v>
      </c>
      <c r="B250" s="43">
        <v>40786</v>
      </c>
      <c r="C250" s="42" t="s">
        <v>27</v>
      </c>
      <c r="D250" s="44">
        <v>22.61</v>
      </c>
      <c r="E250" s="44">
        <v>22.08</v>
      </c>
      <c r="F250">
        <v>2011</v>
      </c>
    </row>
    <row r="251" spans="1:6" ht="15" customHeight="1" x14ac:dyDescent="0.3">
      <c r="A251" s="42" t="s">
        <v>357</v>
      </c>
      <c r="B251" s="43">
        <v>40822</v>
      </c>
      <c r="C251" s="42" t="s">
        <v>27</v>
      </c>
      <c r="D251" s="44">
        <v>20.51</v>
      </c>
      <c r="E251" s="44">
        <v>20.48</v>
      </c>
      <c r="F251">
        <v>2011</v>
      </c>
    </row>
    <row r="252" spans="1:6" ht="15" customHeight="1" x14ac:dyDescent="0.3">
      <c r="A252" s="42" t="s">
        <v>358</v>
      </c>
      <c r="B252" s="43">
        <v>40856</v>
      </c>
      <c r="C252" s="42" t="s">
        <v>27</v>
      </c>
      <c r="D252" s="44">
        <v>14.36</v>
      </c>
      <c r="E252" s="44">
        <v>14.27</v>
      </c>
      <c r="F252">
        <v>2011</v>
      </c>
    </row>
    <row r="253" spans="1:6" ht="15" customHeight="1" x14ac:dyDescent="0.3">
      <c r="A253" s="42" t="s">
        <v>359</v>
      </c>
      <c r="B253" s="43">
        <v>40876</v>
      </c>
      <c r="C253" s="42" t="s">
        <v>27</v>
      </c>
      <c r="D253" s="44">
        <v>11.69</v>
      </c>
      <c r="E253" s="44">
        <v>11.93</v>
      </c>
      <c r="F253">
        <v>2011</v>
      </c>
    </row>
    <row r="254" spans="1:6" ht="15" customHeight="1" x14ac:dyDescent="0.3">
      <c r="A254" s="42" t="s">
        <v>360</v>
      </c>
      <c r="B254" s="43">
        <v>40917</v>
      </c>
      <c r="C254" s="42" t="s">
        <v>27</v>
      </c>
      <c r="D254" s="44">
        <v>6.49</v>
      </c>
      <c r="E254" s="44">
        <v>6.73</v>
      </c>
      <c r="F254">
        <v>2012</v>
      </c>
    </row>
    <row r="255" spans="1:6" ht="15" customHeight="1" x14ac:dyDescent="0.3">
      <c r="A255" s="42" t="s">
        <v>361</v>
      </c>
      <c r="B255" s="43">
        <v>40941</v>
      </c>
      <c r="C255" s="42" t="s">
        <v>27</v>
      </c>
      <c r="D255" s="44">
        <v>4.25</v>
      </c>
      <c r="E255" s="44">
        <v>4.71</v>
      </c>
      <c r="F255">
        <v>2012</v>
      </c>
    </row>
    <row r="256" spans="1:6" ht="15" customHeight="1" x14ac:dyDescent="0.3">
      <c r="A256" s="42" t="s">
        <v>363</v>
      </c>
      <c r="B256" s="43">
        <v>40973</v>
      </c>
      <c r="C256" s="42" t="s">
        <v>27</v>
      </c>
      <c r="D256" s="44">
        <v>4.5999999999999996</v>
      </c>
      <c r="E256" s="44">
        <v>4.59</v>
      </c>
      <c r="F256">
        <v>2012</v>
      </c>
    </row>
    <row r="257" spans="1:6" ht="15" customHeight="1" x14ac:dyDescent="0.3">
      <c r="A257" s="42" t="s">
        <v>365</v>
      </c>
      <c r="B257" s="43">
        <v>41003</v>
      </c>
      <c r="C257" s="42" t="s">
        <v>27</v>
      </c>
      <c r="D257" s="44">
        <v>8.2899999999999991</v>
      </c>
      <c r="E257" s="44">
        <v>7.14</v>
      </c>
      <c r="F257">
        <v>2012</v>
      </c>
    </row>
    <row r="258" spans="1:6" ht="15" customHeight="1" x14ac:dyDescent="0.3">
      <c r="A258" s="42" t="s">
        <v>366</v>
      </c>
      <c r="B258" s="43">
        <v>41031</v>
      </c>
      <c r="C258" s="42" t="s">
        <v>27</v>
      </c>
      <c r="D258" s="44">
        <v>11.18</v>
      </c>
      <c r="E258" s="44">
        <v>9.8000000000000007</v>
      </c>
      <c r="F258">
        <v>2012</v>
      </c>
    </row>
    <row r="259" spans="1:6" ht="15" customHeight="1" x14ac:dyDescent="0.3">
      <c r="A259" s="42" t="s">
        <v>367</v>
      </c>
      <c r="B259" s="43">
        <v>41059</v>
      </c>
      <c r="C259" s="42" t="s">
        <v>27</v>
      </c>
      <c r="D259" s="44">
        <v>17.32</v>
      </c>
      <c r="E259" s="44">
        <v>13.37</v>
      </c>
      <c r="F259">
        <v>2012</v>
      </c>
    </row>
    <row r="260" spans="1:6" ht="15" customHeight="1" x14ac:dyDescent="0.3">
      <c r="A260" s="42" t="s">
        <v>368</v>
      </c>
      <c r="B260" s="43">
        <v>41072</v>
      </c>
      <c r="C260" s="42" t="s">
        <v>27</v>
      </c>
      <c r="D260" s="46">
        <v>19.11</v>
      </c>
      <c r="E260" s="44">
        <v>15.06</v>
      </c>
      <c r="F260">
        <v>2012</v>
      </c>
    </row>
    <row r="261" spans="1:6" ht="15" customHeight="1" x14ac:dyDescent="0.3">
      <c r="A261" s="42" t="s">
        <v>369</v>
      </c>
      <c r="B261" s="43">
        <v>41087</v>
      </c>
      <c r="C261" s="42" t="s">
        <v>27</v>
      </c>
      <c r="D261" s="44">
        <v>18.739999999999998</v>
      </c>
      <c r="E261" s="44">
        <v>15.94</v>
      </c>
      <c r="F261">
        <v>2012</v>
      </c>
    </row>
    <row r="262" spans="1:6" ht="15" customHeight="1" x14ac:dyDescent="0.3">
      <c r="A262" s="42" t="s">
        <v>370</v>
      </c>
      <c r="B262" s="43">
        <v>41106</v>
      </c>
      <c r="C262" s="42" t="s">
        <v>27</v>
      </c>
      <c r="D262" s="44">
        <v>22.3</v>
      </c>
      <c r="E262" s="44">
        <v>18.55</v>
      </c>
      <c r="F262">
        <v>2012</v>
      </c>
    </row>
    <row r="263" spans="1:6" ht="15" customHeight="1" x14ac:dyDescent="0.3">
      <c r="A263" s="42" t="s">
        <v>371</v>
      </c>
      <c r="B263" s="43">
        <v>41122</v>
      </c>
      <c r="C263" s="42" t="s">
        <v>27</v>
      </c>
      <c r="D263" s="44">
        <v>22.77</v>
      </c>
      <c r="E263" s="44">
        <v>20.76</v>
      </c>
      <c r="F263">
        <v>2012</v>
      </c>
    </row>
    <row r="264" spans="1:6" ht="15" customHeight="1" x14ac:dyDescent="0.3">
      <c r="A264" s="42" t="s">
        <v>372</v>
      </c>
      <c r="B264" s="43">
        <v>41137</v>
      </c>
      <c r="C264" s="42" t="s">
        <v>27</v>
      </c>
      <c r="D264" s="44">
        <v>23.99</v>
      </c>
      <c r="E264" s="44">
        <v>21.58</v>
      </c>
      <c r="F264">
        <v>2012</v>
      </c>
    </row>
    <row r="265" spans="1:6" ht="15" customHeight="1" x14ac:dyDescent="0.3">
      <c r="A265" s="42" t="s">
        <v>373</v>
      </c>
      <c r="B265" s="43">
        <v>41150</v>
      </c>
      <c r="C265" s="42" t="s">
        <v>27</v>
      </c>
      <c r="D265" s="44">
        <v>23.81</v>
      </c>
      <c r="E265" s="44">
        <v>22.93</v>
      </c>
      <c r="F265">
        <v>2012</v>
      </c>
    </row>
    <row r="266" spans="1:6" ht="15" customHeight="1" x14ac:dyDescent="0.3">
      <c r="A266" s="42" t="s">
        <v>374</v>
      </c>
      <c r="B266" s="43">
        <v>41169</v>
      </c>
      <c r="C266" s="42" t="s">
        <v>27</v>
      </c>
      <c r="D266" s="44">
        <v>22.92</v>
      </c>
      <c r="E266" s="44">
        <v>22.85</v>
      </c>
      <c r="F266">
        <v>2012</v>
      </c>
    </row>
    <row r="267" spans="1:6" ht="15" customHeight="1" x14ac:dyDescent="0.3">
      <c r="A267" s="42" t="s">
        <v>375</v>
      </c>
      <c r="B267" s="43">
        <v>41185</v>
      </c>
      <c r="C267" s="42" t="s">
        <v>27</v>
      </c>
      <c r="D267" s="44">
        <v>20.6</v>
      </c>
      <c r="E267" s="44">
        <v>21.01</v>
      </c>
      <c r="F267">
        <v>2012</v>
      </c>
    </row>
    <row r="268" spans="1:6" ht="15" customHeight="1" x14ac:dyDescent="0.3">
      <c r="A268" s="42" t="s">
        <v>376</v>
      </c>
      <c r="B268" s="43">
        <v>41227</v>
      </c>
      <c r="C268" s="42" t="s">
        <v>27</v>
      </c>
      <c r="D268" s="44">
        <v>12.62</v>
      </c>
      <c r="E268" s="44">
        <v>12.63</v>
      </c>
      <c r="F268">
        <v>2012</v>
      </c>
    </row>
    <row r="269" spans="1:6" ht="15" customHeight="1" x14ac:dyDescent="0.3">
      <c r="A269" s="42" t="s">
        <v>377</v>
      </c>
      <c r="B269" s="43">
        <v>41247</v>
      </c>
      <c r="C269" s="42" t="s">
        <v>27</v>
      </c>
      <c r="D269" s="44">
        <v>9.02</v>
      </c>
      <c r="E269" s="44">
        <v>9.44</v>
      </c>
      <c r="F269">
        <v>2012</v>
      </c>
    </row>
    <row r="270" spans="1:6" ht="15" customHeight="1" x14ac:dyDescent="0.3">
      <c r="A270" s="42" t="s">
        <v>378</v>
      </c>
      <c r="B270" s="43">
        <v>41284</v>
      </c>
      <c r="C270" s="42" t="s">
        <v>27</v>
      </c>
      <c r="D270" s="44">
        <v>5.09</v>
      </c>
      <c r="E270" s="44">
        <v>5.1100000000000003</v>
      </c>
      <c r="F270">
        <v>2013</v>
      </c>
    </row>
    <row r="271" spans="1:6" ht="15" customHeight="1" x14ac:dyDescent="0.3">
      <c r="A271" s="42" t="s">
        <v>379</v>
      </c>
      <c r="B271" s="43">
        <v>41304</v>
      </c>
      <c r="C271" s="42" t="s">
        <v>27</v>
      </c>
      <c r="D271" s="46">
        <v>2.56</v>
      </c>
      <c r="E271" s="44">
        <v>2.99</v>
      </c>
      <c r="F271">
        <v>2013</v>
      </c>
    </row>
    <row r="272" spans="1:6" ht="15" customHeight="1" x14ac:dyDescent="0.3">
      <c r="A272" s="42" t="s">
        <v>381</v>
      </c>
      <c r="B272" s="43">
        <v>41344</v>
      </c>
      <c r="C272" s="42" t="s">
        <v>27</v>
      </c>
      <c r="D272" s="44">
        <v>3.01</v>
      </c>
      <c r="E272" s="44">
        <v>2.58</v>
      </c>
      <c r="F272">
        <v>2013</v>
      </c>
    </row>
    <row r="273" spans="1:6" ht="15" customHeight="1" x14ac:dyDescent="0.3">
      <c r="A273" s="42" t="s">
        <v>382</v>
      </c>
      <c r="B273" s="43">
        <v>41368</v>
      </c>
      <c r="C273" s="42" t="s">
        <v>27</v>
      </c>
      <c r="D273" s="44">
        <v>4.0999999999999996</v>
      </c>
      <c r="E273" s="44">
        <v>3.93</v>
      </c>
      <c r="F273">
        <v>2013</v>
      </c>
    </row>
    <row r="274" spans="1:6" ht="15" customHeight="1" x14ac:dyDescent="0.3">
      <c r="A274" s="42" t="s">
        <v>383</v>
      </c>
      <c r="B274" s="43">
        <v>41395</v>
      </c>
      <c r="C274" s="42" t="s">
        <v>27</v>
      </c>
      <c r="D274" s="44">
        <v>10.51</v>
      </c>
      <c r="E274" s="44">
        <v>8.9700000000000006</v>
      </c>
      <c r="F274">
        <v>2013</v>
      </c>
    </row>
    <row r="275" spans="1:6" ht="15" customHeight="1" x14ac:dyDescent="0.3">
      <c r="A275" s="42" t="s">
        <v>384</v>
      </c>
      <c r="B275" s="43">
        <v>41430</v>
      </c>
      <c r="C275" s="42" t="s">
        <v>27</v>
      </c>
      <c r="D275" s="44">
        <v>16.34</v>
      </c>
      <c r="E275" s="44">
        <v>12.15</v>
      </c>
      <c r="F275">
        <v>2013</v>
      </c>
    </row>
    <row r="276" spans="1:6" ht="15" customHeight="1" x14ac:dyDescent="0.3">
      <c r="A276" s="42" t="s">
        <v>385</v>
      </c>
      <c r="B276" s="43">
        <v>41446</v>
      </c>
      <c r="C276" s="42" t="s">
        <v>27</v>
      </c>
      <c r="D276" s="44">
        <v>19.48</v>
      </c>
      <c r="E276" s="44">
        <v>14.86</v>
      </c>
      <c r="F276">
        <v>2013</v>
      </c>
    </row>
    <row r="277" spans="1:6" ht="15" customHeight="1" x14ac:dyDescent="0.3">
      <c r="A277" s="42" t="s">
        <v>386</v>
      </c>
      <c r="B277" s="43">
        <v>41457</v>
      </c>
      <c r="C277" s="42" t="s">
        <v>27</v>
      </c>
      <c r="D277" s="44">
        <v>20.71</v>
      </c>
      <c r="E277" s="44">
        <v>16.14</v>
      </c>
      <c r="F277">
        <v>2013</v>
      </c>
    </row>
    <row r="278" spans="1:6" ht="15" customHeight="1" x14ac:dyDescent="0.3">
      <c r="A278" s="42" t="s">
        <v>387</v>
      </c>
      <c r="B278" s="43">
        <v>41470</v>
      </c>
      <c r="C278" s="42" t="s">
        <v>27</v>
      </c>
      <c r="D278" s="44">
        <v>22.34</v>
      </c>
      <c r="E278" s="44">
        <v>18</v>
      </c>
      <c r="F278">
        <v>2013</v>
      </c>
    </row>
    <row r="279" spans="1:6" ht="15" customHeight="1" x14ac:dyDescent="0.3">
      <c r="A279" s="42" t="s">
        <v>388</v>
      </c>
      <c r="B279" s="43">
        <v>41486</v>
      </c>
      <c r="C279" s="42" t="s">
        <v>27</v>
      </c>
      <c r="D279" s="44">
        <v>22.86</v>
      </c>
      <c r="E279" s="44">
        <v>20.11</v>
      </c>
      <c r="F279">
        <v>2013</v>
      </c>
    </row>
    <row r="280" spans="1:6" ht="15" customHeight="1" x14ac:dyDescent="0.3">
      <c r="A280" s="42" t="s">
        <v>389</v>
      </c>
      <c r="B280" s="43">
        <v>41498</v>
      </c>
      <c r="C280" s="42" t="s">
        <v>27</v>
      </c>
      <c r="D280" s="44">
        <v>22.17</v>
      </c>
      <c r="E280" s="44">
        <v>20.69</v>
      </c>
      <c r="F280">
        <v>2013</v>
      </c>
    </row>
    <row r="281" spans="1:6" ht="15" customHeight="1" x14ac:dyDescent="0.3">
      <c r="A281" s="42" t="s">
        <v>390</v>
      </c>
      <c r="B281" s="43">
        <v>41514</v>
      </c>
      <c r="C281" s="42" t="s">
        <v>27</v>
      </c>
      <c r="D281" s="44">
        <v>22.97</v>
      </c>
      <c r="E281" s="44">
        <v>21.75</v>
      </c>
      <c r="F281">
        <v>2013</v>
      </c>
    </row>
    <row r="282" spans="1:6" ht="15" customHeight="1" x14ac:dyDescent="0.3">
      <c r="A282" s="42" t="s">
        <v>391</v>
      </c>
      <c r="B282" s="43">
        <v>41526</v>
      </c>
      <c r="C282" s="42" t="s">
        <v>27</v>
      </c>
      <c r="D282" s="44">
        <v>21.89</v>
      </c>
      <c r="E282" s="44">
        <v>21.87</v>
      </c>
      <c r="F282">
        <v>2013</v>
      </c>
    </row>
    <row r="283" spans="1:6" ht="15" customHeight="1" x14ac:dyDescent="0.3">
      <c r="A283" s="42" t="s">
        <v>392</v>
      </c>
      <c r="B283" s="43">
        <v>41549</v>
      </c>
      <c r="C283" s="42" t="s">
        <v>27</v>
      </c>
      <c r="D283" s="44">
        <v>20.74</v>
      </c>
      <c r="E283" s="44">
        <v>20.260000000000002</v>
      </c>
      <c r="F283">
        <v>2013</v>
      </c>
    </row>
    <row r="284" spans="1:6" ht="15" customHeight="1" x14ac:dyDescent="0.3">
      <c r="A284" s="42" t="s">
        <v>393</v>
      </c>
      <c r="B284" s="43">
        <v>41583</v>
      </c>
      <c r="C284" s="42" t="s">
        <v>27</v>
      </c>
      <c r="D284" s="44">
        <v>15.45</v>
      </c>
      <c r="E284" s="44">
        <v>15.45</v>
      </c>
      <c r="F284">
        <v>2013</v>
      </c>
    </row>
    <row r="285" spans="1:6" ht="15" customHeight="1" x14ac:dyDescent="0.3">
      <c r="A285" s="42" t="s">
        <v>394</v>
      </c>
      <c r="B285" s="43">
        <v>41611</v>
      </c>
      <c r="C285" s="42" t="s">
        <v>27</v>
      </c>
      <c r="D285" s="44">
        <v>9.34</v>
      </c>
      <c r="E285" s="44">
        <v>9.35</v>
      </c>
      <c r="F285">
        <v>2013</v>
      </c>
    </row>
    <row r="286" spans="1:6" ht="15" customHeight="1" x14ac:dyDescent="0.3">
      <c r="A286" s="42" t="s">
        <v>395</v>
      </c>
      <c r="B286" s="43">
        <v>41648</v>
      </c>
      <c r="C286" s="42" t="s">
        <v>27</v>
      </c>
      <c r="D286" s="44">
        <v>1.91</v>
      </c>
      <c r="E286" s="44">
        <v>2.8</v>
      </c>
      <c r="F286">
        <v>2014</v>
      </c>
    </row>
    <row r="287" spans="1:6" ht="15" customHeight="1" x14ac:dyDescent="0.3">
      <c r="A287" s="42" t="s">
        <v>396</v>
      </c>
      <c r="B287" s="43">
        <v>41676</v>
      </c>
      <c r="C287" s="42" t="s">
        <v>27</v>
      </c>
      <c r="D287" s="44">
        <v>0.36</v>
      </c>
      <c r="E287" s="44">
        <v>0.48</v>
      </c>
      <c r="F287">
        <v>2014</v>
      </c>
    </row>
    <row r="288" spans="1:6" ht="15" customHeight="1" x14ac:dyDescent="0.3">
      <c r="A288" s="42" t="s">
        <v>398</v>
      </c>
      <c r="B288" s="43">
        <v>41703</v>
      </c>
      <c r="C288" s="42" t="s">
        <v>27</v>
      </c>
      <c r="D288" s="44">
        <v>0.14000000000000001</v>
      </c>
      <c r="E288" s="44">
        <v>0.13</v>
      </c>
      <c r="F288">
        <v>2014</v>
      </c>
    </row>
    <row r="289" spans="1:6" ht="15" customHeight="1" x14ac:dyDescent="0.3">
      <c r="A289" s="42" t="s">
        <v>399</v>
      </c>
      <c r="B289" s="43">
        <v>41731</v>
      </c>
      <c r="C289" s="42" t="s">
        <v>27</v>
      </c>
      <c r="D289" s="44">
        <v>2.62</v>
      </c>
      <c r="E289" s="44">
        <v>2.56</v>
      </c>
      <c r="F289">
        <v>2014</v>
      </c>
    </row>
    <row r="290" spans="1:6" ht="15" customHeight="1" x14ac:dyDescent="0.3">
      <c r="A290" s="42" t="s">
        <v>400</v>
      </c>
      <c r="B290" s="43">
        <v>41766</v>
      </c>
      <c r="C290" s="42" t="s">
        <v>27</v>
      </c>
      <c r="D290" s="44">
        <v>9.98</v>
      </c>
      <c r="E290" s="44">
        <v>7.53</v>
      </c>
      <c r="F290">
        <v>2014</v>
      </c>
    </row>
    <row r="291" spans="1:6" ht="15" customHeight="1" x14ac:dyDescent="0.3">
      <c r="A291" s="42" t="s">
        <v>401</v>
      </c>
      <c r="B291" s="43">
        <v>41793</v>
      </c>
      <c r="C291" s="42" t="s">
        <v>27</v>
      </c>
      <c r="D291" s="44">
        <v>15.84</v>
      </c>
      <c r="E291" s="44">
        <v>11.59</v>
      </c>
      <c r="F291">
        <v>2014</v>
      </c>
    </row>
    <row r="292" spans="1:6" ht="15" customHeight="1" x14ac:dyDescent="0.3">
      <c r="A292" s="42" t="s">
        <v>402</v>
      </c>
      <c r="B292" s="43">
        <v>41809</v>
      </c>
      <c r="C292" s="42" t="s">
        <v>27</v>
      </c>
      <c r="D292" s="44">
        <v>18.73</v>
      </c>
      <c r="E292" s="44">
        <v>14.03</v>
      </c>
      <c r="F292">
        <v>2014</v>
      </c>
    </row>
    <row r="293" spans="1:6" ht="15" customHeight="1" x14ac:dyDescent="0.3">
      <c r="A293" s="42" t="s">
        <v>403</v>
      </c>
      <c r="B293" s="43">
        <v>41822</v>
      </c>
      <c r="C293" s="42" t="s">
        <v>27</v>
      </c>
      <c r="D293" s="44">
        <v>21.12</v>
      </c>
      <c r="E293" s="44">
        <v>14.77</v>
      </c>
      <c r="F293">
        <v>2014</v>
      </c>
    </row>
    <row r="294" spans="1:6" ht="15" customHeight="1" x14ac:dyDescent="0.3">
      <c r="A294" s="42" t="s">
        <v>404</v>
      </c>
      <c r="B294" s="43">
        <v>41834</v>
      </c>
      <c r="C294" s="42" t="s">
        <v>27</v>
      </c>
      <c r="D294" s="44">
        <v>19.899999999999999</v>
      </c>
      <c r="E294" s="44">
        <v>17.03</v>
      </c>
      <c r="F294">
        <v>2014</v>
      </c>
    </row>
    <row r="295" spans="1:6" ht="15" customHeight="1" x14ac:dyDescent="0.3">
      <c r="A295" s="42" t="s">
        <v>405</v>
      </c>
      <c r="B295" s="43">
        <v>41857</v>
      </c>
      <c r="C295" s="42" t="s">
        <v>27</v>
      </c>
      <c r="D295" s="44">
        <v>22.67</v>
      </c>
      <c r="E295" s="44">
        <v>20.11</v>
      </c>
      <c r="F295">
        <v>2014</v>
      </c>
    </row>
    <row r="296" spans="1:6" ht="15" customHeight="1" x14ac:dyDescent="0.3">
      <c r="A296" s="42" t="s">
        <v>406</v>
      </c>
      <c r="B296" s="43">
        <v>41870</v>
      </c>
      <c r="C296" s="42" t="s">
        <v>27</v>
      </c>
      <c r="D296" s="44">
        <v>22.29</v>
      </c>
      <c r="E296" s="44">
        <v>21.24</v>
      </c>
      <c r="F296">
        <v>2014</v>
      </c>
    </row>
    <row r="297" spans="1:6" ht="15" customHeight="1" x14ac:dyDescent="0.3">
      <c r="A297" s="42" t="s">
        <v>407</v>
      </c>
      <c r="B297" s="43">
        <v>41884</v>
      </c>
      <c r="C297" s="42" t="s">
        <v>27</v>
      </c>
      <c r="D297" s="44">
        <v>23.51</v>
      </c>
      <c r="E297" s="44">
        <v>21.92</v>
      </c>
      <c r="F297">
        <v>2014</v>
      </c>
    </row>
    <row r="298" spans="1:6" ht="15" customHeight="1" x14ac:dyDescent="0.3">
      <c r="A298" s="42" t="s">
        <v>408</v>
      </c>
      <c r="B298" s="43">
        <v>41898</v>
      </c>
      <c r="C298" s="42" t="s">
        <v>27</v>
      </c>
      <c r="D298" s="44">
        <v>21.93</v>
      </c>
      <c r="E298" s="44">
        <v>22.02</v>
      </c>
      <c r="F298">
        <v>2014</v>
      </c>
    </row>
    <row r="299" spans="1:6" ht="15" customHeight="1" x14ac:dyDescent="0.3">
      <c r="A299" s="42" t="s">
        <v>409</v>
      </c>
      <c r="B299" s="43">
        <v>41913</v>
      </c>
      <c r="C299" s="42" t="s">
        <v>27</v>
      </c>
      <c r="D299" s="44">
        <v>20.52</v>
      </c>
      <c r="E299" s="44">
        <v>20.62</v>
      </c>
      <c r="F299">
        <v>2014</v>
      </c>
    </row>
    <row r="300" spans="1:6" ht="15" customHeight="1" x14ac:dyDescent="0.3">
      <c r="A300" s="42" t="s">
        <v>410</v>
      </c>
      <c r="B300" s="43">
        <v>41953</v>
      </c>
      <c r="C300" s="42" t="s">
        <v>27</v>
      </c>
      <c r="D300" s="46">
        <v>14.07</v>
      </c>
      <c r="E300" s="44">
        <v>14.11</v>
      </c>
      <c r="F300">
        <v>2014</v>
      </c>
    </row>
    <row r="301" spans="1:6" ht="15" customHeight="1" x14ac:dyDescent="0.3">
      <c r="A301" s="42" t="s">
        <v>411</v>
      </c>
      <c r="B301" s="43">
        <v>41983</v>
      </c>
      <c r="C301" s="42" t="s">
        <v>27</v>
      </c>
      <c r="D301" s="44">
        <v>7.02</v>
      </c>
      <c r="E301" s="44">
        <v>7.39</v>
      </c>
      <c r="F301">
        <v>2014</v>
      </c>
    </row>
    <row r="302" spans="1:6" ht="15" customHeight="1" x14ac:dyDescent="0.3">
      <c r="A302" s="42" t="s">
        <v>412</v>
      </c>
      <c r="B302" s="43">
        <v>42018</v>
      </c>
      <c r="C302" s="42" t="s">
        <v>27</v>
      </c>
      <c r="D302" s="44">
        <v>2.74</v>
      </c>
      <c r="E302" s="44">
        <v>3.55</v>
      </c>
      <c r="F302">
        <v>2015</v>
      </c>
    </row>
    <row r="303" spans="1:6" ht="15" customHeight="1" x14ac:dyDescent="0.3">
      <c r="A303" s="42" t="s">
        <v>413</v>
      </c>
      <c r="B303" s="43">
        <v>42045</v>
      </c>
      <c r="C303" s="42" t="s">
        <v>27</v>
      </c>
      <c r="D303" s="44">
        <v>0.08</v>
      </c>
      <c r="E303" s="44">
        <v>0.06</v>
      </c>
      <c r="F303">
        <v>2015</v>
      </c>
    </row>
    <row r="304" spans="1:6" ht="15" customHeight="1" x14ac:dyDescent="0.3">
      <c r="A304" s="42" t="s">
        <v>414</v>
      </c>
      <c r="B304" s="43">
        <v>42073</v>
      </c>
      <c r="C304" s="42" t="s">
        <v>27</v>
      </c>
      <c r="D304" s="44">
        <v>-0.7</v>
      </c>
      <c r="E304" s="44">
        <v>-1.03</v>
      </c>
      <c r="F304">
        <v>2015</v>
      </c>
    </row>
    <row r="305" spans="1:6" ht="15" customHeight="1" x14ac:dyDescent="0.3">
      <c r="A305" s="42" t="s">
        <v>416</v>
      </c>
      <c r="B305" s="43">
        <v>42095</v>
      </c>
      <c r="C305" s="42" t="s">
        <v>27</v>
      </c>
      <c r="D305" s="44">
        <v>1.4</v>
      </c>
      <c r="E305" s="44">
        <v>0.71</v>
      </c>
      <c r="F305">
        <v>2015</v>
      </c>
    </row>
    <row r="306" spans="1:6" ht="15" customHeight="1" x14ac:dyDescent="0.3">
      <c r="A306" s="42" t="s">
        <v>417</v>
      </c>
      <c r="B306" s="43">
        <v>42125</v>
      </c>
      <c r="C306" s="42" t="s">
        <v>27</v>
      </c>
      <c r="D306" s="44">
        <v>8.34</v>
      </c>
      <c r="E306" s="44">
        <v>5.33</v>
      </c>
      <c r="F306">
        <v>2015</v>
      </c>
    </row>
    <row r="307" spans="1:6" ht="15" customHeight="1" x14ac:dyDescent="0.3">
      <c r="A307" s="42" t="s">
        <v>418</v>
      </c>
      <c r="B307" s="43">
        <v>42153</v>
      </c>
      <c r="C307" s="42" t="s">
        <v>27</v>
      </c>
      <c r="D307" s="44">
        <v>14.76</v>
      </c>
      <c r="E307" s="44">
        <v>8.9600000000000009</v>
      </c>
      <c r="F307">
        <v>2015</v>
      </c>
    </row>
    <row r="308" spans="1:6" ht="15" customHeight="1" x14ac:dyDescent="0.3">
      <c r="A308" s="42" t="s">
        <v>420</v>
      </c>
      <c r="B308" s="43">
        <v>42192</v>
      </c>
      <c r="C308" s="42" t="s">
        <v>27</v>
      </c>
      <c r="D308" s="44">
        <v>21.81</v>
      </c>
      <c r="E308" s="44">
        <v>16.54</v>
      </c>
      <c r="F308">
        <v>2015</v>
      </c>
    </row>
    <row r="309" spans="1:6" ht="15" customHeight="1" x14ac:dyDescent="0.3">
      <c r="A309" s="42" t="s">
        <v>421</v>
      </c>
      <c r="B309" s="43">
        <v>42205</v>
      </c>
      <c r="C309" s="42" t="s">
        <v>27</v>
      </c>
      <c r="D309" s="44">
        <v>21.28</v>
      </c>
      <c r="E309" s="44">
        <v>17.86</v>
      </c>
      <c r="F309">
        <v>2015</v>
      </c>
    </row>
    <row r="310" spans="1:6" ht="15" customHeight="1" x14ac:dyDescent="0.3">
      <c r="A310" s="42" t="s">
        <v>422</v>
      </c>
      <c r="B310" s="43">
        <v>42220</v>
      </c>
      <c r="C310" s="42" t="s">
        <v>27</v>
      </c>
      <c r="D310" s="44">
        <v>22.85</v>
      </c>
      <c r="E310" s="44">
        <v>18.95</v>
      </c>
      <c r="F310">
        <v>2015</v>
      </c>
    </row>
    <row r="311" spans="1:6" ht="15" customHeight="1" x14ac:dyDescent="0.3">
      <c r="A311" s="42" t="s">
        <v>423</v>
      </c>
      <c r="B311" s="43">
        <v>42233</v>
      </c>
      <c r="C311" s="42" t="s">
        <v>27</v>
      </c>
      <c r="D311" s="44">
        <v>23.92</v>
      </c>
      <c r="E311" s="44">
        <v>21.14</v>
      </c>
      <c r="F311">
        <v>2015</v>
      </c>
    </row>
    <row r="312" spans="1:6" ht="15" customHeight="1" x14ac:dyDescent="0.3">
      <c r="A312" s="42" t="s">
        <v>424</v>
      </c>
      <c r="B312" s="43">
        <v>42248</v>
      </c>
      <c r="C312" s="42" t="s">
        <v>27</v>
      </c>
      <c r="D312" s="44">
        <v>24.08</v>
      </c>
      <c r="E312" s="44">
        <v>22.55</v>
      </c>
      <c r="F312">
        <v>2015</v>
      </c>
    </row>
    <row r="313" spans="1:6" ht="15" customHeight="1" x14ac:dyDescent="0.3">
      <c r="A313" s="42" t="s">
        <v>425</v>
      </c>
      <c r="B313" s="43">
        <v>42263</v>
      </c>
      <c r="C313" s="42" t="s">
        <v>27</v>
      </c>
      <c r="D313" s="44">
        <v>23.12</v>
      </c>
      <c r="E313" s="44">
        <v>23.14</v>
      </c>
      <c r="F313">
        <v>2015</v>
      </c>
    </row>
    <row r="314" spans="1:6" ht="15" customHeight="1" x14ac:dyDescent="0.3">
      <c r="A314" s="42" t="s">
        <v>426</v>
      </c>
      <c r="B314" s="43">
        <v>42285</v>
      </c>
      <c r="C314" s="42" t="s">
        <v>27</v>
      </c>
      <c r="D314" s="44">
        <v>18.89</v>
      </c>
      <c r="E314" s="44">
        <v>18.98</v>
      </c>
      <c r="F314">
        <v>2015</v>
      </c>
    </row>
    <row r="315" spans="1:6" ht="15" customHeight="1" x14ac:dyDescent="0.3">
      <c r="A315" s="42" t="s">
        <v>427</v>
      </c>
      <c r="B315" s="43">
        <v>42317</v>
      </c>
      <c r="C315" s="42" t="s">
        <v>27</v>
      </c>
      <c r="D315" s="44">
        <v>15.25</v>
      </c>
      <c r="E315" s="44">
        <v>15.54</v>
      </c>
      <c r="F315">
        <v>2015</v>
      </c>
    </row>
    <row r="316" spans="1:6" ht="15" customHeight="1" x14ac:dyDescent="0.3">
      <c r="A316" s="42" t="s">
        <v>428</v>
      </c>
      <c r="B316" s="43">
        <v>42338</v>
      </c>
      <c r="C316" s="42" t="s">
        <v>27</v>
      </c>
      <c r="D316" s="44">
        <v>11.74</v>
      </c>
      <c r="E316" s="44">
        <v>11.9</v>
      </c>
      <c r="F316">
        <v>2015</v>
      </c>
    </row>
    <row r="317" spans="1:6" ht="15" customHeight="1" x14ac:dyDescent="0.3">
      <c r="A317" s="42" t="s">
        <v>429</v>
      </c>
      <c r="B317" s="43">
        <v>42381</v>
      </c>
      <c r="C317" s="42" t="s">
        <v>27</v>
      </c>
      <c r="D317" s="44">
        <v>6.47</v>
      </c>
      <c r="E317" s="44">
        <v>7.08</v>
      </c>
      <c r="F317">
        <v>2016</v>
      </c>
    </row>
    <row r="318" spans="1:6" ht="15" customHeight="1" x14ac:dyDescent="0.3">
      <c r="A318" s="42" t="s">
        <v>430</v>
      </c>
      <c r="B318" s="43">
        <v>42401</v>
      </c>
      <c r="C318" s="42" t="s">
        <v>27</v>
      </c>
      <c r="D318" s="44">
        <v>3.52</v>
      </c>
      <c r="E318" s="44">
        <v>3.99</v>
      </c>
      <c r="F318">
        <v>2016</v>
      </c>
    </row>
    <row r="319" spans="1:6" ht="15" customHeight="1" x14ac:dyDescent="0.3">
      <c r="A319" s="42" t="s">
        <v>432</v>
      </c>
      <c r="B319" s="43">
        <v>42437</v>
      </c>
      <c r="C319" s="42" t="s">
        <v>27</v>
      </c>
      <c r="D319" s="44">
        <v>3.63</v>
      </c>
      <c r="E319" s="44">
        <v>3.34</v>
      </c>
      <c r="F319">
        <v>2016</v>
      </c>
    </row>
    <row r="320" spans="1:6" ht="15" customHeight="1" x14ac:dyDescent="0.3">
      <c r="A320" s="42" t="s">
        <v>434</v>
      </c>
      <c r="B320" s="43">
        <v>42464</v>
      </c>
      <c r="C320" s="42" t="s">
        <v>27</v>
      </c>
      <c r="D320" s="44">
        <v>6.91</v>
      </c>
      <c r="E320" s="44">
        <v>6.3</v>
      </c>
      <c r="F320">
        <v>2016</v>
      </c>
    </row>
    <row r="321" spans="1:6" ht="15" customHeight="1" x14ac:dyDescent="0.3">
      <c r="A321" s="42" t="s">
        <v>435</v>
      </c>
      <c r="B321" s="43">
        <v>42502</v>
      </c>
      <c r="C321" s="42" t="s">
        <v>27</v>
      </c>
      <c r="D321" s="44">
        <v>12.11</v>
      </c>
      <c r="E321" s="44">
        <v>10.24</v>
      </c>
      <c r="F321">
        <v>2016</v>
      </c>
    </row>
    <row r="322" spans="1:6" ht="15" customHeight="1" x14ac:dyDescent="0.3">
      <c r="A322" s="42" t="s">
        <v>436</v>
      </c>
      <c r="B322" s="43">
        <v>42531</v>
      </c>
      <c r="C322" s="42" t="s">
        <v>27</v>
      </c>
      <c r="D322" s="44">
        <v>14.73</v>
      </c>
      <c r="E322" s="44">
        <v>12.63</v>
      </c>
      <c r="F322">
        <v>2016</v>
      </c>
    </row>
    <row r="323" spans="1:6" ht="15" customHeight="1" x14ac:dyDescent="0.3">
      <c r="A323" s="42" t="s">
        <v>437</v>
      </c>
      <c r="B323" s="43">
        <v>42541</v>
      </c>
      <c r="C323" s="42" t="s">
        <v>27</v>
      </c>
      <c r="D323" s="44">
        <v>17.72</v>
      </c>
      <c r="E323" s="44">
        <v>14.39</v>
      </c>
      <c r="F323">
        <v>2016</v>
      </c>
    </row>
    <row r="324" spans="1:6" ht="15" customHeight="1" x14ac:dyDescent="0.3">
      <c r="A324" s="42" t="s">
        <v>438</v>
      </c>
      <c r="B324" s="43">
        <v>42557</v>
      </c>
      <c r="C324" s="42" t="s">
        <v>27</v>
      </c>
      <c r="D324" s="44">
        <v>20.75</v>
      </c>
      <c r="E324" s="44">
        <v>16.87</v>
      </c>
      <c r="F324">
        <v>2016</v>
      </c>
    </row>
    <row r="325" spans="1:6" ht="15" customHeight="1" x14ac:dyDescent="0.3">
      <c r="A325" s="42" t="s">
        <v>439</v>
      </c>
      <c r="B325" s="43">
        <v>42570</v>
      </c>
      <c r="C325" s="42" t="s">
        <v>27</v>
      </c>
      <c r="D325" s="44">
        <v>21.85</v>
      </c>
      <c r="E325" s="44">
        <v>17.72</v>
      </c>
      <c r="F325">
        <v>2016</v>
      </c>
    </row>
    <row r="326" spans="1:6" ht="15" customHeight="1" x14ac:dyDescent="0.3">
      <c r="A326" s="42" t="s">
        <v>440</v>
      </c>
      <c r="B326" s="43">
        <v>42585</v>
      </c>
      <c r="C326" s="42" t="s">
        <v>27</v>
      </c>
      <c r="D326" s="44">
        <v>23.18</v>
      </c>
      <c r="E326" s="44">
        <v>20.97</v>
      </c>
      <c r="F326">
        <v>2016</v>
      </c>
    </row>
    <row r="327" spans="1:6" ht="15" customHeight="1" x14ac:dyDescent="0.3">
      <c r="A327" s="42" t="s">
        <v>441</v>
      </c>
      <c r="B327" s="43">
        <v>42600</v>
      </c>
      <c r="C327" s="42" t="s">
        <v>27</v>
      </c>
      <c r="D327" s="45"/>
      <c r="E327" s="45"/>
      <c r="F327">
        <v>2016</v>
      </c>
    </row>
    <row r="328" spans="1:6" ht="15" customHeight="1" x14ac:dyDescent="0.3">
      <c r="A328" s="42" t="s">
        <v>442</v>
      </c>
      <c r="B328" s="43">
        <v>42612</v>
      </c>
      <c r="C328" s="42" t="s">
        <v>27</v>
      </c>
      <c r="D328" s="44">
        <v>24.38</v>
      </c>
      <c r="E328" s="44">
        <v>23.14</v>
      </c>
      <c r="F328">
        <v>2016</v>
      </c>
    </row>
    <row r="329" spans="1:6" ht="15" customHeight="1" x14ac:dyDescent="0.3">
      <c r="A329" s="42" t="s">
        <v>443</v>
      </c>
      <c r="B329" s="43">
        <v>42626</v>
      </c>
      <c r="C329" s="42" t="s">
        <v>27</v>
      </c>
      <c r="D329" s="44">
        <v>23.75</v>
      </c>
      <c r="E329" s="44">
        <v>23.25</v>
      </c>
      <c r="F329">
        <v>2016</v>
      </c>
    </row>
    <row r="330" spans="1:6" ht="15" customHeight="1" x14ac:dyDescent="0.3">
      <c r="A330" s="42" t="s">
        <v>444</v>
      </c>
      <c r="B330" s="43">
        <v>42648</v>
      </c>
      <c r="C330" s="42" t="s">
        <v>27</v>
      </c>
      <c r="D330" s="44">
        <v>20.18</v>
      </c>
      <c r="E330" s="44">
        <v>20.170000000000002</v>
      </c>
      <c r="F330">
        <v>2016</v>
      </c>
    </row>
    <row r="331" spans="1:6" ht="15" customHeight="1" x14ac:dyDescent="0.3">
      <c r="A331" s="42" t="s">
        <v>445</v>
      </c>
      <c r="B331" s="43">
        <v>42683</v>
      </c>
      <c r="C331" s="42" t="s">
        <v>27</v>
      </c>
      <c r="D331" s="44">
        <v>15.21</v>
      </c>
      <c r="E331" s="44">
        <v>15.21</v>
      </c>
      <c r="F331">
        <v>2016</v>
      </c>
    </row>
    <row r="332" spans="1:6" ht="15" customHeight="1" x14ac:dyDescent="0.3">
      <c r="A332" s="42" t="s">
        <v>446</v>
      </c>
      <c r="B332" s="43">
        <v>42709</v>
      </c>
      <c r="C332" s="42" t="s">
        <v>27</v>
      </c>
      <c r="D332" s="44">
        <v>9.3800000000000008</v>
      </c>
      <c r="E332" s="44">
        <v>10.57</v>
      </c>
      <c r="F332">
        <v>2016</v>
      </c>
    </row>
    <row r="333" spans="1:6" ht="15" customHeight="1" x14ac:dyDescent="0.3">
      <c r="A333" s="42" t="s">
        <v>447</v>
      </c>
      <c r="B333" s="43">
        <v>42745</v>
      </c>
      <c r="C333" s="42" t="s">
        <v>27</v>
      </c>
      <c r="D333" s="44">
        <v>4.54</v>
      </c>
      <c r="E333" s="44">
        <v>4.54</v>
      </c>
      <c r="F333">
        <v>2017</v>
      </c>
    </row>
    <row r="334" spans="1:6" ht="15" customHeight="1" x14ac:dyDescent="0.3">
      <c r="A334" s="42" t="s">
        <v>448</v>
      </c>
      <c r="B334" s="43">
        <v>42774</v>
      </c>
      <c r="C334" s="42" t="s">
        <v>27</v>
      </c>
      <c r="D334" s="44">
        <v>3.27</v>
      </c>
      <c r="E334" s="44">
        <v>3.45</v>
      </c>
      <c r="F334">
        <v>2017</v>
      </c>
    </row>
    <row r="335" spans="1:6" ht="15" customHeight="1" x14ac:dyDescent="0.3">
      <c r="A335" s="42" t="s">
        <v>450</v>
      </c>
      <c r="B335" s="43">
        <v>42801</v>
      </c>
      <c r="C335" s="42" t="s">
        <v>27</v>
      </c>
      <c r="D335" s="44">
        <v>3.62</v>
      </c>
      <c r="E335" s="44">
        <v>3.4</v>
      </c>
      <c r="F335">
        <v>2017</v>
      </c>
    </row>
    <row r="336" spans="1:6" ht="15" customHeight="1" x14ac:dyDescent="0.3">
      <c r="A336" s="42" t="s">
        <v>451</v>
      </c>
      <c r="B336" s="43">
        <v>42829</v>
      </c>
      <c r="C336" s="42" t="s">
        <v>27</v>
      </c>
      <c r="D336" s="44">
        <v>4.8</v>
      </c>
      <c r="E336" s="44">
        <v>3.98</v>
      </c>
      <c r="F336">
        <v>2017</v>
      </c>
    </row>
    <row r="337" spans="1:6" ht="15" customHeight="1" x14ac:dyDescent="0.3">
      <c r="A337" s="42" t="s">
        <v>452</v>
      </c>
      <c r="B337" s="43">
        <v>42858</v>
      </c>
      <c r="C337" s="42" t="s">
        <v>27</v>
      </c>
      <c r="D337" s="44">
        <v>11.06</v>
      </c>
      <c r="E337" s="44">
        <v>8.7100000000000009</v>
      </c>
      <c r="F337">
        <v>2017</v>
      </c>
    </row>
    <row r="338" spans="1:6" ht="15" customHeight="1" x14ac:dyDescent="0.3">
      <c r="A338" s="42" t="s">
        <v>453</v>
      </c>
      <c r="B338" s="43">
        <v>42893</v>
      </c>
      <c r="C338" s="42" t="s">
        <v>27</v>
      </c>
      <c r="D338" s="44">
        <v>15.01</v>
      </c>
      <c r="E338" s="44">
        <v>12.97</v>
      </c>
      <c r="F338">
        <v>2017</v>
      </c>
    </row>
    <row r="339" spans="1:6" ht="15" customHeight="1" x14ac:dyDescent="0.3">
      <c r="A339" s="42" t="s">
        <v>454</v>
      </c>
      <c r="B339" s="43">
        <v>42907</v>
      </c>
      <c r="C339" s="42" t="s">
        <v>27</v>
      </c>
      <c r="D339" s="44">
        <v>19.05</v>
      </c>
      <c r="E339" s="44">
        <v>14</v>
      </c>
      <c r="F339">
        <v>2017</v>
      </c>
    </row>
    <row r="340" spans="1:6" ht="15" customHeight="1" x14ac:dyDescent="0.3">
      <c r="A340" s="42" t="s">
        <v>455</v>
      </c>
      <c r="B340" s="43">
        <v>42922</v>
      </c>
      <c r="C340" s="42" t="s">
        <v>27</v>
      </c>
      <c r="D340" s="44">
        <v>21.37</v>
      </c>
      <c r="E340" s="44">
        <v>16.02</v>
      </c>
      <c r="F340">
        <v>2017</v>
      </c>
    </row>
    <row r="341" spans="1:6" ht="15" customHeight="1" x14ac:dyDescent="0.3">
      <c r="A341" s="42" t="s">
        <v>456</v>
      </c>
      <c r="B341" s="43">
        <v>42934</v>
      </c>
      <c r="C341" s="42" t="s">
        <v>27</v>
      </c>
      <c r="D341" s="44">
        <v>22.56</v>
      </c>
      <c r="E341" s="44">
        <v>18.29</v>
      </c>
      <c r="F341">
        <v>2017</v>
      </c>
    </row>
    <row r="342" spans="1:6" ht="15" customHeight="1" x14ac:dyDescent="0.3">
      <c r="A342" s="42" t="s">
        <v>457</v>
      </c>
      <c r="B342" s="43">
        <v>42948</v>
      </c>
      <c r="C342" s="42" t="s">
        <v>27</v>
      </c>
      <c r="D342" s="44">
        <v>22.4</v>
      </c>
      <c r="E342" s="44">
        <v>20.9</v>
      </c>
      <c r="F342">
        <v>2017</v>
      </c>
    </row>
    <row r="343" spans="1:6" ht="15" customHeight="1" x14ac:dyDescent="0.3">
      <c r="A343" s="42" t="s">
        <v>458</v>
      </c>
      <c r="B343" s="43">
        <v>42962</v>
      </c>
      <c r="C343" s="42" t="s">
        <v>27</v>
      </c>
      <c r="D343" s="44">
        <v>22.97</v>
      </c>
      <c r="E343" s="44">
        <v>21</v>
      </c>
      <c r="F343">
        <v>2017</v>
      </c>
    </row>
    <row r="344" spans="1:6" ht="15" customHeight="1" x14ac:dyDescent="0.3">
      <c r="A344" s="42" t="s">
        <v>459</v>
      </c>
      <c r="B344" s="43">
        <v>42975</v>
      </c>
      <c r="C344" s="42" t="s">
        <v>27</v>
      </c>
      <c r="D344" s="44">
        <v>22.62</v>
      </c>
      <c r="E344" s="44">
        <v>22.15</v>
      </c>
      <c r="F344">
        <v>2017</v>
      </c>
    </row>
    <row r="345" spans="1:6" ht="15" customHeight="1" x14ac:dyDescent="0.3">
      <c r="A345" s="42" t="s">
        <v>460</v>
      </c>
      <c r="B345" s="43">
        <v>43018</v>
      </c>
      <c r="C345" s="42" t="s">
        <v>27</v>
      </c>
      <c r="D345" s="44">
        <v>21.5</v>
      </c>
      <c r="E345" s="44">
        <v>21.05</v>
      </c>
      <c r="F345">
        <v>2017</v>
      </c>
    </row>
    <row r="346" spans="1:6" ht="15" customHeight="1" x14ac:dyDescent="0.3">
      <c r="A346" s="42" t="s">
        <v>461</v>
      </c>
      <c r="B346" s="43">
        <v>43052</v>
      </c>
      <c r="C346" s="42" t="s">
        <v>27</v>
      </c>
      <c r="D346" s="44">
        <v>14.98</v>
      </c>
      <c r="E346" s="44">
        <v>14.8</v>
      </c>
      <c r="F346">
        <v>2017</v>
      </c>
    </row>
    <row r="347" spans="1:6" ht="15" customHeight="1" x14ac:dyDescent="0.3">
      <c r="A347" s="42" t="s">
        <v>462</v>
      </c>
      <c r="B347" s="43">
        <v>43069</v>
      </c>
      <c r="C347" s="42" t="s">
        <v>27</v>
      </c>
      <c r="D347" s="44">
        <v>11.39</v>
      </c>
      <c r="E347" s="44">
        <v>11.4</v>
      </c>
      <c r="F347">
        <v>2017</v>
      </c>
    </row>
    <row r="348" spans="1:6" ht="15" customHeight="1" x14ac:dyDescent="0.3">
      <c r="A348" s="42" t="s">
        <v>463</v>
      </c>
      <c r="B348" s="43">
        <v>43111</v>
      </c>
      <c r="C348" s="42" t="s">
        <v>27</v>
      </c>
      <c r="D348" s="44">
        <v>1.95</v>
      </c>
      <c r="E348" s="44">
        <v>1.94</v>
      </c>
      <c r="F348">
        <v>2018</v>
      </c>
    </row>
    <row r="349" spans="1:6" ht="15" customHeight="1" x14ac:dyDescent="0.3">
      <c r="A349" s="42" t="s">
        <v>464</v>
      </c>
      <c r="B349" s="43">
        <v>43139</v>
      </c>
      <c r="C349" s="42" t="s">
        <v>27</v>
      </c>
      <c r="D349" s="44">
        <v>1.23</v>
      </c>
      <c r="E349" s="44">
        <v>1.3</v>
      </c>
      <c r="F349">
        <v>2018</v>
      </c>
    </row>
    <row r="350" spans="1:6" ht="15" customHeight="1" x14ac:dyDescent="0.3">
      <c r="A350" s="42" t="s">
        <v>466</v>
      </c>
      <c r="B350" s="43">
        <v>43178</v>
      </c>
      <c r="C350" s="42" t="s">
        <v>27</v>
      </c>
      <c r="D350" s="44">
        <v>3.14</v>
      </c>
      <c r="E350" s="44">
        <v>2.95</v>
      </c>
      <c r="F350">
        <v>2018</v>
      </c>
    </row>
    <row r="351" spans="1:6" ht="15" customHeight="1" x14ac:dyDescent="0.3">
      <c r="A351" s="42" t="s">
        <v>467</v>
      </c>
      <c r="B351" s="43">
        <v>43200</v>
      </c>
      <c r="C351" s="42" t="s">
        <v>27</v>
      </c>
      <c r="D351" s="44">
        <v>4.5199999999999996</v>
      </c>
      <c r="E351" s="44">
        <v>4.0599999999999996</v>
      </c>
      <c r="F351">
        <v>2018</v>
      </c>
    </row>
    <row r="352" spans="1:6" ht="15" customHeight="1" x14ac:dyDescent="0.3">
      <c r="A352" s="42" t="s">
        <v>468</v>
      </c>
      <c r="B352" s="43">
        <v>43222</v>
      </c>
      <c r="C352" s="42" t="s">
        <v>27</v>
      </c>
      <c r="D352" s="44">
        <v>9.34</v>
      </c>
      <c r="E352" s="44">
        <v>6.45</v>
      </c>
      <c r="F352">
        <v>2018</v>
      </c>
    </row>
    <row r="353" spans="1:6" ht="15" customHeight="1" x14ac:dyDescent="0.3">
      <c r="A353" s="42" t="s">
        <v>469</v>
      </c>
      <c r="B353" s="43">
        <v>43256</v>
      </c>
      <c r="C353" s="42" t="s">
        <v>27</v>
      </c>
      <c r="D353" s="44">
        <v>15.85</v>
      </c>
      <c r="E353" s="44">
        <v>12.93</v>
      </c>
      <c r="F353">
        <v>2018</v>
      </c>
    </row>
    <row r="354" spans="1:6" ht="15" customHeight="1" x14ac:dyDescent="0.3">
      <c r="A354" s="42" t="s">
        <v>470</v>
      </c>
      <c r="B354" s="43">
        <v>43263</v>
      </c>
      <c r="C354" s="42" t="s">
        <v>27</v>
      </c>
      <c r="D354" s="44">
        <v>17.38</v>
      </c>
      <c r="E354" s="44">
        <v>12.08</v>
      </c>
      <c r="F354">
        <v>2018</v>
      </c>
    </row>
    <row r="355" spans="1:6" ht="15" customHeight="1" x14ac:dyDescent="0.3">
      <c r="A355" s="42" t="s">
        <v>471</v>
      </c>
      <c r="B355" s="43">
        <v>43286</v>
      </c>
      <c r="C355" s="42" t="s">
        <v>27</v>
      </c>
      <c r="D355" s="44">
        <v>23.97</v>
      </c>
      <c r="E355" s="44">
        <v>15.14</v>
      </c>
      <c r="F355">
        <v>2018</v>
      </c>
    </row>
    <row r="356" spans="1:6" ht="15" customHeight="1" x14ac:dyDescent="0.3">
      <c r="A356" s="42" t="s">
        <v>472</v>
      </c>
      <c r="B356" s="43">
        <v>43297</v>
      </c>
      <c r="C356" s="42" t="s">
        <v>27</v>
      </c>
      <c r="D356" s="44">
        <v>21.07</v>
      </c>
      <c r="E356" s="44">
        <v>17.38</v>
      </c>
      <c r="F356">
        <v>2018</v>
      </c>
    </row>
    <row r="357" spans="1:6" ht="15" customHeight="1" x14ac:dyDescent="0.3">
      <c r="A357" s="42" t="s">
        <v>473</v>
      </c>
      <c r="B357" s="43">
        <v>43314</v>
      </c>
      <c r="C357" s="42" t="s">
        <v>27</v>
      </c>
      <c r="D357" s="44">
        <v>23.74</v>
      </c>
      <c r="E357" s="44">
        <v>19.96</v>
      </c>
      <c r="F357">
        <v>2018</v>
      </c>
    </row>
    <row r="358" spans="1:6" ht="15" customHeight="1" x14ac:dyDescent="0.3">
      <c r="A358" s="42" t="s">
        <v>474</v>
      </c>
      <c r="B358" s="43">
        <v>43327</v>
      </c>
      <c r="C358" s="42" t="s">
        <v>27</v>
      </c>
      <c r="D358" s="44">
        <v>23.55</v>
      </c>
      <c r="E358" s="44">
        <v>21.85</v>
      </c>
      <c r="F358">
        <v>2018</v>
      </c>
    </row>
    <row r="359" spans="1:6" ht="15" customHeight="1" x14ac:dyDescent="0.3">
      <c r="A359" s="42" t="s">
        <v>475</v>
      </c>
      <c r="B359" s="43">
        <v>43339</v>
      </c>
      <c r="C359" s="42" t="s">
        <v>27</v>
      </c>
      <c r="D359" s="44">
        <v>23.87</v>
      </c>
      <c r="E359" s="44">
        <v>22.1</v>
      </c>
      <c r="F359">
        <v>2018</v>
      </c>
    </row>
    <row r="360" spans="1:6" ht="15" customHeight="1" x14ac:dyDescent="0.3">
      <c r="A360" s="42" t="s">
        <v>476</v>
      </c>
      <c r="B360" s="43">
        <v>43355</v>
      </c>
      <c r="C360" s="42" t="s">
        <v>27</v>
      </c>
      <c r="D360" s="44">
        <v>22.71</v>
      </c>
      <c r="E360" s="44">
        <v>22.62</v>
      </c>
      <c r="F360">
        <v>2018</v>
      </c>
    </row>
    <row r="361" spans="1:6" ht="15" customHeight="1" x14ac:dyDescent="0.3">
      <c r="A361" s="42" t="s">
        <v>477</v>
      </c>
      <c r="B361" s="43">
        <v>43376</v>
      </c>
      <c r="C361" s="42" t="s">
        <v>27</v>
      </c>
      <c r="D361" s="44">
        <v>21.2</v>
      </c>
      <c r="E361" s="44">
        <v>21.25</v>
      </c>
      <c r="F361">
        <v>2018</v>
      </c>
    </row>
    <row r="362" spans="1:6" ht="15" customHeight="1" x14ac:dyDescent="0.3">
      <c r="A362" s="42" t="s">
        <v>478</v>
      </c>
      <c r="B362" s="43">
        <v>43410</v>
      </c>
      <c r="C362" s="42" t="s">
        <v>27</v>
      </c>
      <c r="D362" s="44">
        <v>14.69</v>
      </c>
      <c r="E362" s="44">
        <v>14.62</v>
      </c>
      <c r="F362">
        <v>2018</v>
      </c>
    </row>
    <row r="363" spans="1:6" ht="15" customHeight="1" x14ac:dyDescent="0.3">
      <c r="A363" s="42" t="s">
        <v>479</v>
      </c>
      <c r="B363" s="43">
        <v>43437</v>
      </c>
      <c r="C363" s="42" t="s">
        <v>27</v>
      </c>
      <c r="D363" s="44">
        <v>8.39</v>
      </c>
      <c r="E363" s="44">
        <v>8.39</v>
      </c>
      <c r="F363">
        <v>2018</v>
      </c>
    </row>
    <row r="364" spans="1:6" ht="15" customHeight="1" x14ac:dyDescent="0.3">
      <c r="A364" s="42" t="s">
        <v>6</v>
      </c>
      <c r="B364" s="43">
        <v>43468</v>
      </c>
      <c r="C364" s="42" t="s">
        <v>27</v>
      </c>
      <c r="D364" s="44">
        <v>5.38</v>
      </c>
      <c r="E364" s="44">
        <v>5.85</v>
      </c>
      <c r="F364">
        <v>2019</v>
      </c>
    </row>
    <row r="365" spans="1:6" ht="15" customHeight="1" x14ac:dyDescent="0.3">
      <c r="A365" s="42" t="s">
        <v>7</v>
      </c>
      <c r="B365" s="43">
        <v>43503</v>
      </c>
      <c r="C365" s="42" t="s">
        <v>27</v>
      </c>
      <c r="D365" s="44">
        <v>1.67</v>
      </c>
      <c r="E365" s="44">
        <v>1.9</v>
      </c>
      <c r="F365">
        <v>2019</v>
      </c>
    </row>
    <row r="366" spans="1:6" ht="15" customHeight="1" x14ac:dyDescent="0.3">
      <c r="A366" s="42" t="s">
        <v>9</v>
      </c>
      <c r="B366" s="43">
        <v>43529</v>
      </c>
      <c r="C366" s="42" t="s">
        <v>27</v>
      </c>
      <c r="D366" s="44">
        <v>1.78</v>
      </c>
      <c r="E366" s="44">
        <v>1.88</v>
      </c>
      <c r="F366">
        <v>2019</v>
      </c>
    </row>
    <row r="367" spans="1:6" ht="15" customHeight="1" x14ac:dyDescent="0.3">
      <c r="A367" s="42" t="s">
        <v>10</v>
      </c>
      <c r="B367" s="43">
        <v>43558</v>
      </c>
      <c r="C367" s="42" t="s">
        <v>27</v>
      </c>
      <c r="D367" s="44">
        <v>5.37</v>
      </c>
      <c r="E367" s="44">
        <v>3.98</v>
      </c>
      <c r="F367">
        <v>2019</v>
      </c>
    </row>
    <row r="368" spans="1:6" ht="15" customHeight="1" x14ac:dyDescent="0.3">
      <c r="A368" s="42" t="s">
        <v>11</v>
      </c>
      <c r="B368" s="43">
        <v>43592</v>
      </c>
      <c r="C368" s="42" t="s">
        <v>27</v>
      </c>
      <c r="D368" s="44">
        <v>11.34</v>
      </c>
      <c r="E368" s="44">
        <v>9.75</v>
      </c>
      <c r="F368">
        <v>2019</v>
      </c>
    </row>
    <row r="369" spans="1:6" ht="15" customHeight="1" x14ac:dyDescent="0.3">
      <c r="A369" s="42" t="s">
        <v>12</v>
      </c>
      <c r="B369" s="43">
        <v>43615</v>
      </c>
      <c r="C369" s="42" t="s">
        <v>27</v>
      </c>
      <c r="D369" s="44">
        <v>15.14</v>
      </c>
      <c r="E369" s="44">
        <v>10.67</v>
      </c>
      <c r="F369">
        <v>2019</v>
      </c>
    </row>
    <row r="370" spans="1:6" ht="15" customHeight="1" x14ac:dyDescent="0.3">
      <c r="A370" s="42" t="s">
        <v>13</v>
      </c>
      <c r="B370" s="43">
        <v>43628</v>
      </c>
      <c r="C370" s="42" t="s">
        <v>27</v>
      </c>
      <c r="D370" s="44">
        <v>16.59</v>
      </c>
      <c r="E370" s="44">
        <v>13.36</v>
      </c>
      <c r="F370">
        <v>2019</v>
      </c>
    </row>
    <row r="371" spans="1:6" ht="15" customHeight="1" x14ac:dyDescent="0.3">
      <c r="A371" s="42" t="s">
        <v>14</v>
      </c>
      <c r="B371" s="43">
        <v>43648</v>
      </c>
      <c r="C371" s="42" t="s">
        <v>27</v>
      </c>
      <c r="D371" s="44">
        <v>19.02</v>
      </c>
      <c r="E371" s="44">
        <v>15.18</v>
      </c>
      <c r="F371">
        <v>2019</v>
      </c>
    </row>
    <row r="372" spans="1:6" ht="15" customHeight="1" x14ac:dyDescent="0.3">
      <c r="A372" s="42" t="s">
        <v>15</v>
      </c>
      <c r="B372" s="43">
        <v>43661</v>
      </c>
      <c r="C372" s="42" t="s">
        <v>27</v>
      </c>
      <c r="D372" s="44">
        <v>21.85</v>
      </c>
      <c r="E372" s="44">
        <v>17.010000000000002</v>
      </c>
      <c r="F372">
        <v>2019</v>
      </c>
    </row>
    <row r="373" spans="1:6" ht="15" customHeight="1" x14ac:dyDescent="0.3">
      <c r="A373" s="42" t="s">
        <v>16</v>
      </c>
      <c r="B373" s="43">
        <v>43676</v>
      </c>
      <c r="C373" s="42" t="s">
        <v>27</v>
      </c>
      <c r="D373" s="46">
        <v>23.6</v>
      </c>
      <c r="E373" s="46">
        <v>17.88</v>
      </c>
      <c r="F373">
        <v>2019</v>
      </c>
    </row>
    <row r="374" spans="1:6" ht="15" customHeight="1" x14ac:dyDescent="0.3">
      <c r="A374" s="42" t="s">
        <v>17</v>
      </c>
      <c r="B374" s="43">
        <v>43689</v>
      </c>
      <c r="C374" s="42" t="s">
        <v>27</v>
      </c>
      <c r="D374" s="44">
        <v>22.72</v>
      </c>
      <c r="E374" s="44">
        <v>20.52</v>
      </c>
      <c r="F374">
        <v>2019</v>
      </c>
    </row>
    <row r="375" spans="1:6" ht="15" customHeight="1" x14ac:dyDescent="0.3">
      <c r="A375" s="42" t="s">
        <v>18</v>
      </c>
      <c r="B375" s="43">
        <v>43705</v>
      </c>
      <c r="C375" s="42" t="s">
        <v>27</v>
      </c>
      <c r="D375" s="44">
        <v>22.7</v>
      </c>
      <c r="E375" s="44">
        <v>22.03</v>
      </c>
      <c r="F375">
        <v>2019</v>
      </c>
    </row>
    <row r="376" spans="1:6" ht="15" customHeight="1" x14ac:dyDescent="0.3">
      <c r="A376" s="42" t="s">
        <v>19</v>
      </c>
      <c r="B376" s="43">
        <v>43718</v>
      </c>
      <c r="C376" s="42" t="s">
        <v>27</v>
      </c>
      <c r="D376" s="44">
        <v>21.91</v>
      </c>
      <c r="E376" s="44">
        <v>21.93</v>
      </c>
      <c r="F376">
        <v>2019</v>
      </c>
    </row>
    <row r="377" spans="1:6" ht="15" customHeight="1" x14ac:dyDescent="0.3">
      <c r="A377" s="42" t="s">
        <v>39</v>
      </c>
      <c r="B377" s="43">
        <v>43739</v>
      </c>
      <c r="C377" s="42" t="s">
        <v>27</v>
      </c>
      <c r="D377" s="44">
        <v>21.28</v>
      </c>
      <c r="E377" s="44">
        <v>21.42</v>
      </c>
      <c r="F377">
        <v>2019</v>
      </c>
    </row>
    <row r="378" spans="1:6" ht="15" customHeight="1" x14ac:dyDescent="0.3">
      <c r="A378" s="42" t="s">
        <v>40</v>
      </c>
      <c r="B378" s="43">
        <v>43774</v>
      </c>
      <c r="C378" s="42" t="s">
        <v>27</v>
      </c>
      <c r="D378" s="44">
        <v>15</v>
      </c>
      <c r="E378" s="44">
        <v>15.87</v>
      </c>
      <c r="F378">
        <v>2019</v>
      </c>
    </row>
    <row r="379" spans="1:6" ht="15" customHeight="1" x14ac:dyDescent="0.3">
      <c r="A379" s="42" t="s">
        <v>41</v>
      </c>
      <c r="B379" s="43">
        <v>43805</v>
      </c>
      <c r="C379" s="42" t="s">
        <v>27</v>
      </c>
      <c r="D379" s="44">
        <v>8.19</v>
      </c>
      <c r="E379" s="44">
        <v>8.36</v>
      </c>
      <c r="F379">
        <v>2019</v>
      </c>
    </row>
    <row r="380" spans="1:6" ht="15" customHeight="1" x14ac:dyDescent="0.3">
      <c r="A380" s="42" t="s">
        <v>502</v>
      </c>
      <c r="B380" s="43">
        <v>43839</v>
      </c>
      <c r="C380" s="42" t="s">
        <v>27</v>
      </c>
      <c r="D380" s="44">
        <v>4.8</v>
      </c>
      <c r="E380" s="44">
        <v>4.9400000000000004</v>
      </c>
      <c r="F380">
        <v>2020</v>
      </c>
    </row>
    <row r="381" spans="1:6" ht="15" customHeight="1" x14ac:dyDescent="0.3">
      <c r="A381" s="42" t="s">
        <v>503</v>
      </c>
      <c r="B381" s="43">
        <v>43864</v>
      </c>
      <c r="C381" s="42" t="s">
        <v>27</v>
      </c>
      <c r="D381" s="45"/>
      <c r="E381" s="45"/>
      <c r="F381">
        <v>2020</v>
      </c>
    </row>
    <row r="382" spans="1:6" ht="15" customHeight="1" x14ac:dyDescent="0.3">
      <c r="A382" s="42" t="s">
        <v>504</v>
      </c>
      <c r="B382" s="43">
        <v>43900</v>
      </c>
      <c r="C382" s="42" t="s">
        <v>27</v>
      </c>
      <c r="D382" s="44">
        <v>4.5199999999999996</v>
      </c>
      <c r="E382" s="44">
        <v>4.26</v>
      </c>
      <c r="F382">
        <v>2020</v>
      </c>
    </row>
    <row r="383" spans="1:6" ht="15" customHeight="1" x14ac:dyDescent="0.3">
      <c r="A383" s="42" t="s">
        <v>510</v>
      </c>
      <c r="B383" s="43">
        <v>43999</v>
      </c>
      <c r="C383" s="42" t="s">
        <v>27</v>
      </c>
      <c r="D383" s="44">
        <v>18.05</v>
      </c>
      <c r="E383" s="44">
        <v>13.12</v>
      </c>
      <c r="F383">
        <v>2020</v>
      </c>
    </row>
    <row r="384" spans="1:6" ht="15" customHeight="1" x14ac:dyDescent="0.3">
      <c r="A384" s="42" t="s">
        <v>505</v>
      </c>
      <c r="B384" s="43">
        <v>44019</v>
      </c>
      <c r="C384" s="42" t="s">
        <v>27</v>
      </c>
      <c r="D384" s="44">
        <v>22.16</v>
      </c>
      <c r="E384" s="44">
        <v>16.53</v>
      </c>
      <c r="F384">
        <v>2020</v>
      </c>
    </row>
    <row r="385" spans="1:6" ht="15" customHeight="1" x14ac:dyDescent="0.3">
      <c r="A385" s="42" t="s">
        <v>511</v>
      </c>
      <c r="B385" s="43">
        <v>44032</v>
      </c>
      <c r="C385" s="42" t="s">
        <v>27</v>
      </c>
      <c r="D385" s="44">
        <v>23.38</v>
      </c>
      <c r="E385" s="44">
        <v>17.75</v>
      </c>
      <c r="F385">
        <v>2020</v>
      </c>
    </row>
    <row r="386" spans="1:6" ht="15" customHeight="1" x14ac:dyDescent="0.3">
      <c r="A386" s="42" t="s">
        <v>506</v>
      </c>
      <c r="B386" s="43">
        <v>44046</v>
      </c>
      <c r="C386" s="42" t="s">
        <v>27</v>
      </c>
      <c r="D386" s="44">
        <v>23.18</v>
      </c>
      <c r="E386" s="44">
        <v>19.829999999999998</v>
      </c>
      <c r="F386">
        <v>2020</v>
      </c>
    </row>
    <row r="387" spans="1:6" ht="15" customHeight="1" x14ac:dyDescent="0.3">
      <c r="A387" s="42" t="s">
        <v>512</v>
      </c>
      <c r="B387" s="43">
        <v>44075</v>
      </c>
      <c r="C387" s="42" t="s">
        <v>27</v>
      </c>
      <c r="D387" s="44">
        <v>23.31</v>
      </c>
      <c r="E387" s="44">
        <v>22.97</v>
      </c>
      <c r="F387">
        <v>2020</v>
      </c>
    </row>
    <row r="388" spans="1:6" ht="15" customHeight="1" x14ac:dyDescent="0.3">
      <c r="A388" s="42" t="s">
        <v>507</v>
      </c>
      <c r="B388" s="43">
        <v>44083</v>
      </c>
      <c r="C388" s="42" t="s">
        <v>27</v>
      </c>
      <c r="D388" s="44">
        <v>23.58</v>
      </c>
      <c r="E388" s="44">
        <v>23.09</v>
      </c>
      <c r="F388">
        <v>2020</v>
      </c>
    </row>
    <row r="389" spans="1:6" ht="15" customHeight="1" x14ac:dyDescent="0.3">
      <c r="A389" s="42" t="s">
        <v>508</v>
      </c>
      <c r="B389" s="43">
        <v>44118</v>
      </c>
      <c r="C389" s="42" t="s">
        <v>27</v>
      </c>
      <c r="D389" s="44">
        <v>18.600000000000001</v>
      </c>
      <c r="E389" s="44">
        <v>18.59</v>
      </c>
      <c r="F389">
        <v>2020</v>
      </c>
    </row>
    <row r="390" spans="1:6" ht="15" customHeight="1" x14ac:dyDescent="0.3">
      <c r="A390" s="42" t="s">
        <v>509</v>
      </c>
      <c r="B390" s="43">
        <v>44141</v>
      </c>
      <c r="C390" s="42" t="s">
        <v>27</v>
      </c>
      <c r="D390" s="44">
        <v>14.47</v>
      </c>
      <c r="E390" s="44">
        <v>14.88</v>
      </c>
      <c r="F390">
        <v>2020</v>
      </c>
    </row>
    <row r="391" spans="1:6" ht="15" customHeight="1" x14ac:dyDescent="0.3">
      <c r="A391" s="55" t="s">
        <v>522</v>
      </c>
      <c r="B391" s="56">
        <v>44265</v>
      </c>
      <c r="C391" s="55" t="s">
        <v>27</v>
      </c>
      <c r="D391" s="57">
        <v>2.61</v>
      </c>
      <c r="E391" s="57">
        <v>2.21</v>
      </c>
      <c r="F391">
        <v>2021</v>
      </c>
    </row>
    <row r="392" spans="1:6" ht="15" customHeight="1" x14ac:dyDescent="0.3">
      <c r="A392" s="55" t="s">
        <v>523</v>
      </c>
      <c r="B392" s="56">
        <v>44293</v>
      </c>
      <c r="C392" s="55" t="s">
        <v>27</v>
      </c>
      <c r="D392" s="57">
        <v>5.91</v>
      </c>
      <c r="E392" s="57">
        <v>4.92</v>
      </c>
      <c r="F392">
        <v>2021</v>
      </c>
    </row>
    <row r="393" spans="1:6" ht="15" customHeight="1" x14ac:dyDescent="0.3">
      <c r="A393" s="55" t="s">
        <v>524</v>
      </c>
      <c r="B393" s="56">
        <v>44321</v>
      </c>
      <c r="C393" s="55" t="s">
        <v>27</v>
      </c>
      <c r="D393" s="57">
        <v>10.29</v>
      </c>
      <c r="E393" s="57">
        <v>9.1</v>
      </c>
      <c r="F393">
        <v>2021</v>
      </c>
    </row>
    <row r="394" spans="1:6" ht="15" customHeight="1" x14ac:dyDescent="0.3">
      <c r="A394" s="55" t="s">
        <v>525</v>
      </c>
      <c r="B394" s="56">
        <v>44355</v>
      </c>
      <c r="C394" s="55" t="s">
        <v>27</v>
      </c>
      <c r="D394" s="57">
        <v>17.29</v>
      </c>
      <c r="E394" s="57">
        <v>12.57</v>
      </c>
      <c r="F394">
        <v>2021</v>
      </c>
    </row>
    <row r="395" spans="1:6" ht="15" customHeight="1" x14ac:dyDescent="0.3">
      <c r="A395" s="55" t="s">
        <v>526</v>
      </c>
      <c r="B395" s="56">
        <v>44369</v>
      </c>
      <c r="C395" s="55" t="s">
        <v>27</v>
      </c>
      <c r="D395" s="57">
        <v>18.62</v>
      </c>
      <c r="E395" s="57">
        <v>13.99</v>
      </c>
      <c r="F395">
        <v>2021</v>
      </c>
    </row>
    <row r="396" spans="1:6" ht="15" customHeight="1" x14ac:dyDescent="0.3">
      <c r="A396" s="55" t="s">
        <v>527</v>
      </c>
      <c r="B396" s="56">
        <v>44385</v>
      </c>
      <c r="C396" s="55" t="s">
        <v>27</v>
      </c>
      <c r="D396" s="57">
        <v>21.24</v>
      </c>
      <c r="E396" s="57">
        <v>16.32</v>
      </c>
      <c r="F396">
        <v>2021</v>
      </c>
    </row>
    <row r="397" spans="1:6" ht="15" customHeight="1" x14ac:dyDescent="0.3">
      <c r="A397" s="55" t="s">
        <v>528</v>
      </c>
      <c r="B397" s="56">
        <v>44396</v>
      </c>
      <c r="C397" s="55" t="s">
        <v>27</v>
      </c>
      <c r="D397" s="57">
        <v>23.55</v>
      </c>
      <c r="E397" s="57">
        <v>17.940000000000001</v>
      </c>
      <c r="F397">
        <v>2021</v>
      </c>
    </row>
    <row r="398" spans="1:6" ht="15" customHeight="1" x14ac:dyDescent="0.3">
      <c r="A398" s="55" t="s">
        <v>529</v>
      </c>
      <c r="B398" s="56">
        <v>44411</v>
      </c>
      <c r="C398" s="55" t="s">
        <v>27</v>
      </c>
      <c r="D398" s="57">
        <v>21.95</v>
      </c>
      <c r="E398" s="57">
        <v>19.670000000000002</v>
      </c>
      <c r="F398">
        <v>2021</v>
      </c>
    </row>
    <row r="399" spans="1:6" ht="15" customHeight="1" x14ac:dyDescent="0.3">
      <c r="A399" s="55" t="s">
        <v>530</v>
      </c>
      <c r="B399" s="56">
        <v>44424</v>
      </c>
      <c r="C399" s="55" t="s">
        <v>27</v>
      </c>
      <c r="D399" s="57">
        <v>23.57</v>
      </c>
      <c r="E399" s="57">
        <v>21.25</v>
      </c>
      <c r="F399">
        <v>2021</v>
      </c>
    </row>
    <row r="400" spans="1:6" ht="15" customHeight="1" x14ac:dyDescent="0.3">
      <c r="A400" s="55" t="s">
        <v>531</v>
      </c>
      <c r="B400" s="56">
        <v>44439</v>
      </c>
      <c r="C400" s="55" t="s">
        <v>27</v>
      </c>
      <c r="D400" s="57">
        <v>23.86</v>
      </c>
      <c r="E400" s="57">
        <v>22.46</v>
      </c>
      <c r="F400">
        <v>2021</v>
      </c>
    </row>
    <row r="401" spans="1:6" ht="15" customHeight="1" x14ac:dyDescent="0.3">
      <c r="A401" s="55" t="s">
        <v>532</v>
      </c>
      <c r="B401" s="56">
        <v>44453</v>
      </c>
      <c r="C401" s="55" t="s">
        <v>27</v>
      </c>
      <c r="D401" s="57">
        <v>22.84</v>
      </c>
      <c r="E401" s="57">
        <v>22.47</v>
      </c>
      <c r="F401">
        <v>2021</v>
      </c>
    </row>
    <row r="402" spans="1:6" ht="15" customHeight="1" x14ac:dyDescent="0.3">
      <c r="A402" s="55" t="s">
        <v>533</v>
      </c>
      <c r="B402" s="56">
        <v>44474</v>
      </c>
      <c r="C402" s="55" t="s">
        <v>27</v>
      </c>
      <c r="D402" s="57">
        <v>21.42</v>
      </c>
      <c r="E402" s="57">
        <v>21.47</v>
      </c>
      <c r="F402">
        <v>2021</v>
      </c>
    </row>
    <row r="403" spans="1:6" ht="15" customHeight="1" x14ac:dyDescent="0.3">
      <c r="A403" s="55" t="s">
        <v>534</v>
      </c>
      <c r="B403" s="56">
        <v>44508</v>
      </c>
      <c r="C403" s="55" t="s">
        <v>27</v>
      </c>
      <c r="D403" s="57">
        <v>15.89</v>
      </c>
      <c r="E403" s="57">
        <v>15.97</v>
      </c>
      <c r="F403">
        <v>2021</v>
      </c>
    </row>
    <row r="404" spans="1:6" ht="15" customHeight="1" x14ac:dyDescent="0.3">
      <c r="A404" s="55" t="s">
        <v>535</v>
      </c>
      <c r="B404" s="56">
        <v>44537</v>
      </c>
      <c r="C404" s="55" t="s">
        <v>27</v>
      </c>
      <c r="D404" s="57">
        <v>10.14</v>
      </c>
      <c r="E404" s="57">
        <v>10.35</v>
      </c>
      <c r="F404">
        <v>2021</v>
      </c>
    </row>
    <row r="405" spans="1:6" ht="15" customHeight="1" x14ac:dyDescent="0.3">
      <c r="A405" s="55" t="s">
        <v>539</v>
      </c>
      <c r="B405" s="56">
        <v>44594</v>
      </c>
      <c r="C405" s="55" t="s">
        <v>27</v>
      </c>
      <c r="D405" s="57">
        <v>1.96</v>
      </c>
      <c r="E405" s="57">
        <v>2.5</v>
      </c>
      <c r="F405">
        <v>2022</v>
      </c>
    </row>
    <row r="406" spans="1:6" ht="15" customHeight="1" x14ac:dyDescent="0.3">
      <c r="A406" s="55" t="s">
        <v>540</v>
      </c>
      <c r="B406" s="56">
        <v>44607</v>
      </c>
      <c r="C406" s="55" t="s">
        <v>27</v>
      </c>
      <c r="D406" s="87"/>
      <c r="E406" s="87"/>
      <c r="F406">
        <v>2022</v>
      </c>
    </row>
    <row r="407" spans="1:6" ht="15" customHeight="1" x14ac:dyDescent="0.3">
      <c r="A407" s="55" t="s">
        <v>541</v>
      </c>
      <c r="B407" s="56">
        <v>44623</v>
      </c>
      <c r="C407" s="55" t="s">
        <v>27</v>
      </c>
      <c r="D407" s="57">
        <v>2.92</v>
      </c>
      <c r="E407" s="57">
        <v>2.78</v>
      </c>
      <c r="F407">
        <v>2022</v>
      </c>
    </row>
    <row r="408" spans="1:6" ht="15" customHeight="1" x14ac:dyDescent="0.3">
      <c r="A408" s="55" t="s">
        <v>542</v>
      </c>
      <c r="B408" s="56">
        <v>44656</v>
      </c>
      <c r="C408" s="55" t="s">
        <v>27</v>
      </c>
      <c r="D408" s="57">
        <v>5.78</v>
      </c>
      <c r="E408" s="57">
        <v>5.0999999999999996</v>
      </c>
      <c r="F408">
        <v>2022</v>
      </c>
    </row>
    <row r="409" spans="1:6" ht="15" customHeight="1" x14ac:dyDescent="0.3">
      <c r="A409" s="55" t="s">
        <v>543</v>
      </c>
      <c r="B409" s="56">
        <v>44686</v>
      </c>
      <c r="C409" s="55" t="s">
        <v>27</v>
      </c>
      <c r="D409" s="57">
        <v>9.94</v>
      </c>
      <c r="E409" s="57">
        <v>9.01</v>
      </c>
      <c r="F409">
        <v>2022</v>
      </c>
    </row>
    <row r="410" spans="1:6" ht="15" customHeight="1" x14ac:dyDescent="0.3">
      <c r="A410" s="55" t="s">
        <v>544</v>
      </c>
      <c r="B410" s="56">
        <v>44715</v>
      </c>
      <c r="C410" s="55" t="s">
        <v>27</v>
      </c>
      <c r="D410" s="57">
        <v>16.27</v>
      </c>
      <c r="E410" s="57">
        <v>13.17</v>
      </c>
      <c r="F410">
        <v>2022</v>
      </c>
    </row>
    <row r="411" spans="1:6" ht="15" customHeight="1" x14ac:dyDescent="0.3">
      <c r="A411" s="55" t="s">
        <v>545</v>
      </c>
      <c r="B411" s="56">
        <v>44726</v>
      </c>
      <c r="C411" s="55" t="s">
        <v>27</v>
      </c>
      <c r="D411" s="57">
        <v>16.079999999999998</v>
      </c>
      <c r="E411" s="57">
        <v>13.17</v>
      </c>
      <c r="F411">
        <v>2022</v>
      </c>
    </row>
    <row r="412" spans="1:6" ht="15" customHeight="1" x14ac:dyDescent="0.3">
      <c r="A412" s="55" t="s">
        <v>546</v>
      </c>
      <c r="B412" s="56">
        <v>44749</v>
      </c>
      <c r="C412" s="55" t="s">
        <v>27</v>
      </c>
      <c r="D412" s="57">
        <v>19.91</v>
      </c>
      <c r="E412" s="57">
        <v>16.32</v>
      </c>
      <c r="F412">
        <v>2022</v>
      </c>
    </row>
    <row r="413" spans="1:6" ht="15" customHeight="1" x14ac:dyDescent="0.3">
      <c r="A413" s="55" t="s">
        <v>547</v>
      </c>
      <c r="B413" s="56">
        <v>44761</v>
      </c>
      <c r="C413" s="55" t="s">
        <v>27</v>
      </c>
      <c r="D413" s="57">
        <v>21.55</v>
      </c>
      <c r="E413" s="57">
        <v>18.46</v>
      </c>
      <c r="F413">
        <v>2022</v>
      </c>
    </row>
    <row r="414" spans="1:6" ht="15" customHeight="1" x14ac:dyDescent="0.3">
      <c r="A414" s="55" t="s">
        <v>548</v>
      </c>
      <c r="B414" s="56">
        <v>44775</v>
      </c>
      <c r="C414" s="55" t="s">
        <v>27</v>
      </c>
      <c r="D414" s="57">
        <v>22.81</v>
      </c>
      <c r="E414" s="57">
        <v>19.88</v>
      </c>
      <c r="F414">
        <v>2022</v>
      </c>
    </row>
    <row r="415" spans="1:6" ht="15" customHeight="1" x14ac:dyDescent="0.3">
      <c r="A415" s="55" t="s">
        <v>549</v>
      </c>
      <c r="B415" s="56">
        <v>44790</v>
      </c>
      <c r="C415" s="55" t="s">
        <v>27</v>
      </c>
      <c r="D415" s="57">
        <v>22.83</v>
      </c>
      <c r="E415" s="57">
        <v>22.07</v>
      </c>
      <c r="F415">
        <v>2022</v>
      </c>
    </row>
    <row r="416" spans="1:6" ht="15" customHeight="1" x14ac:dyDescent="0.3">
      <c r="A416" s="55" t="s">
        <v>550</v>
      </c>
      <c r="B416" s="56">
        <v>44805</v>
      </c>
      <c r="C416" s="55" t="s">
        <v>27</v>
      </c>
      <c r="D416" s="57">
        <v>24.38</v>
      </c>
      <c r="E416" s="57">
        <v>22.97</v>
      </c>
      <c r="F416">
        <v>2022</v>
      </c>
    </row>
    <row r="417" spans="1:6" ht="15" customHeight="1" x14ac:dyDescent="0.3">
      <c r="A417" s="55" t="s">
        <v>551</v>
      </c>
      <c r="B417" s="56">
        <v>44817</v>
      </c>
      <c r="C417" s="55" t="s">
        <v>27</v>
      </c>
      <c r="D417" s="57">
        <v>23.44</v>
      </c>
      <c r="E417" s="57">
        <v>23.23</v>
      </c>
      <c r="F417">
        <v>2022</v>
      </c>
    </row>
    <row r="418" spans="1:6" ht="15" customHeight="1" x14ac:dyDescent="0.3">
      <c r="A418" s="55" t="s">
        <v>552</v>
      </c>
      <c r="B418" s="56">
        <v>44845</v>
      </c>
      <c r="C418" s="55" t="s">
        <v>27</v>
      </c>
      <c r="D418" s="57">
        <v>17.93</v>
      </c>
      <c r="E418" s="57">
        <v>18.05</v>
      </c>
      <c r="F418">
        <v>2022</v>
      </c>
    </row>
    <row r="419" spans="1:6" ht="15" customHeight="1" x14ac:dyDescent="0.3">
      <c r="A419" s="55" t="s">
        <v>553</v>
      </c>
      <c r="B419" s="56">
        <v>44874</v>
      </c>
      <c r="C419" s="55" t="s">
        <v>27</v>
      </c>
      <c r="D419" s="57">
        <v>15.96</v>
      </c>
      <c r="E419" s="57">
        <v>15.91</v>
      </c>
      <c r="F419">
        <v>2022</v>
      </c>
    </row>
    <row r="420" spans="1:6" ht="15" customHeight="1" x14ac:dyDescent="0.3">
      <c r="A420" s="55" t="s">
        <v>556</v>
      </c>
      <c r="B420" s="56">
        <v>44900</v>
      </c>
      <c r="C420" s="55" t="s">
        <v>27</v>
      </c>
      <c r="D420" s="57">
        <v>10.58</v>
      </c>
      <c r="E420" s="57">
        <v>10.79</v>
      </c>
      <c r="F420">
        <v>2022</v>
      </c>
    </row>
    <row r="421" spans="1:6" ht="15" customHeight="1" x14ac:dyDescent="0.3">
      <c r="A421" s="119" t="s">
        <v>557</v>
      </c>
      <c r="B421" s="120">
        <v>44931</v>
      </c>
      <c r="C421" s="119" t="s">
        <v>27</v>
      </c>
      <c r="D421" s="121">
        <v>5.65</v>
      </c>
      <c r="E421" s="121">
        <v>5.62</v>
      </c>
      <c r="F421">
        <v>2023</v>
      </c>
    </row>
    <row r="422" spans="1:6" ht="15" customHeight="1" x14ac:dyDescent="0.3">
      <c r="A422" s="119" t="s">
        <v>558</v>
      </c>
      <c r="B422" s="120">
        <v>44964</v>
      </c>
      <c r="C422" s="119" t="s">
        <v>27</v>
      </c>
      <c r="D422" s="121">
        <v>4.03</v>
      </c>
      <c r="E422" s="121">
        <v>4.04</v>
      </c>
      <c r="F422">
        <v>2023</v>
      </c>
    </row>
    <row r="423" spans="1:6" ht="15" customHeight="1" x14ac:dyDescent="0.3">
      <c r="A423" s="119" t="s">
        <v>559</v>
      </c>
      <c r="B423" s="120">
        <v>45034</v>
      </c>
      <c r="C423" s="119" t="s">
        <v>27</v>
      </c>
      <c r="D423" s="121">
        <v>9.4</v>
      </c>
      <c r="E423" s="121">
        <v>7.5</v>
      </c>
      <c r="F423">
        <v>2023</v>
      </c>
    </row>
    <row r="424" spans="1:6" ht="15" customHeight="1" x14ac:dyDescent="0.3">
      <c r="A424" s="119" t="s">
        <v>560</v>
      </c>
      <c r="B424" s="120">
        <v>45050</v>
      </c>
      <c r="C424" s="119" t="s">
        <v>27</v>
      </c>
      <c r="D424" s="121">
        <v>11.41</v>
      </c>
      <c r="E424" s="121">
        <v>10.050000000000001</v>
      </c>
      <c r="F424">
        <v>2023</v>
      </c>
    </row>
    <row r="425" spans="1:6" ht="15" customHeight="1" x14ac:dyDescent="0.3">
      <c r="A425" s="119" t="s">
        <v>561</v>
      </c>
      <c r="B425" s="120">
        <v>45078</v>
      </c>
      <c r="C425" s="119" t="s">
        <v>27</v>
      </c>
      <c r="D425" s="121">
        <v>16.43</v>
      </c>
      <c r="E425" s="121">
        <v>12.56</v>
      </c>
      <c r="F425">
        <v>2023</v>
      </c>
    </row>
    <row r="426" spans="1:6" ht="15" customHeight="1" x14ac:dyDescent="0.3">
      <c r="A426" s="119" t="s">
        <v>562</v>
      </c>
      <c r="B426" s="120">
        <v>45100</v>
      </c>
      <c r="C426" s="119" t="s">
        <v>27</v>
      </c>
      <c r="D426" s="121">
        <v>17.68</v>
      </c>
      <c r="E426" s="121">
        <v>16.75</v>
      </c>
      <c r="F426">
        <v>2023</v>
      </c>
    </row>
    <row r="427" spans="1:6" ht="15" customHeight="1" x14ac:dyDescent="0.3">
      <c r="A427" s="119" t="s">
        <v>563</v>
      </c>
      <c r="B427" s="120">
        <v>45117</v>
      </c>
      <c r="C427" s="119" t="s">
        <v>27</v>
      </c>
      <c r="D427" s="121">
        <v>23.47</v>
      </c>
      <c r="E427" s="121">
        <v>17.739999999999998</v>
      </c>
      <c r="F427">
        <v>2023</v>
      </c>
    </row>
    <row r="428" spans="1:6" ht="15" customHeight="1" x14ac:dyDescent="0.3">
      <c r="A428" s="119" t="s">
        <v>564</v>
      </c>
      <c r="B428" s="120">
        <v>45124</v>
      </c>
      <c r="C428" s="119" t="s">
        <v>27</v>
      </c>
      <c r="D428" s="121">
        <v>23.84</v>
      </c>
      <c r="E428" s="121">
        <v>18</v>
      </c>
      <c r="F428">
        <v>2023</v>
      </c>
    </row>
    <row r="429" spans="1:6" ht="15" customHeight="1" x14ac:dyDescent="0.3">
      <c r="A429" s="119" t="s">
        <v>565</v>
      </c>
      <c r="B429" s="120">
        <v>45140</v>
      </c>
      <c r="C429" s="119" t="s">
        <v>27</v>
      </c>
      <c r="D429" s="121">
        <v>22.36</v>
      </c>
      <c r="E429" s="121">
        <v>20.079999999999998</v>
      </c>
      <c r="F429">
        <v>2023</v>
      </c>
    </row>
    <row r="430" spans="1:6" ht="15" customHeight="1" x14ac:dyDescent="0.3">
      <c r="A430" s="119" t="s">
        <v>566</v>
      </c>
      <c r="B430" s="120">
        <v>45152</v>
      </c>
      <c r="C430" s="119" t="s">
        <v>27</v>
      </c>
      <c r="D430" s="121">
        <v>23.03</v>
      </c>
      <c r="E430" s="121">
        <v>20.73</v>
      </c>
      <c r="F430">
        <v>2023</v>
      </c>
    </row>
    <row r="431" spans="1:6" ht="15" customHeight="1" x14ac:dyDescent="0.3">
      <c r="A431" s="119" t="s">
        <v>567</v>
      </c>
      <c r="B431" s="120">
        <v>45176</v>
      </c>
      <c r="C431" s="119" t="s">
        <v>27</v>
      </c>
      <c r="D431" s="121">
        <v>24.45</v>
      </c>
      <c r="E431" s="121">
        <v>22.18</v>
      </c>
      <c r="F431">
        <v>2023</v>
      </c>
    </row>
    <row r="432" spans="1:6" ht="15" customHeight="1" x14ac:dyDescent="0.3">
      <c r="A432" s="119" t="s">
        <v>568</v>
      </c>
      <c r="B432" s="120">
        <v>45209</v>
      </c>
      <c r="C432" s="119" t="s">
        <v>27</v>
      </c>
      <c r="D432" s="121">
        <v>18.43</v>
      </c>
      <c r="E432" s="121">
        <v>19.420000000000002</v>
      </c>
      <c r="F432">
        <v>2023</v>
      </c>
    </row>
    <row r="433" spans="1:6" ht="15" customHeight="1" x14ac:dyDescent="0.3">
      <c r="A433" s="119" t="s">
        <v>569</v>
      </c>
      <c r="B433" s="120">
        <v>45238</v>
      </c>
      <c r="C433" s="119" t="s">
        <v>27</v>
      </c>
      <c r="D433" s="121">
        <v>15.37</v>
      </c>
      <c r="E433" s="121">
        <v>15.46</v>
      </c>
      <c r="F433">
        <v>2023</v>
      </c>
    </row>
    <row r="434" spans="1:6" ht="15" customHeight="1" x14ac:dyDescent="0.3">
      <c r="A434" s="119" t="s">
        <v>570</v>
      </c>
      <c r="B434" s="120">
        <v>45266</v>
      </c>
      <c r="C434" s="119" t="s">
        <v>27</v>
      </c>
      <c r="D434" s="121">
        <v>9.48</v>
      </c>
      <c r="E434" s="121">
        <v>10.119999999999999</v>
      </c>
      <c r="F434">
        <v>2023</v>
      </c>
    </row>
    <row r="435" spans="1:6" ht="15" customHeight="1" x14ac:dyDescent="0.3">
      <c r="A435" s="119" t="s">
        <v>571</v>
      </c>
      <c r="B435" s="120">
        <v>45299</v>
      </c>
      <c r="C435" s="119" t="s">
        <v>27</v>
      </c>
      <c r="D435" s="121">
        <v>6.48</v>
      </c>
      <c r="E435" s="121">
        <v>6.48</v>
      </c>
      <c r="F435">
        <v>2024</v>
      </c>
    </row>
    <row r="436" spans="1:6" ht="15" customHeight="1" x14ac:dyDescent="0.3">
      <c r="A436" s="119" t="s">
        <v>572</v>
      </c>
      <c r="B436" s="120">
        <v>45328</v>
      </c>
      <c r="C436" s="119" t="s">
        <v>27</v>
      </c>
      <c r="D436" s="121">
        <v>3.77</v>
      </c>
      <c r="E436" s="121">
        <v>4.2699999999999996</v>
      </c>
      <c r="F436">
        <v>2024</v>
      </c>
    </row>
    <row r="437" spans="1:6" ht="15" customHeight="1" x14ac:dyDescent="0.3">
      <c r="A437" s="119" t="s">
        <v>573</v>
      </c>
      <c r="B437" s="120">
        <v>45344</v>
      </c>
      <c r="C437" s="119" t="s">
        <v>27</v>
      </c>
      <c r="D437" s="121">
        <v>3.49</v>
      </c>
      <c r="E437" s="121">
        <v>3.8</v>
      </c>
      <c r="F437">
        <v>2024</v>
      </c>
    </row>
    <row r="438" spans="1:6" ht="15" customHeight="1" x14ac:dyDescent="0.3">
      <c r="A438" s="119" t="s">
        <v>574</v>
      </c>
      <c r="B438" s="120">
        <v>45357</v>
      </c>
      <c r="C438" s="119" t="s">
        <v>27</v>
      </c>
      <c r="D438" s="121">
        <v>4.9800000000000004</v>
      </c>
      <c r="E438" s="121">
        <v>4.07</v>
      </c>
      <c r="F438">
        <v>2024</v>
      </c>
    </row>
    <row r="439" spans="1:6" ht="15" customHeight="1" x14ac:dyDescent="0.3">
      <c r="A439" s="119" t="s">
        <v>575</v>
      </c>
      <c r="B439" s="120">
        <v>45369</v>
      </c>
      <c r="C439" s="119" t="s">
        <v>27</v>
      </c>
      <c r="D439" s="121">
        <v>6.61</v>
      </c>
      <c r="E439" s="121">
        <v>5.1100000000000003</v>
      </c>
      <c r="F439">
        <v>2024</v>
      </c>
    </row>
    <row r="440" spans="1:6" ht="15" customHeight="1" x14ac:dyDescent="0.3">
      <c r="A440" s="119" t="s">
        <v>576</v>
      </c>
      <c r="B440" s="120">
        <v>45390</v>
      </c>
      <c r="C440" s="119" t="s">
        <v>27</v>
      </c>
      <c r="D440" s="121">
        <v>6.58</v>
      </c>
      <c r="E440" s="121">
        <v>6.33</v>
      </c>
      <c r="F440">
        <v>2024</v>
      </c>
    </row>
    <row r="441" spans="1:6" ht="15" customHeight="1" x14ac:dyDescent="0.3">
      <c r="A441" s="119" t="s">
        <v>577</v>
      </c>
      <c r="B441" s="120">
        <v>45415</v>
      </c>
      <c r="C441" s="119" t="s">
        <v>27</v>
      </c>
      <c r="D441" s="121">
        <v>11.95</v>
      </c>
      <c r="E441" s="121">
        <v>9.61</v>
      </c>
      <c r="F441">
        <v>2024</v>
      </c>
    </row>
    <row r="442" spans="1:6" ht="15" customHeight="1" x14ac:dyDescent="0.3">
      <c r="A442" s="119" t="s">
        <v>578</v>
      </c>
      <c r="B442" s="120">
        <v>45447</v>
      </c>
      <c r="C442" s="119" t="s">
        <v>27</v>
      </c>
      <c r="D442" s="121">
        <v>17.52</v>
      </c>
      <c r="E442" s="121">
        <v>11.71</v>
      </c>
      <c r="F442">
        <v>2024</v>
      </c>
    </row>
    <row r="443" spans="1:6" ht="15" customHeight="1" x14ac:dyDescent="0.3">
      <c r="A443" s="119" t="s">
        <v>579</v>
      </c>
      <c r="B443" s="120">
        <v>45460</v>
      </c>
      <c r="C443" s="119" t="s">
        <v>27</v>
      </c>
      <c r="D443" s="121">
        <v>18.45</v>
      </c>
      <c r="E443" s="121">
        <v>13.76</v>
      </c>
      <c r="F443">
        <v>2024</v>
      </c>
    </row>
    <row r="444" spans="1:6" ht="15" customHeight="1" x14ac:dyDescent="0.3">
      <c r="A444" s="119" t="s">
        <v>580</v>
      </c>
      <c r="B444" s="120">
        <v>45475</v>
      </c>
      <c r="C444" s="119" t="s">
        <v>27</v>
      </c>
      <c r="D444" s="121">
        <v>18.940000000000001</v>
      </c>
      <c r="E444" s="121">
        <v>16.43</v>
      </c>
      <c r="F444">
        <v>2024</v>
      </c>
    </row>
    <row r="445" spans="1:6" ht="15" customHeight="1" x14ac:dyDescent="0.3">
      <c r="A445" s="119" t="s">
        <v>581</v>
      </c>
      <c r="B445" s="120">
        <v>45489</v>
      </c>
      <c r="C445" s="119" t="s">
        <v>27</v>
      </c>
      <c r="D445" s="121">
        <v>22.23</v>
      </c>
      <c r="E445" s="121">
        <v>17.8</v>
      </c>
      <c r="F445">
        <v>2024</v>
      </c>
    </row>
    <row r="446" spans="1:6" ht="15" customHeight="1" x14ac:dyDescent="0.3">
      <c r="A446" s="119" t="s">
        <v>582</v>
      </c>
      <c r="B446" s="120">
        <v>45504</v>
      </c>
      <c r="C446" s="119" t="s">
        <v>27</v>
      </c>
      <c r="D446" s="121">
        <v>23.13</v>
      </c>
      <c r="E446" s="121">
        <v>19.47</v>
      </c>
      <c r="F446">
        <v>2024</v>
      </c>
    </row>
    <row r="447" spans="1:6" ht="15" customHeight="1" x14ac:dyDescent="0.3">
      <c r="A447" s="119" t="s">
        <v>583</v>
      </c>
      <c r="B447" s="120">
        <v>45516</v>
      </c>
      <c r="C447" s="119" t="s">
        <v>27</v>
      </c>
      <c r="D447" s="121">
        <v>23</v>
      </c>
      <c r="E447" s="121">
        <v>21.17</v>
      </c>
      <c r="F447">
        <v>2024</v>
      </c>
    </row>
    <row r="448" spans="1:6" ht="15" customHeight="1" x14ac:dyDescent="0.3">
      <c r="A448" s="119" t="s">
        <v>584</v>
      </c>
      <c r="B448" s="120">
        <v>45531</v>
      </c>
      <c r="C448" s="119" t="s">
        <v>27</v>
      </c>
      <c r="D448" s="121">
        <v>22.96</v>
      </c>
      <c r="E448" s="121">
        <v>21.61</v>
      </c>
      <c r="F448">
        <v>2024</v>
      </c>
    </row>
    <row r="449" spans="1:6" ht="15" customHeight="1" x14ac:dyDescent="0.3">
      <c r="A449" s="134" t="s">
        <v>585</v>
      </c>
      <c r="B449" s="34">
        <v>45568</v>
      </c>
      <c r="C449" s="134" t="s">
        <v>27</v>
      </c>
      <c r="D449" s="135">
        <v>20.58</v>
      </c>
      <c r="E449" s="135">
        <v>20.399999999999999</v>
      </c>
      <c r="F449">
        <v>2024</v>
      </c>
    </row>
    <row r="450" spans="1:6" ht="15" customHeight="1" x14ac:dyDescent="0.3">
      <c r="A450" t="s">
        <v>601</v>
      </c>
      <c r="B450" s="34">
        <v>45687</v>
      </c>
      <c r="C450" t="s">
        <v>27</v>
      </c>
      <c r="D450">
        <v>2.21</v>
      </c>
      <c r="E450">
        <v>2.17</v>
      </c>
      <c r="F450">
        <v>2025</v>
      </c>
    </row>
    <row r="451" spans="1:6" ht="15" customHeight="1" x14ac:dyDescent="0.3">
      <c r="A451" t="s">
        <v>593</v>
      </c>
      <c r="B451" s="34">
        <v>45727</v>
      </c>
      <c r="C451" t="s">
        <v>27</v>
      </c>
      <c r="D451">
        <v>2.88</v>
      </c>
      <c r="E451">
        <v>2.2999999999999998</v>
      </c>
      <c r="F451">
        <v>2025</v>
      </c>
    </row>
    <row r="452" spans="1:6" ht="15" customHeight="1" x14ac:dyDescent="0.3">
      <c r="A452" t="s">
        <v>594</v>
      </c>
      <c r="B452" s="34">
        <v>45748</v>
      </c>
      <c r="C452" t="s">
        <v>27</v>
      </c>
      <c r="D452">
        <v>5.7</v>
      </c>
      <c r="E452">
        <v>5.67</v>
      </c>
      <c r="F452">
        <v>2025</v>
      </c>
    </row>
    <row r="453" spans="1:6" ht="15" customHeight="1" x14ac:dyDescent="0.3">
      <c r="A453" t="s">
        <v>595</v>
      </c>
      <c r="B453" s="34">
        <v>45783</v>
      </c>
      <c r="C453" t="s">
        <v>27</v>
      </c>
      <c r="D453">
        <v>11.32</v>
      </c>
      <c r="E453">
        <v>9.6999999999999993</v>
      </c>
      <c r="F453">
        <v>2025</v>
      </c>
    </row>
    <row r="454" spans="1:6" ht="15" customHeight="1" x14ac:dyDescent="0.3">
      <c r="A454" t="s">
        <v>596</v>
      </c>
      <c r="B454" s="34">
        <v>45811</v>
      </c>
      <c r="C454" t="s">
        <v>27</v>
      </c>
      <c r="D454">
        <v>15.08</v>
      </c>
      <c r="E454">
        <v>12.69</v>
      </c>
      <c r="F454">
        <v>2025</v>
      </c>
    </row>
    <row r="455" spans="1:6" ht="15" customHeight="1" x14ac:dyDescent="0.3">
      <c r="A455" t="s">
        <v>597</v>
      </c>
      <c r="B455" s="34">
        <v>45839</v>
      </c>
      <c r="C455" t="s">
        <v>27</v>
      </c>
      <c r="D455">
        <v>22.15</v>
      </c>
      <c r="E455">
        <v>17.07</v>
      </c>
      <c r="F455">
        <v>2025</v>
      </c>
    </row>
    <row r="456" spans="1:6" ht="15" customHeight="1" x14ac:dyDescent="0.3">
      <c r="A456" t="s">
        <v>598</v>
      </c>
      <c r="B456" s="34">
        <v>45852</v>
      </c>
      <c r="C456" t="s">
        <v>27</v>
      </c>
      <c r="D456">
        <v>23.52</v>
      </c>
      <c r="E456">
        <v>17.04</v>
      </c>
      <c r="F456">
        <v>2025</v>
      </c>
    </row>
    <row r="457" spans="1:6" ht="15" customHeight="1" x14ac:dyDescent="0.3">
      <c r="A457" t="s">
        <v>599</v>
      </c>
      <c r="B457" s="34">
        <v>45868</v>
      </c>
      <c r="C457" t="s">
        <v>27</v>
      </c>
      <c r="D457">
        <v>24.89</v>
      </c>
      <c r="E457">
        <v>19.61</v>
      </c>
      <c r="F457">
        <v>2025</v>
      </c>
    </row>
    <row r="458" spans="1:6" ht="15" customHeight="1" x14ac:dyDescent="0.3">
      <c r="A458" t="s">
        <v>600</v>
      </c>
      <c r="B458" s="34">
        <v>45880</v>
      </c>
      <c r="C458" t="s">
        <v>27</v>
      </c>
      <c r="D458">
        <v>23.53</v>
      </c>
      <c r="E458">
        <v>20.97</v>
      </c>
      <c r="F458">
        <v>2025</v>
      </c>
    </row>
    <row r="459" spans="1:6" ht="15" customHeight="1" x14ac:dyDescent="0.3">
      <c r="A459" t="s">
        <v>603</v>
      </c>
      <c r="B459" s="34">
        <v>45896</v>
      </c>
      <c r="C459" t="s">
        <v>27</v>
      </c>
      <c r="D459">
        <v>22.37</v>
      </c>
      <c r="E459">
        <v>21.86</v>
      </c>
      <c r="F459">
        <v>2025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35"/>
  <sheetViews>
    <sheetView workbookViewId="0">
      <pane ySplit="1" topLeftCell="A508" activePane="bottomLeft" state="frozen"/>
      <selection pane="bottomLeft" activeCell="A535" sqref="A535"/>
    </sheetView>
  </sheetViews>
  <sheetFormatPr defaultRowHeight="14.4" x14ac:dyDescent="0.3"/>
  <cols>
    <col min="1" max="1" width="12" customWidth="1"/>
    <col min="2" max="2" width="13.109375" bestFit="1" customWidth="1"/>
    <col min="3" max="3" width="10.6640625" bestFit="1" customWidth="1"/>
    <col min="4" max="4" width="7.5546875" bestFit="1" customWidth="1"/>
    <col min="9" max="9" width="12.5546875" bestFit="1" customWidth="1"/>
    <col min="10" max="10" width="17" bestFit="1" customWidth="1"/>
    <col min="11" max="11" width="16.88671875" bestFit="1" customWidth="1"/>
    <col min="13" max="13" width="15.44140625" customWidth="1"/>
  </cols>
  <sheetData>
    <row r="1" spans="1:15" x14ac:dyDescent="0.3">
      <c r="A1" s="10" t="s">
        <v>1</v>
      </c>
      <c r="B1" s="10" t="s">
        <v>2</v>
      </c>
      <c r="C1" s="10" t="s">
        <v>3</v>
      </c>
      <c r="D1" s="10" t="s">
        <v>5</v>
      </c>
      <c r="E1" s="10" t="s">
        <v>4</v>
      </c>
      <c r="F1" s="177" t="s">
        <v>480</v>
      </c>
      <c r="G1" s="177"/>
      <c r="H1" s="177"/>
      <c r="I1" s="177"/>
      <c r="J1" s="177"/>
      <c r="K1" s="177"/>
      <c r="M1" s="19"/>
    </row>
    <row r="2" spans="1:15" x14ac:dyDescent="0.3">
      <c r="A2" s="15" t="s">
        <v>43</v>
      </c>
      <c r="B2" s="15" t="s">
        <v>35</v>
      </c>
      <c r="C2" s="16">
        <v>33290</v>
      </c>
      <c r="D2" s="17">
        <v>2.7484000000000002</v>
      </c>
      <c r="E2" s="18"/>
      <c r="F2" s="18">
        <v>1991</v>
      </c>
      <c r="G2" s="18"/>
      <c r="H2" s="18"/>
      <c r="I2" s="47" t="s">
        <v>515</v>
      </c>
      <c r="J2" t="s">
        <v>518</v>
      </c>
      <c r="K2" t="s">
        <v>519</v>
      </c>
      <c r="M2" t="s">
        <v>515</v>
      </c>
      <c r="N2" t="s">
        <v>481</v>
      </c>
      <c r="O2" t="s">
        <v>482</v>
      </c>
    </row>
    <row r="3" spans="1:15" x14ac:dyDescent="0.3">
      <c r="A3" s="11" t="s">
        <v>44</v>
      </c>
      <c r="B3" s="11" t="s">
        <v>35</v>
      </c>
      <c r="C3" s="12">
        <v>33323</v>
      </c>
      <c r="D3" s="14"/>
      <c r="E3" s="14"/>
      <c r="F3" s="14">
        <v>1991</v>
      </c>
      <c r="G3" s="14"/>
      <c r="H3" s="14"/>
      <c r="I3" s="9">
        <v>1991</v>
      </c>
      <c r="J3">
        <v>15.820683333333333</v>
      </c>
      <c r="K3">
        <v>16.067700000000002</v>
      </c>
      <c r="M3">
        <v>1991</v>
      </c>
      <c r="N3">
        <v>15.820683333333333</v>
      </c>
      <c r="O3">
        <v>16.067700000000002</v>
      </c>
    </row>
    <row r="4" spans="1:15" x14ac:dyDescent="0.3">
      <c r="A4" s="11" t="s">
        <v>45</v>
      </c>
      <c r="B4" s="11" t="s">
        <v>35</v>
      </c>
      <c r="C4" s="12">
        <v>33331</v>
      </c>
      <c r="D4" s="14"/>
      <c r="E4" s="13">
        <v>5.1689999999999996</v>
      </c>
      <c r="F4" s="178">
        <v>1991</v>
      </c>
      <c r="G4" s="178"/>
      <c r="H4" s="178"/>
      <c r="I4" s="9">
        <v>1992</v>
      </c>
      <c r="J4">
        <v>11.769970000000001</v>
      </c>
      <c r="K4">
        <v>12.030142857142858</v>
      </c>
      <c r="M4">
        <v>1992</v>
      </c>
      <c r="N4">
        <v>11.769970000000001</v>
      </c>
      <c r="O4">
        <v>12.030142857142858</v>
      </c>
    </row>
    <row r="5" spans="1:15" x14ac:dyDescent="0.3">
      <c r="A5" s="11" t="s">
        <v>46</v>
      </c>
      <c r="B5" s="11" t="s">
        <v>35</v>
      </c>
      <c r="C5" s="12">
        <v>33360</v>
      </c>
      <c r="D5" s="14"/>
      <c r="E5" s="14"/>
      <c r="F5" s="14">
        <v>1991</v>
      </c>
      <c r="G5" s="14"/>
      <c r="H5" s="14"/>
      <c r="I5" s="9">
        <v>1993</v>
      </c>
      <c r="J5">
        <v>11.064755555555555</v>
      </c>
      <c r="K5">
        <v>15.15632857142857</v>
      </c>
      <c r="M5">
        <v>1993</v>
      </c>
      <c r="N5">
        <v>11.064755555555555</v>
      </c>
      <c r="O5">
        <v>15.15632857142857</v>
      </c>
    </row>
    <row r="6" spans="1:15" x14ac:dyDescent="0.3">
      <c r="A6" s="11" t="s">
        <v>47</v>
      </c>
      <c r="B6" s="11" t="s">
        <v>35</v>
      </c>
      <c r="C6" s="12">
        <v>33394</v>
      </c>
      <c r="D6" s="14"/>
      <c r="E6" s="13">
        <v>16.8142</v>
      </c>
      <c r="F6" s="178">
        <v>1991</v>
      </c>
      <c r="G6" s="178"/>
      <c r="H6" s="178"/>
      <c r="I6" s="9">
        <v>1994</v>
      </c>
      <c r="J6">
        <v>9.7275000000000009</v>
      </c>
      <c r="K6">
        <v>13.555624999999999</v>
      </c>
      <c r="M6">
        <v>1994</v>
      </c>
      <c r="N6">
        <v>9.7275000000000009</v>
      </c>
      <c r="O6">
        <v>13.555624999999999</v>
      </c>
    </row>
    <row r="7" spans="1:15" x14ac:dyDescent="0.3">
      <c r="A7" s="11" t="s">
        <v>48</v>
      </c>
      <c r="B7" s="11" t="s">
        <v>35</v>
      </c>
      <c r="C7" s="12">
        <v>33428</v>
      </c>
      <c r="D7" s="13">
        <v>16.884599999999999</v>
      </c>
      <c r="E7" s="13">
        <v>20.581700000000001</v>
      </c>
      <c r="F7" s="178">
        <v>1991</v>
      </c>
      <c r="G7" s="178"/>
      <c r="H7" s="178"/>
      <c r="I7" s="9">
        <v>1995</v>
      </c>
      <c r="J7">
        <v>12.089921428571428</v>
      </c>
      <c r="K7">
        <v>14.166666666666664</v>
      </c>
      <c r="M7">
        <v>1995</v>
      </c>
      <c r="N7">
        <v>12.089921428571428</v>
      </c>
      <c r="O7">
        <v>14.166666666666664</v>
      </c>
    </row>
    <row r="8" spans="1:15" x14ac:dyDescent="0.3">
      <c r="A8" s="11" t="s">
        <v>49</v>
      </c>
      <c r="B8" s="11" t="s">
        <v>35</v>
      </c>
      <c r="C8" s="12">
        <v>33462</v>
      </c>
      <c r="D8" s="13">
        <v>20.8429</v>
      </c>
      <c r="E8" s="13">
        <v>21.785</v>
      </c>
      <c r="F8" s="178">
        <v>1991</v>
      </c>
      <c r="G8" s="178"/>
      <c r="H8" s="178"/>
      <c r="I8" s="9">
        <v>1996</v>
      </c>
      <c r="J8">
        <v>12.752307692307692</v>
      </c>
      <c r="K8">
        <v>14.767692307692309</v>
      </c>
      <c r="M8">
        <v>1996</v>
      </c>
      <c r="N8">
        <v>12.752307692307692</v>
      </c>
      <c r="O8">
        <v>14.767692307692309</v>
      </c>
    </row>
    <row r="9" spans="1:15" x14ac:dyDescent="0.3">
      <c r="A9" s="11" t="s">
        <v>50</v>
      </c>
      <c r="B9" s="11" t="s">
        <v>35</v>
      </c>
      <c r="C9" s="12">
        <v>33487</v>
      </c>
      <c r="D9" s="13">
        <v>22.199400000000001</v>
      </c>
      <c r="E9" s="14"/>
      <c r="F9" s="14">
        <v>1991</v>
      </c>
      <c r="G9" s="14"/>
      <c r="H9" s="14"/>
      <c r="I9" s="9">
        <v>1997</v>
      </c>
      <c r="J9">
        <v>11.966363636363637</v>
      </c>
      <c r="K9">
        <v>13.700769230769229</v>
      </c>
      <c r="M9">
        <v>1997</v>
      </c>
      <c r="N9">
        <v>11.966363636363637</v>
      </c>
      <c r="O9">
        <v>13.700769230769229</v>
      </c>
    </row>
    <row r="10" spans="1:15" x14ac:dyDescent="0.3">
      <c r="A10" s="11" t="s">
        <v>51</v>
      </c>
      <c r="B10" s="11" t="s">
        <v>35</v>
      </c>
      <c r="C10" s="12">
        <v>33513</v>
      </c>
      <c r="D10" s="13">
        <v>20.155000000000001</v>
      </c>
      <c r="E10" s="13">
        <v>19.942699999999999</v>
      </c>
      <c r="F10" s="178">
        <v>1991</v>
      </c>
      <c r="G10" s="178"/>
      <c r="H10" s="178"/>
      <c r="I10" s="9">
        <v>1998</v>
      </c>
      <c r="J10">
        <v>13.247857142857145</v>
      </c>
      <c r="K10">
        <v>14.883750000000003</v>
      </c>
      <c r="M10">
        <v>1998</v>
      </c>
      <c r="N10">
        <v>13.247857142857145</v>
      </c>
      <c r="O10">
        <v>14.883750000000003</v>
      </c>
    </row>
    <row r="11" spans="1:15" x14ac:dyDescent="0.3">
      <c r="A11" s="11" t="s">
        <v>52</v>
      </c>
      <c r="B11" s="11" t="s">
        <v>35</v>
      </c>
      <c r="C11" s="12">
        <v>33556</v>
      </c>
      <c r="D11" s="13">
        <v>12.0938</v>
      </c>
      <c r="E11" s="13">
        <v>12.1136</v>
      </c>
      <c r="F11" s="178">
        <v>1991</v>
      </c>
      <c r="G11" s="178"/>
      <c r="H11" s="178"/>
      <c r="I11" s="9">
        <v>1999</v>
      </c>
      <c r="J11">
        <v>11.822352941176472</v>
      </c>
      <c r="K11">
        <v>13.362352941176468</v>
      </c>
      <c r="M11">
        <v>1999</v>
      </c>
      <c r="N11">
        <v>11.822352941176472</v>
      </c>
      <c r="O11">
        <v>13.362352941176468</v>
      </c>
    </row>
    <row r="12" spans="1:15" x14ac:dyDescent="0.3">
      <c r="A12" s="15" t="s">
        <v>53</v>
      </c>
      <c r="B12" s="15" t="s">
        <v>35</v>
      </c>
      <c r="C12" s="16">
        <v>33611</v>
      </c>
      <c r="D12" s="17">
        <v>5.0789</v>
      </c>
      <c r="E12" s="17">
        <v>5.0712000000000002</v>
      </c>
      <c r="F12" s="179">
        <v>1992</v>
      </c>
      <c r="G12" s="179"/>
      <c r="H12" s="179"/>
      <c r="I12" s="9">
        <v>2000</v>
      </c>
      <c r="J12">
        <v>11.243529411764706</v>
      </c>
      <c r="K12">
        <v>12.615882352941178</v>
      </c>
      <c r="M12">
        <v>2000</v>
      </c>
      <c r="N12">
        <v>11.243529411764706</v>
      </c>
      <c r="O12">
        <v>12.615882352941178</v>
      </c>
    </row>
    <row r="13" spans="1:15" x14ac:dyDescent="0.3">
      <c r="A13" s="11" t="s">
        <v>54</v>
      </c>
      <c r="B13" s="11" t="s">
        <v>35</v>
      </c>
      <c r="C13" s="12">
        <v>33640</v>
      </c>
      <c r="D13" s="13">
        <v>1.9810000000000001</v>
      </c>
      <c r="E13" s="13">
        <v>1.8784000000000001</v>
      </c>
      <c r="F13" s="178">
        <v>1992</v>
      </c>
      <c r="G13" s="178"/>
      <c r="H13" s="178"/>
      <c r="I13" s="9">
        <v>2001</v>
      </c>
      <c r="J13">
        <v>12.559285714285716</v>
      </c>
      <c r="K13">
        <v>15.161250000000001</v>
      </c>
      <c r="M13">
        <v>2001</v>
      </c>
      <c r="N13">
        <v>12.559285714285716</v>
      </c>
      <c r="O13">
        <v>15.161250000000001</v>
      </c>
    </row>
    <row r="14" spans="1:15" x14ac:dyDescent="0.3">
      <c r="A14" s="11" t="s">
        <v>55</v>
      </c>
      <c r="B14" s="11" t="s">
        <v>35</v>
      </c>
      <c r="C14" s="12">
        <v>33730</v>
      </c>
      <c r="D14" s="13">
        <v>7.5362999999999998</v>
      </c>
      <c r="E14" s="14"/>
      <c r="F14" s="14">
        <v>1992</v>
      </c>
      <c r="G14" s="14"/>
      <c r="H14" s="14"/>
      <c r="I14" s="9">
        <v>2002</v>
      </c>
      <c r="J14">
        <v>12.078823529411764</v>
      </c>
      <c r="K14">
        <v>13.691764705882354</v>
      </c>
      <c r="M14">
        <v>2002</v>
      </c>
      <c r="N14">
        <v>12.078823529411764</v>
      </c>
      <c r="O14">
        <v>13.691764705882354</v>
      </c>
    </row>
    <row r="15" spans="1:15" x14ac:dyDescent="0.3">
      <c r="A15" s="11" t="s">
        <v>56</v>
      </c>
      <c r="B15" s="11" t="s">
        <v>35</v>
      </c>
      <c r="C15" s="12">
        <v>33758</v>
      </c>
      <c r="D15" s="13">
        <v>10.779299999999999</v>
      </c>
      <c r="E15" s="14"/>
      <c r="F15" s="14">
        <v>1992</v>
      </c>
      <c r="G15" s="14"/>
      <c r="H15" s="14"/>
      <c r="I15" s="9">
        <v>2003</v>
      </c>
      <c r="J15">
        <v>10.618666666666668</v>
      </c>
      <c r="K15">
        <v>12.397333333333334</v>
      </c>
      <c r="M15">
        <v>2003</v>
      </c>
      <c r="N15">
        <v>10.618666666666668</v>
      </c>
      <c r="O15">
        <v>12.397333333333334</v>
      </c>
    </row>
    <row r="16" spans="1:15" x14ac:dyDescent="0.3">
      <c r="A16" s="11" t="s">
        <v>57</v>
      </c>
      <c r="B16" s="11" t="s">
        <v>35</v>
      </c>
      <c r="C16" s="12">
        <v>33794</v>
      </c>
      <c r="D16" s="13">
        <v>15.3279</v>
      </c>
      <c r="E16" s="14"/>
      <c r="F16" s="14">
        <v>1992</v>
      </c>
      <c r="G16" s="14"/>
      <c r="H16" s="14"/>
      <c r="I16" s="9">
        <v>2004</v>
      </c>
      <c r="J16">
        <v>10.643333333333334</v>
      </c>
      <c r="K16">
        <v>12.882857142857143</v>
      </c>
      <c r="M16">
        <v>2004</v>
      </c>
      <c r="N16">
        <v>10.643333333333334</v>
      </c>
      <c r="O16">
        <v>12.882857142857143</v>
      </c>
    </row>
    <row r="17" spans="1:15" x14ac:dyDescent="0.3">
      <c r="A17" s="11" t="s">
        <v>58</v>
      </c>
      <c r="B17" s="11" t="s">
        <v>35</v>
      </c>
      <c r="C17" s="12">
        <v>33822</v>
      </c>
      <c r="D17" s="13">
        <v>18.5289</v>
      </c>
      <c r="E17" s="13">
        <v>19.627199999999998</v>
      </c>
      <c r="F17" s="178">
        <v>1992</v>
      </c>
      <c r="G17" s="178"/>
      <c r="H17" s="178"/>
      <c r="I17" s="9">
        <v>2005</v>
      </c>
      <c r="J17">
        <v>12.234999999999999</v>
      </c>
      <c r="K17">
        <v>13.782666666666668</v>
      </c>
      <c r="M17">
        <v>2005</v>
      </c>
      <c r="N17">
        <v>12.234999999999999</v>
      </c>
      <c r="O17">
        <v>13.782666666666668</v>
      </c>
    </row>
    <row r="18" spans="1:15" x14ac:dyDescent="0.3">
      <c r="A18" s="11" t="s">
        <v>59</v>
      </c>
      <c r="B18" s="11" t="s">
        <v>35</v>
      </c>
      <c r="C18" s="12">
        <v>33849</v>
      </c>
      <c r="D18" s="13">
        <v>20.6951</v>
      </c>
      <c r="E18" s="13">
        <v>20.7608</v>
      </c>
      <c r="F18" s="178">
        <v>1992</v>
      </c>
      <c r="G18" s="178"/>
      <c r="H18" s="178"/>
      <c r="I18" s="9">
        <v>2006</v>
      </c>
      <c r="J18">
        <v>13.986363636363633</v>
      </c>
      <c r="K18">
        <v>16.405454545454543</v>
      </c>
      <c r="M18">
        <v>2006</v>
      </c>
      <c r="N18">
        <v>13.986363636363633</v>
      </c>
      <c r="O18">
        <v>16.405454545454543</v>
      </c>
    </row>
    <row r="19" spans="1:15" x14ac:dyDescent="0.3">
      <c r="A19" s="11" t="s">
        <v>60</v>
      </c>
      <c r="B19" s="11" t="s">
        <v>35</v>
      </c>
      <c r="C19" s="12">
        <v>33884</v>
      </c>
      <c r="D19" s="13">
        <v>18.183399999999999</v>
      </c>
      <c r="E19" s="13">
        <v>17.588999999999999</v>
      </c>
      <c r="F19" s="178">
        <v>1992</v>
      </c>
      <c r="G19" s="178"/>
      <c r="H19" s="178"/>
      <c r="I19" s="9">
        <v>2007</v>
      </c>
      <c r="J19">
        <v>11.901764705882352</v>
      </c>
      <c r="K19">
        <v>13.581176470588233</v>
      </c>
      <c r="M19">
        <v>2007</v>
      </c>
      <c r="N19">
        <v>11.901764705882352</v>
      </c>
      <c r="O19">
        <v>13.581176470588233</v>
      </c>
    </row>
    <row r="20" spans="1:15" x14ac:dyDescent="0.3">
      <c r="A20" s="11" t="s">
        <v>61</v>
      </c>
      <c r="B20" s="11" t="s">
        <v>35</v>
      </c>
      <c r="C20" s="12">
        <v>33913</v>
      </c>
      <c r="D20" s="13">
        <v>13.341900000000001</v>
      </c>
      <c r="E20" s="13">
        <v>13.1747</v>
      </c>
      <c r="F20" s="178">
        <v>1992</v>
      </c>
      <c r="G20" s="178"/>
      <c r="H20" s="178"/>
      <c r="I20" s="9">
        <v>2008</v>
      </c>
      <c r="J20">
        <v>11.747222222222224</v>
      </c>
      <c r="K20">
        <v>12.99388888888889</v>
      </c>
      <c r="M20">
        <v>2008</v>
      </c>
      <c r="N20">
        <v>11.747222222222224</v>
      </c>
      <c r="O20">
        <v>12.99388888888889</v>
      </c>
    </row>
    <row r="21" spans="1:15" x14ac:dyDescent="0.3">
      <c r="A21" s="11" t="s">
        <v>62</v>
      </c>
      <c r="B21" s="11" t="s">
        <v>35</v>
      </c>
      <c r="C21" s="12">
        <v>33953</v>
      </c>
      <c r="D21" s="13">
        <v>6.2469999999999999</v>
      </c>
      <c r="E21" s="13">
        <v>6.1097000000000001</v>
      </c>
      <c r="F21" s="178">
        <v>1992</v>
      </c>
      <c r="G21" s="178"/>
      <c r="H21" s="178"/>
      <c r="I21" s="9">
        <v>2009</v>
      </c>
      <c r="J21">
        <v>11.093125000000001</v>
      </c>
      <c r="K21">
        <v>12.950000000000001</v>
      </c>
      <c r="M21">
        <v>2009</v>
      </c>
      <c r="N21">
        <v>11.093125000000001</v>
      </c>
      <c r="O21">
        <v>12.950000000000001</v>
      </c>
    </row>
    <row r="22" spans="1:15" x14ac:dyDescent="0.3">
      <c r="A22" s="15" t="s">
        <v>63</v>
      </c>
      <c r="B22" s="15" t="s">
        <v>35</v>
      </c>
      <c r="C22" s="16">
        <v>33984</v>
      </c>
      <c r="D22" s="17">
        <v>3.7097000000000002</v>
      </c>
      <c r="E22" s="17">
        <v>3.6364999999999998</v>
      </c>
      <c r="F22" s="179">
        <v>1993</v>
      </c>
      <c r="G22" s="179"/>
      <c r="H22" s="179"/>
      <c r="I22" s="9">
        <v>2010</v>
      </c>
      <c r="J22">
        <v>11.944375000000003</v>
      </c>
      <c r="K22">
        <v>13.709999999999999</v>
      </c>
      <c r="M22">
        <v>2010</v>
      </c>
      <c r="N22">
        <v>11.944375000000003</v>
      </c>
      <c r="O22">
        <v>13.709999999999999</v>
      </c>
    </row>
    <row r="23" spans="1:15" x14ac:dyDescent="0.3">
      <c r="A23" s="11" t="s">
        <v>64</v>
      </c>
      <c r="B23" s="11" t="s">
        <v>35</v>
      </c>
      <c r="C23" s="12">
        <v>34010</v>
      </c>
      <c r="D23" s="13">
        <v>1.6623000000000001</v>
      </c>
      <c r="E23" s="14"/>
      <c r="F23" s="14">
        <v>1993</v>
      </c>
      <c r="G23" s="14"/>
      <c r="H23" s="14"/>
      <c r="I23" s="9">
        <v>2011</v>
      </c>
      <c r="J23">
        <v>10.854666666666668</v>
      </c>
      <c r="K23">
        <v>13.479285714285714</v>
      </c>
      <c r="M23">
        <v>2011</v>
      </c>
      <c r="N23">
        <v>10.854666666666668</v>
      </c>
      <c r="O23">
        <v>13.479285714285714</v>
      </c>
    </row>
    <row r="24" spans="1:15" x14ac:dyDescent="0.3">
      <c r="A24" s="11" t="s">
        <v>65</v>
      </c>
      <c r="B24" s="11" t="s">
        <v>35</v>
      </c>
      <c r="C24" s="12">
        <v>34038</v>
      </c>
      <c r="D24" s="13">
        <v>1.0713999999999999</v>
      </c>
      <c r="E24" s="14"/>
      <c r="F24" s="14">
        <v>1993</v>
      </c>
      <c r="G24" s="14"/>
      <c r="H24" s="14"/>
      <c r="I24" s="9">
        <v>2012</v>
      </c>
      <c r="J24">
        <v>13.168888888888889</v>
      </c>
      <c r="K24">
        <v>14.601111111111114</v>
      </c>
      <c r="M24">
        <v>2012</v>
      </c>
      <c r="N24">
        <v>13.168888888888889</v>
      </c>
      <c r="O24">
        <v>14.601111111111114</v>
      </c>
    </row>
    <row r="25" spans="1:15" x14ac:dyDescent="0.3">
      <c r="A25" s="11" t="s">
        <v>66</v>
      </c>
      <c r="B25" s="11" t="s">
        <v>35</v>
      </c>
      <c r="C25" s="12">
        <v>34096</v>
      </c>
      <c r="D25" s="13">
        <v>7.4107000000000003</v>
      </c>
      <c r="E25" s="13">
        <v>9.9469999999999992</v>
      </c>
      <c r="F25" s="178">
        <v>1993</v>
      </c>
      <c r="G25" s="178"/>
      <c r="H25" s="178"/>
      <c r="I25" s="9">
        <v>2013</v>
      </c>
      <c r="J25">
        <v>12.481176470588235</v>
      </c>
      <c r="K25">
        <v>14.272941176470589</v>
      </c>
      <c r="M25">
        <v>2013</v>
      </c>
      <c r="N25">
        <v>12.481176470588235</v>
      </c>
      <c r="O25">
        <v>14.272941176470589</v>
      </c>
    </row>
    <row r="26" spans="1:15" x14ac:dyDescent="0.3">
      <c r="A26" s="11" t="s">
        <v>67</v>
      </c>
      <c r="B26" s="11" t="s">
        <v>35</v>
      </c>
      <c r="C26" s="12">
        <v>34122</v>
      </c>
      <c r="D26" s="13">
        <v>10.378399999999999</v>
      </c>
      <c r="E26" s="14"/>
      <c r="F26" s="14">
        <v>1993</v>
      </c>
      <c r="G26" s="14"/>
      <c r="H26" s="14"/>
      <c r="I26" s="9">
        <v>2014</v>
      </c>
      <c r="J26">
        <v>11.434117647058823</v>
      </c>
      <c r="K26">
        <v>13.401764705882353</v>
      </c>
      <c r="M26">
        <v>2014</v>
      </c>
      <c r="N26">
        <v>11.434117647058823</v>
      </c>
      <c r="O26">
        <v>13.401764705882353</v>
      </c>
    </row>
    <row r="27" spans="1:15" x14ac:dyDescent="0.3">
      <c r="A27" s="11" t="s">
        <v>68</v>
      </c>
      <c r="B27" s="11" t="s">
        <v>35</v>
      </c>
      <c r="C27" s="12">
        <v>34158</v>
      </c>
      <c r="D27" s="13">
        <v>15.966100000000001</v>
      </c>
      <c r="E27" s="13">
        <v>20.945499999999999</v>
      </c>
      <c r="F27" s="178">
        <v>1993</v>
      </c>
      <c r="G27" s="178"/>
      <c r="H27" s="178"/>
      <c r="I27" s="9">
        <v>2015</v>
      </c>
      <c r="J27">
        <v>11.537058823529412</v>
      </c>
      <c r="K27">
        <v>13.224117647058824</v>
      </c>
      <c r="M27">
        <v>2015</v>
      </c>
      <c r="N27">
        <v>11.537058823529412</v>
      </c>
      <c r="O27">
        <v>13.224117647058824</v>
      </c>
    </row>
    <row r="28" spans="1:15" x14ac:dyDescent="0.3">
      <c r="A28" s="11" t="s">
        <v>69</v>
      </c>
      <c r="B28" s="11" t="s">
        <v>35</v>
      </c>
      <c r="C28" s="12">
        <v>34184</v>
      </c>
      <c r="D28" s="13">
        <v>18.8736</v>
      </c>
      <c r="E28" s="13">
        <v>22.437200000000001</v>
      </c>
      <c r="F28" s="178">
        <v>1993</v>
      </c>
      <c r="G28" s="178"/>
      <c r="H28" s="178"/>
      <c r="I28" s="9">
        <v>2016</v>
      </c>
      <c r="J28">
        <v>12.477058823529411</v>
      </c>
      <c r="K28">
        <v>13.802352941176471</v>
      </c>
      <c r="M28">
        <v>2016</v>
      </c>
      <c r="N28">
        <v>12.477058823529411</v>
      </c>
      <c r="O28">
        <v>13.802352941176471</v>
      </c>
    </row>
    <row r="29" spans="1:15" x14ac:dyDescent="0.3">
      <c r="A29" s="11" t="s">
        <v>70</v>
      </c>
      <c r="B29" s="11" t="s">
        <v>35</v>
      </c>
      <c r="C29" s="12">
        <v>34220</v>
      </c>
      <c r="D29" s="13">
        <v>21.791799999999999</v>
      </c>
      <c r="E29" s="13">
        <v>22.6631</v>
      </c>
      <c r="F29" s="178">
        <v>1993</v>
      </c>
      <c r="G29" s="178"/>
      <c r="H29" s="178"/>
      <c r="I29" s="9">
        <v>2017</v>
      </c>
      <c r="J29">
        <v>12.25625</v>
      </c>
      <c r="K29">
        <v>13.985625000000001</v>
      </c>
      <c r="M29">
        <v>2017</v>
      </c>
      <c r="N29">
        <v>12.25625</v>
      </c>
      <c r="O29">
        <v>13.985625000000001</v>
      </c>
    </row>
    <row r="30" spans="1:15" x14ac:dyDescent="0.3">
      <c r="A30" s="11" t="s">
        <v>71</v>
      </c>
      <c r="B30" s="11" t="s">
        <v>35</v>
      </c>
      <c r="C30" s="12">
        <v>34248</v>
      </c>
      <c r="D30" s="13">
        <v>18.718800000000002</v>
      </c>
      <c r="E30" s="13">
        <v>18.540099999999999</v>
      </c>
      <c r="F30" s="178">
        <v>1993</v>
      </c>
      <c r="G30" s="178"/>
      <c r="H30" s="178"/>
      <c r="I30" s="9">
        <v>2018</v>
      </c>
      <c r="J30">
        <v>12.524374999999999</v>
      </c>
      <c r="K30">
        <v>14.790000000000003</v>
      </c>
      <c r="M30">
        <v>2018</v>
      </c>
      <c r="N30">
        <v>12.524374999999999</v>
      </c>
      <c r="O30">
        <v>14.790000000000003</v>
      </c>
    </row>
    <row r="31" spans="1:15" x14ac:dyDescent="0.3">
      <c r="A31" s="11" t="s">
        <v>72</v>
      </c>
      <c r="B31" s="11" t="s">
        <v>35</v>
      </c>
      <c r="C31" s="12">
        <v>34320</v>
      </c>
      <c r="D31" s="14"/>
      <c r="E31" s="13">
        <v>7.9249000000000001</v>
      </c>
      <c r="F31" s="178">
        <v>1993</v>
      </c>
      <c r="G31" s="178"/>
      <c r="H31" s="178"/>
      <c r="I31" s="9">
        <v>2019</v>
      </c>
      <c r="J31">
        <v>12.302352941176471</v>
      </c>
      <c r="K31">
        <v>13.906470588235294</v>
      </c>
      <c r="M31">
        <v>2019</v>
      </c>
      <c r="N31">
        <v>12.302352941176471</v>
      </c>
      <c r="O31">
        <v>13.906470588235294</v>
      </c>
    </row>
    <row r="32" spans="1:15" x14ac:dyDescent="0.3">
      <c r="A32" s="15" t="s">
        <v>73</v>
      </c>
      <c r="B32" s="15" t="s">
        <v>35</v>
      </c>
      <c r="C32" s="16">
        <v>34348</v>
      </c>
      <c r="D32" s="17">
        <v>2.0499999999999998</v>
      </c>
      <c r="E32" s="17">
        <v>1.88</v>
      </c>
      <c r="F32" s="179">
        <v>1994</v>
      </c>
      <c r="G32" s="179"/>
      <c r="H32" s="179"/>
      <c r="I32" s="9">
        <v>2020</v>
      </c>
      <c r="J32">
        <v>14.822222222222226</v>
      </c>
      <c r="K32">
        <v>16.913333333333334</v>
      </c>
      <c r="M32">
        <v>2020</v>
      </c>
      <c r="N32">
        <v>14.822222222222226</v>
      </c>
      <c r="O32">
        <v>16.913333333333334</v>
      </c>
    </row>
    <row r="33" spans="1:15" x14ac:dyDescent="0.3">
      <c r="A33" s="11" t="s">
        <v>74</v>
      </c>
      <c r="B33" s="11" t="s">
        <v>35</v>
      </c>
      <c r="C33" s="12">
        <v>34372</v>
      </c>
      <c r="D33" s="13">
        <v>-0.28000000000000003</v>
      </c>
      <c r="E33" s="13">
        <v>-0.57999999999999996</v>
      </c>
      <c r="F33" s="178">
        <v>1994</v>
      </c>
      <c r="G33" s="178"/>
      <c r="H33" s="178"/>
      <c r="I33" s="9">
        <v>2021</v>
      </c>
      <c r="J33">
        <v>14.932142857142855</v>
      </c>
      <c r="K33">
        <v>17.242142857142856</v>
      </c>
      <c r="M33">
        <v>2021</v>
      </c>
      <c r="N33">
        <v>14.932142857142855</v>
      </c>
      <c r="O33">
        <v>17.242142857142856</v>
      </c>
    </row>
    <row r="34" spans="1:15" x14ac:dyDescent="0.3">
      <c r="A34" s="11" t="s">
        <v>75</v>
      </c>
      <c r="B34" s="11" t="s">
        <v>35</v>
      </c>
      <c r="C34" s="12">
        <v>34401</v>
      </c>
      <c r="D34" s="13">
        <v>-0.67</v>
      </c>
      <c r="E34" s="13">
        <v>-0.42</v>
      </c>
      <c r="F34" s="178">
        <v>1994</v>
      </c>
      <c r="G34" s="178"/>
      <c r="H34" s="178"/>
      <c r="I34" s="9">
        <v>2022</v>
      </c>
      <c r="J34">
        <v>13.255625</v>
      </c>
      <c r="K34">
        <v>14.706875000000002</v>
      </c>
      <c r="M34">
        <v>2022</v>
      </c>
      <c r="N34">
        <v>13.255625</v>
      </c>
      <c r="O34">
        <v>14.706875000000002</v>
      </c>
    </row>
    <row r="35" spans="1:15" x14ac:dyDescent="0.3">
      <c r="A35" s="11" t="s">
        <v>76</v>
      </c>
      <c r="B35" s="11" t="s">
        <v>35</v>
      </c>
      <c r="C35" s="12">
        <v>34430</v>
      </c>
      <c r="D35" s="13">
        <v>1.76</v>
      </c>
      <c r="E35" s="13">
        <v>4.04</v>
      </c>
      <c r="F35" s="178">
        <v>1994</v>
      </c>
      <c r="G35" s="178"/>
      <c r="H35" s="178"/>
      <c r="I35" s="9">
        <v>2023</v>
      </c>
      <c r="J35">
        <v>14.102857142857143</v>
      </c>
      <c r="K35">
        <v>15.662857142857145</v>
      </c>
      <c r="M35">
        <v>2023</v>
      </c>
      <c r="N35">
        <v>14.102857142857143</v>
      </c>
      <c r="O35">
        <v>15.662857142857145</v>
      </c>
    </row>
    <row r="36" spans="1:15" x14ac:dyDescent="0.3">
      <c r="A36" s="11" t="s">
        <v>77</v>
      </c>
      <c r="B36" s="11" t="s">
        <v>35</v>
      </c>
      <c r="C36" s="12">
        <v>34458</v>
      </c>
      <c r="D36" s="13">
        <v>5.59</v>
      </c>
      <c r="E36" s="13">
        <v>8.56</v>
      </c>
      <c r="F36" s="178">
        <v>1994</v>
      </c>
      <c r="G36" s="178"/>
      <c r="H36" s="178"/>
      <c r="I36" s="9">
        <v>2024</v>
      </c>
      <c r="J36">
        <v>12.074666666666669</v>
      </c>
      <c r="K36">
        <v>14.156666666666668</v>
      </c>
      <c r="M36">
        <v>2024</v>
      </c>
      <c r="N36">
        <v>12.074666666666669</v>
      </c>
      <c r="O36">
        <v>14.156666666666668</v>
      </c>
    </row>
    <row r="37" spans="1:15" x14ac:dyDescent="0.3">
      <c r="A37" s="11" t="s">
        <v>78</v>
      </c>
      <c r="B37" s="11" t="s">
        <v>35</v>
      </c>
      <c r="C37" s="12">
        <v>34487</v>
      </c>
      <c r="D37" s="13">
        <v>10.36</v>
      </c>
      <c r="E37" s="13">
        <v>13.19</v>
      </c>
      <c r="F37" s="178">
        <v>1994</v>
      </c>
      <c r="G37" s="178"/>
      <c r="H37" s="178"/>
      <c r="I37" s="9" t="s">
        <v>516</v>
      </c>
      <c r="M37" t="s">
        <v>516</v>
      </c>
    </row>
    <row r="38" spans="1:15" x14ac:dyDescent="0.3">
      <c r="A38" s="11" t="s">
        <v>79</v>
      </c>
      <c r="B38" s="11" t="s">
        <v>35</v>
      </c>
      <c r="C38" s="12">
        <v>34507</v>
      </c>
      <c r="D38" s="14"/>
      <c r="E38" s="13">
        <v>17.93</v>
      </c>
      <c r="F38" s="178">
        <v>1994</v>
      </c>
      <c r="G38" s="178"/>
      <c r="H38" s="178"/>
      <c r="I38" s="9" t="s">
        <v>517</v>
      </c>
      <c r="J38">
        <v>12.215071572580655</v>
      </c>
      <c r="K38">
        <v>14.078099198396792</v>
      </c>
      <c r="M38" t="s">
        <v>517</v>
      </c>
      <c r="N38">
        <v>12.215071572580655</v>
      </c>
      <c r="O38">
        <v>14.078099198396792</v>
      </c>
    </row>
    <row r="39" spans="1:15" x14ac:dyDescent="0.3">
      <c r="A39" s="11" t="s">
        <v>80</v>
      </c>
      <c r="B39" s="11" t="s">
        <v>35</v>
      </c>
      <c r="C39" s="12">
        <v>34520</v>
      </c>
      <c r="D39" s="13">
        <v>14.45</v>
      </c>
      <c r="E39" s="13">
        <v>20.28</v>
      </c>
      <c r="F39" s="178">
        <v>1994</v>
      </c>
      <c r="G39" s="178"/>
      <c r="H39" s="178"/>
      <c r="I39" s="178"/>
      <c r="J39" s="178"/>
      <c r="K39" s="178"/>
    </row>
    <row r="40" spans="1:15" x14ac:dyDescent="0.3">
      <c r="A40" s="11" t="s">
        <v>81</v>
      </c>
      <c r="B40" s="11" t="s">
        <v>35</v>
      </c>
      <c r="C40" s="12">
        <v>34535</v>
      </c>
      <c r="D40" s="14"/>
      <c r="E40" s="13">
        <v>20.79</v>
      </c>
      <c r="F40" s="178">
        <v>1994</v>
      </c>
      <c r="G40" s="178"/>
      <c r="H40" s="178"/>
      <c r="I40" s="178"/>
      <c r="J40" s="178"/>
      <c r="K40" s="178"/>
    </row>
    <row r="41" spans="1:15" x14ac:dyDescent="0.3">
      <c r="A41" s="11" t="s">
        <v>82</v>
      </c>
      <c r="B41" s="11" t="s">
        <v>35</v>
      </c>
      <c r="C41" s="12">
        <v>34548</v>
      </c>
      <c r="D41" s="13">
        <v>18.23</v>
      </c>
      <c r="E41" s="13">
        <v>23.86</v>
      </c>
      <c r="F41" s="178">
        <v>1994</v>
      </c>
      <c r="G41" s="178"/>
      <c r="H41" s="178"/>
      <c r="I41" s="178"/>
      <c r="J41" s="178"/>
      <c r="K41" s="178"/>
    </row>
    <row r="42" spans="1:15" x14ac:dyDescent="0.3">
      <c r="A42" s="11" t="s">
        <v>83</v>
      </c>
      <c r="B42" s="11" t="s">
        <v>35</v>
      </c>
      <c r="C42" s="12">
        <v>34562</v>
      </c>
      <c r="D42" s="14"/>
      <c r="E42" s="13">
        <v>21.24</v>
      </c>
      <c r="F42" s="178">
        <v>1994</v>
      </c>
      <c r="G42" s="178"/>
      <c r="H42" s="178"/>
      <c r="I42" s="178"/>
      <c r="J42" s="178"/>
      <c r="K42" s="178"/>
    </row>
    <row r="43" spans="1:15" x14ac:dyDescent="0.3">
      <c r="A43" s="11" t="s">
        <v>84</v>
      </c>
      <c r="B43" s="11" t="s">
        <v>35</v>
      </c>
      <c r="C43" s="12">
        <v>34576</v>
      </c>
      <c r="D43" s="13">
        <v>21.31</v>
      </c>
      <c r="E43" s="13">
        <v>21.8</v>
      </c>
      <c r="F43" s="178">
        <v>1994</v>
      </c>
      <c r="G43" s="178"/>
      <c r="H43" s="178"/>
      <c r="I43" s="178"/>
      <c r="J43" s="178"/>
      <c r="K43" s="178"/>
    </row>
    <row r="44" spans="1:15" x14ac:dyDescent="0.3">
      <c r="A44" s="11" t="s">
        <v>85</v>
      </c>
      <c r="B44" s="11" t="s">
        <v>35</v>
      </c>
      <c r="C44" s="12">
        <v>34585</v>
      </c>
      <c r="D44" s="14"/>
      <c r="E44" s="13">
        <v>21.02</v>
      </c>
      <c r="F44" s="178">
        <v>1994</v>
      </c>
      <c r="G44" s="178"/>
      <c r="H44" s="178"/>
      <c r="I44" s="178"/>
      <c r="J44" s="178"/>
      <c r="K44" s="178"/>
    </row>
    <row r="45" spans="1:15" x14ac:dyDescent="0.3">
      <c r="A45" s="11" t="s">
        <v>86</v>
      </c>
      <c r="B45" s="11" t="s">
        <v>35</v>
      </c>
      <c r="C45" s="12">
        <v>34612</v>
      </c>
      <c r="D45" s="13">
        <v>18.73</v>
      </c>
      <c r="E45" s="13">
        <v>18.690000000000001</v>
      </c>
      <c r="F45" s="178">
        <v>1994</v>
      </c>
      <c r="G45" s="178"/>
      <c r="H45" s="178"/>
      <c r="I45" s="178"/>
      <c r="J45" s="178"/>
      <c r="K45" s="178"/>
    </row>
    <row r="46" spans="1:15" x14ac:dyDescent="0.3">
      <c r="A46" s="11" t="s">
        <v>87</v>
      </c>
      <c r="B46" s="11" t="s">
        <v>35</v>
      </c>
      <c r="C46" s="12">
        <v>34648</v>
      </c>
      <c r="D46" s="13">
        <v>14.95</v>
      </c>
      <c r="E46" s="13">
        <v>14.51</v>
      </c>
      <c r="F46" s="178">
        <v>1994</v>
      </c>
      <c r="G46" s="178"/>
      <c r="H46" s="178"/>
      <c r="I46" s="178"/>
      <c r="J46" s="178"/>
      <c r="K46" s="178"/>
    </row>
    <row r="47" spans="1:15" x14ac:dyDescent="0.3">
      <c r="A47" s="11" t="s">
        <v>88</v>
      </c>
      <c r="B47" s="11" t="s">
        <v>35</v>
      </c>
      <c r="C47" s="12">
        <v>34674</v>
      </c>
      <c r="D47" s="13">
        <v>10.25</v>
      </c>
      <c r="E47" s="13">
        <v>10.1</v>
      </c>
      <c r="F47" s="178">
        <v>1994</v>
      </c>
      <c r="G47" s="178"/>
      <c r="H47" s="178"/>
      <c r="I47" s="178"/>
      <c r="J47" s="178"/>
      <c r="K47" s="178"/>
    </row>
    <row r="48" spans="1:15" s="3" customFormat="1" x14ac:dyDescent="0.3">
      <c r="A48" s="15" t="s">
        <v>89</v>
      </c>
      <c r="B48" s="15" t="s">
        <v>35</v>
      </c>
      <c r="C48" s="16">
        <v>34708</v>
      </c>
      <c r="D48" s="17">
        <v>5.25</v>
      </c>
      <c r="E48" s="17">
        <v>4.6399999999999997</v>
      </c>
      <c r="F48" s="179">
        <v>1995</v>
      </c>
      <c r="G48" s="179"/>
      <c r="H48" s="179"/>
      <c r="I48" s="179"/>
      <c r="J48" s="179"/>
      <c r="K48" s="179"/>
    </row>
    <row r="49" spans="1:11" x14ac:dyDescent="0.3">
      <c r="A49" s="11" t="s">
        <v>90</v>
      </c>
      <c r="B49" s="11" t="s">
        <v>35</v>
      </c>
      <c r="C49" s="12">
        <v>34744</v>
      </c>
      <c r="D49" s="13">
        <v>1.39</v>
      </c>
      <c r="E49" s="13">
        <v>1.03</v>
      </c>
      <c r="F49" s="178">
        <v>1995</v>
      </c>
      <c r="G49" s="178"/>
      <c r="H49" s="178"/>
      <c r="I49" s="178"/>
      <c r="J49" s="178"/>
      <c r="K49" s="178"/>
    </row>
    <row r="50" spans="1:11" x14ac:dyDescent="0.3">
      <c r="A50" s="11" t="s">
        <v>91</v>
      </c>
      <c r="B50" s="11" t="s">
        <v>35</v>
      </c>
      <c r="C50" s="12">
        <v>34766</v>
      </c>
      <c r="D50" s="13">
        <v>1.71</v>
      </c>
      <c r="E50" s="13">
        <v>2.1</v>
      </c>
      <c r="F50" s="178">
        <v>1995</v>
      </c>
      <c r="G50" s="178"/>
      <c r="H50" s="178"/>
      <c r="I50" s="178"/>
      <c r="J50" s="178"/>
      <c r="K50" s="178"/>
    </row>
    <row r="51" spans="1:11" x14ac:dyDescent="0.3">
      <c r="A51" s="11" t="s">
        <v>92</v>
      </c>
      <c r="B51" s="11" t="s">
        <v>35</v>
      </c>
      <c r="C51" s="12">
        <v>34796</v>
      </c>
      <c r="D51" s="13">
        <v>4.5529999999999999</v>
      </c>
      <c r="E51" s="13">
        <v>6.05</v>
      </c>
      <c r="F51" s="178">
        <v>1995</v>
      </c>
      <c r="G51" s="178"/>
      <c r="H51" s="178"/>
      <c r="I51" s="178"/>
      <c r="J51" s="178"/>
      <c r="K51" s="178"/>
    </row>
    <row r="52" spans="1:11" x14ac:dyDescent="0.3">
      <c r="A52" s="11" t="s">
        <v>93</v>
      </c>
      <c r="B52" s="11" t="s">
        <v>35</v>
      </c>
      <c r="C52" s="12">
        <v>34831</v>
      </c>
      <c r="D52" s="13">
        <v>9.0399999999999991</v>
      </c>
      <c r="E52" s="13">
        <v>9.83</v>
      </c>
      <c r="F52" s="178">
        <v>1995</v>
      </c>
      <c r="G52" s="178"/>
      <c r="H52" s="178"/>
      <c r="I52" s="178"/>
      <c r="J52" s="178"/>
      <c r="K52" s="178"/>
    </row>
    <row r="53" spans="1:11" x14ac:dyDescent="0.3">
      <c r="A53" s="11" t="s">
        <v>94</v>
      </c>
      <c r="B53" s="11" t="s">
        <v>35</v>
      </c>
      <c r="C53" s="12">
        <v>34856</v>
      </c>
      <c r="D53" s="13">
        <v>10.92</v>
      </c>
      <c r="E53" s="13">
        <v>15.66</v>
      </c>
      <c r="F53" s="178">
        <v>1995</v>
      </c>
      <c r="G53" s="178"/>
      <c r="H53" s="178"/>
      <c r="I53" s="178"/>
      <c r="J53" s="178"/>
      <c r="K53" s="178"/>
    </row>
    <row r="54" spans="1:11" x14ac:dyDescent="0.3">
      <c r="A54" s="11" t="s">
        <v>95</v>
      </c>
      <c r="B54" s="11" t="s">
        <v>35</v>
      </c>
      <c r="C54" s="12">
        <v>34876</v>
      </c>
      <c r="D54" s="14"/>
      <c r="E54" s="13">
        <v>18.399999999999999</v>
      </c>
      <c r="F54" s="178">
        <v>1995</v>
      </c>
      <c r="G54" s="178"/>
      <c r="H54" s="178"/>
      <c r="I54" s="178"/>
      <c r="J54" s="178"/>
      <c r="K54" s="178"/>
    </row>
    <row r="55" spans="1:11" x14ac:dyDescent="0.3">
      <c r="A55" s="11" t="s">
        <v>96</v>
      </c>
      <c r="B55" s="11" t="s">
        <v>35</v>
      </c>
      <c r="C55" s="12">
        <v>34886</v>
      </c>
      <c r="D55" s="13">
        <v>15.27</v>
      </c>
      <c r="E55" s="13">
        <v>22.1</v>
      </c>
      <c r="F55" s="178">
        <v>1995</v>
      </c>
      <c r="G55" s="178"/>
      <c r="H55" s="178"/>
      <c r="I55" s="178"/>
      <c r="J55" s="178"/>
      <c r="K55" s="178"/>
    </row>
    <row r="56" spans="1:11" x14ac:dyDescent="0.3">
      <c r="A56" s="11" t="s">
        <v>97</v>
      </c>
      <c r="B56" s="11" t="s">
        <v>35</v>
      </c>
      <c r="C56" s="12">
        <v>34898</v>
      </c>
      <c r="D56" s="13">
        <v>17</v>
      </c>
      <c r="E56" s="13">
        <v>20.67</v>
      </c>
      <c r="F56" s="178">
        <v>1995</v>
      </c>
      <c r="G56" s="178"/>
      <c r="H56" s="178"/>
      <c r="I56" s="178"/>
      <c r="J56" s="178"/>
      <c r="K56" s="178"/>
    </row>
    <row r="57" spans="1:11" x14ac:dyDescent="0.3">
      <c r="A57" s="11" t="s">
        <v>98</v>
      </c>
      <c r="B57" s="11" t="s">
        <v>35</v>
      </c>
      <c r="C57" s="12">
        <v>34915</v>
      </c>
      <c r="D57" s="13">
        <v>19.04</v>
      </c>
      <c r="E57" s="13">
        <v>23.3</v>
      </c>
      <c r="F57" s="178">
        <v>1995</v>
      </c>
      <c r="G57" s="178"/>
      <c r="H57" s="178"/>
      <c r="I57" s="178"/>
      <c r="J57" s="178"/>
      <c r="K57" s="178"/>
    </row>
    <row r="58" spans="1:11" x14ac:dyDescent="0.3">
      <c r="A58" s="11" t="s">
        <v>99</v>
      </c>
      <c r="B58" s="11" t="s">
        <v>35</v>
      </c>
      <c r="C58" s="12">
        <v>34925</v>
      </c>
      <c r="D58" s="13">
        <v>20.61</v>
      </c>
      <c r="E58" s="13">
        <v>23.8</v>
      </c>
      <c r="F58" s="178">
        <v>1995</v>
      </c>
      <c r="G58" s="178"/>
      <c r="H58" s="178"/>
      <c r="I58" s="178"/>
      <c r="J58" s="178"/>
      <c r="K58" s="178"/>
    </row>
    <row r="59" spans="1:11" x14ac:dyDescent="0.3">
      <c r="A59" s="11" t="s">
        <v>100</v>
      </c>
      <c r="B59" s="11" t="s">
        <v>35</v>
      </c>
      <c r="C59" s="12">
        <v>34947</v>
      </c>
      <c r="D59" s="13">
        <v>22.375900000000001</v>
      </c>
      <c r="E59" s="13">
        <v>23.29</v>
      </c>
      <c r="F59" s="178">
        <v>1995</v>
      </c>
      <c r="G59" s="178"/>
      <c r="H59" s="178"/>
      <c r="I59" s="178"/>
      <c r="J59" s="178"/>
      <c r="K59" s="178"/>
    </row>
    <row r="60" spans="1:11" x14ac:dyDescent="0.3">
      <c r="A60" s="11" t="s">
        <v>101</v>
      </c>
      <c r="B60" s="11" t="s">
        <v>35</v>
      </c>
      <c r="C60" s="12">
        <v>34977</v>
      </c>
      <c r="D60" s="13">
        <v>19.71</v>
      </c>
      <c r="E60" s="13">
        <v>19.7</v>
      </c>
      <c r="F60" s="178">
        <v>1995</v>
      </c>
      <c r="G60" s="178"/>
      <c r="H60" s="178"/>
      <c r="I60" s="178"/>
      <c r="J60" s="178"/>
      <c r="K60" s="178"/>
    </row>
    <row r="61" spans="1:11" x14ac:dyDescent="0.3">
      <c r="A61" s="11" t="s">
        <v>102</v>
      </c>
      <c r="B61" s="11" t="s">
        <v>35</v>
      </c>
      <c r="C61" s="12">
        <v>35016</v>
      </c>
      <c r="D61" s="13">
        <v>13.51</v>
      </c>
      <c r="E61" s="13">
        <v>13.2</v>
      </c>
      <c r="F61" s="178">
        <v>1995</v>
      </c>
      <c r="G61" s="178"/>
      <c r="H61" s="178"/>
      <c r="I61" s="178"/>
      <c r="J61" s="178"/>
      <c r="K61" s="178"/>
    </row>
    <row r="62" spans="1:11" x14ac:dyDescent="0.3">
      <c r="A62" s="11" t="s">
        <v>103</v>
      </c>
      <c r="B62" s="11" t="s">
        <v>35</v>
      </c>
      <c r="C62" s="12">
        <v>35040</v>
      </c>
      <c r="D62" s="13">
        <v>8.8800000000000008</v>
      </c>
      <c r="E62" s="13">
        <v>8.73</v>
      </c>
      <c r="F62" s="178">
        <v>1995</v>
      </c>
      <c r="G62" s="178"/>
      <c r="H62" s="178"/>
      <c r="I62" s="178"/>
      <c r="J62" s="178"/>
      <c r="K62" s="178"/>
    </row>
    <row r="63" spans="1:11" s="3" customFormat="1" x14ac:dyDescent="0.3">
      <c r="A63" s="15" t="s">
        <v>104</v>
      </c>
      <c r="B63" s="15" t="s">
        <v>35</v>
      </c>
      <c r="C63" s="16">
        <v>35103</v>
      </c>
      <c r="D63" s="17">
        <v>0.28999999999999998</v>
      </c>
      <c r="E63" s="17">
        <v>-0.16</v>
      </c>
      <c r="F63" s="179">
        <v>1996</v>
      </c>
      <c r="G63" s="179"/>
      <c r="H63" s="179"/>
      <c r="I63" s="179"/>
      <c r="J63" s="179"/>
      <c r="K63" s="179"/>
    </row>
    <row r="64" spans="1:11" x14ac:dyDescent="0.3">
      <c r="A64" s="11" t="s">
        <v>105</v>
      </c>
      <c r="B64" s="11" t="s">
        <v>35</v>
      </c>
      <c r="C64" s="12">
        <v>35129</v>
      </c>
      <c r="D64" s="13">
        <v>0.67</v>
      </c>
      <c r="E64" s="13">
        <v>0.9</v>
      </c>
      <c r="F64" s="178">
        <v>1996</v>
      </c>
      <c r="G64" s="178"/>
      <c r="H64" s="178"/>
      <c r="I64" s="178"/>
      <c r="J64" s="178"/>
      <c r="K64" s="178"/>
    </row>
    <row r="65" spans="1:11" x14ac:dyDescent="0.3">
      <c r="A65" s="11" t="s">
        <v>106</v>
      </c>
      <c r="B65" s="11" t="s">
        <v>35</v>
      </c>
      <c r="C65" s="12">
        <v>35159</v>
      </c>
      <c r="D65" s="14"/>
      <c r="E65" s="14"/>
      <c r="F65" s="14">
        <v>1996</v>
      </c>
      <c r="G65" s="14"/>
      <c r="H65" s="14"/>
      <c r="I65" s="14"/>
      <c r="J65" s="14"/>
      <c r="K65" s="14"/>
    </row>
    <row r="66" spans="1:11" x14ac:dyDescent="0.3">
      <c r="A66" s="11" t="s">
        <v>107</v>
      </c>
      <c r="B66" s="11" t="s">
        <v>35</v>
      </c>
      <c r="C66" s="12">
        <v>35199</v>
      </c>
      <c r="D66" s="13">
        <v>8.14</v>
      </c>
      <c r="E66" s="13">
        <v>11.4</v>
      </c>
      <c r="F66" s="178">
        <v>1996</v>
      </c>
      <c r="G66" s="178"/>
      <c r="H66" s="178"/>
      <c r="I66" s="178"/>
      <c r="J66" s="178"/>
      <c r="K66" s="178"/>
    </row>
    <row r="67" spans="1:11" x14ac:dyDescent="0.3">
      <c r="A67" s="11" t="s">
        <v>108</v>
      </c>
      <c r="B67" s="11" t="s">
        <v>35</v>
      </c>
      <c r="C67" s="12">
        <v>35220</v>
      </c>
      <c r="D67" s="13">
        <v>10.59</v>
      </c>
      <c r="E67" s="13">
        <v>12.92</v>
      </c>
      <c r="F67" s="178">
        <v>1996</v>
      </c>
      <c r="G67" s="178"/>
      <c r="H67" s="178"/>
      <c r="I67" s="178"/>
      <c r="J67" s="178"/>
      <c r="K67" s="178"/>
    </row>
    <row r="68" spans="1:11" x14ac:dyDescent="0.3">
      <c r="A68" s="11" t="s">
        <v>109</v>
      </c>
      <c r="B68" s="11" t="s">
        <v>35</v>
      </c>
      <c r="C68" s="12">
        <v>35242</v>
      </c>
      <c r="D68" s="13">
        <v>12.73</v>
      </c>
      <c r="E68" s="13">
        <v>18.53</v>
      </c>
      <c r="F68" s="178">
        <v>1996</v>
      </c>
      <c r="G68" s="178"/>
      <c r="H68" s="178"/>
      <c r="I68" s="178"/>
      <c r="J68" s="178"/>
      <c r="K68" s="178"/>
    </row>
    <row r="69" spans="1:11" x14ac:dyDescent="0.3">
      <c r="A69" s="11" t="s">
        <v>110</v>
      </c>
      <c r="B69" s="11" t="s">
        <v>35</v>
      </c>
      <c r="C69" s="12">
        <v>35254</v>
      </c>
      <c r="D69" s="13">
        <v>14.94</v>
      </c>
      <c r="E69" s="13">
        <v>19.059999999999999</v>
      </c>
      <c r="F69" s="178">
        <v>1996</v>
      </c>
      <c r="G69" s="178"/>
      <c r="H69" s="178"/>
      <c r="I69" s="178"/>
      <c r="J69" s="178"/>
      <c r="K69" s="178"/>
    </row>
    <row r="70" spans="1:11" x14ac:dyDescent="0.3">
      <c r="A70" s="11" t="s">
        <v>111</v>
      </c>
      <c r="B70" s="11" t="s">
        <v>35</v>
      </c>
      <c r="C70" s="12">
        <v>35271</v>
      </c>
      <c r="D70" s="13">
        <v>17.63</v>
      </c>
      <c r="E70" s="13">
        <v>19.54</v>
      </c>
      <c r="F70" s="178">
        <v>1996</v>
      </c>
      <c r="G70" s="178"/>
      <c r="H70" s="178"/>
      <c r="I70" s="178"/>
      <c r="J70" s="178"/>
      <c r="K70" s="178"/>
    </row>
    <row r="71" spans="1:11" x14ac:dyDescent="0.3">
      <c r="A71" s="11" t="s">
        <v>112</v>
      </c>
      <c r="B71" s="11" t="s">
        <v>35</v>
      </c>
      <c r="C71" s="12">
        <v>35284</v>
      </c>
      <c r="D71" s="13">
        <v>18.82</v>
      </c>
      <c r="E71" s="13">
        <v>23.45</v>
      </c>
      <c r="F71" s="178">
        <v>1996</v>
      </c>
      <c r="G71" s="178"/>
      <c r="H71" s="178"/>
      <c r="I71" s="178"/>
      <c r="J71" s="178"/>
      <c r="K71" s="178"/>
    </row>
    <row r="72" spans="1:11" x14ac:dyDescent="0.3">
      <c r="A72" s="11" t="s">
        <v>113</v>
      </c>
      <c r="B72" s="11" t="s">
        <v>35</v>
      </c>
      <c r="C72" s="12">
        <v>35298</v>
      </c>
      <c r="D72" s="13">
        <v>19.39</v>
      </c>
      <c r="E72" s="13">
        <v>22.45</v>
      </c>
      <c r="F72" s="178">
        <v>1996</v>
      </c>
      <c r="G72" s="178"/>
      <c r="H72" s="178"/>
      <c r="I72" s="178"/>
      <c r="J72" s="178"/>
      <c r="K72" s="178"/>
    </row>
    <row r="73" spans="1:11" x14ac:dyDescent="0.3">
      <c r="A73" s="11" t="s">
        <v>114</v>
      </c>
      <c r="B73" s="11" t="s">
        <v>35</v>
      </c>
      <c r="C73" s="12">
        <v>35313</v>
      </c>
      <c r="D73" s="13">
        <v>20.77</v>
      </c>
      <c r="E73" s="13">
        <v>22.77</v>
      </c>
      <c r="F73" s="178">
        <v>1996</v>
      </c>
      <c r="G73" s="178"/>
      <c r="H73" s="178"/>
      <c r="I73" s="178"/>
      <c r="J73" s="178"/>
      <c r="K73" s="178"/>
    </row>
    <row r="74" spans="1:11" x14ac:dyDescent="0.3">
      <c r="A74" s="11" t="s">
        <v>115</v>
      </c>
      <c r="B74" s="11" t="s">
        <v>35</v>
      </c>
      <c r="C74" s="12">
        <v>35345</v>
      </c>
      <c r="D74" s="13">
        <v>18.5</v>
      </c>
      <c r="E74" s="13">
        <v>18.95</v>
      </c>
      <c r="F74" s="178">
        <v>1996</v>
      </c>
      <c r="G74" s="178"/>
      <c r="H74" s="178"/>
      <c r="I74" s="178"/>
      <c r="J74" s="178"/>
      <c r="K74" s="178"/>
    </row>
    <row r="75" spans="1:11" x14ac:dyDescent="0.3">
      <c r="A75" s="11" t="s">
        <v>116</v>
      </c>
      <c r="B75" s="11" t="s">
        <v>35</v>
      </c>
      <c r="C75" s="12">
        <v>35375</v>
      </c>
      <c r="D75" s="13">
        <v>14.16</v>
      </c>
      <c r="E75" s="13">
        <v>13.62</v>
      </c>
      <c r="F75" s="178">
        <v>1996</v>
      </c>
      <c r="G75" s="178"/>
      <c r="H75" s="178"/>
      <c r="I75" s="178"/>
      <c r="J75" s="178"/>
      <c r="K75" s="178"/>
    </row>
    <row r="76" spans="1:11" x14ac:dyDescent="0.3">
      <c r="A76" s="11" t="s">
        <v>117</v>
      </c>
      <c r="B76" s="11" t="s">
        <v>35</v>
      </c>
      <c r="C76" s="12">
        <v>35403</v>
      </c>
      <c r="D76" s="13">
        <v>9.15</v>
      </c>
      <c r="E76" s="13">
        <v>8.5500000000000007</v>
      </c>
      <c r="F76" s="178">
        <v>1996</v>
      </c>
      <c r="G76" s="178"/>
      <c r="H76" s="178"/>
      <c r="I76" s="178"/>
      <c r="J76" s="178"/>
      <c r="K76" s="178"/>
    </row>
    <row r="77" spans="1:11" s="3" customFormat="1" x14ac:dyDescent="0.3">
      <c r="A77" s="15" t="s">
        <v>118</v>
      </c>
      <c r="B77" s="15" t="s">
        <v>35</v>
      </c>
      <c r="C77" s="16">
        <v>35464</v>
      </c>
      <c r="D77" s="17">
        <v>1.97</v>
      </c>
      <c r="E77" s="17">
        <v>1.91</v>
      </c>
      <c r="F77" s="179">
        <v>1997</v>
      </c>
      <c r="G77" s="179"/>
      <c r="H77" s="179"/>
      <c r="I77" s="179"/>
      <c r="J77" s="179"/>
      <c r="K77" s="179"/>
    </row>
    <row r="78" spans="1:11" x14ac:dyDescent="0.3">
      <c r="A78" s="11" t="s">
        <v>119</v>
      </c>
      <c r="B78" s="11" t="s">
        <v>35</v>
      </c>
      <c r="C78" s="12">
        <v>35492</v>
      </c>
      <c r="D78" s="13">
        <v>2.94</v>
      </c>
      <c r="E78" s="13">
        <v>3.25</v>
      </c>
      <c r="F78" s="178">
        <v>1997</v>
      </c>
      <c r="G78" s="178"/>
      <c r="H78" s="178"/>
      <c r="I78" s="178"/>
      <c r="J78" s="178"/>
      <c r="K78" s="178"/>
    </row>
    <row r="79" spans="1:11" x14ac:dyDescent="0.3">
      <c r="A79" s="11" t="s">
        <v>120</v>
      </c>
      <c r="B79" s="11" t="s">
        <v>35</v>
      </c>
      <c r="C79" s="12">
        <v>35523</v>
      </c>
      <c r="D79" s="13">
        <v>4.62</v>
      </c>
      <c r="E79" s="13">
        <v>5.7</v>
      </c>
      <c r="F79" s="178">
        <v>1997</v>
      </c>
      <c r="G79" s="178"/>
      <c r="H79" s="178"/>
      <c r="I79" s="178"/>
      <c r="J79" s="178"/>
      <c r="K79" s="178"/>
    </row>
    <row r="80" spans="1:11" x14ac:dyDescent="0.3">
      <c r="A80" s="11" t="s">
        <v>121</v>
      </c>
      <c r="B80" s="11" t="s">
        <v>35</v>
      </c>
      <c r="C80" s="12">
        <v>35558</v>
      </c>
      <c r="D80" s="13">
        <v>8.24</v>
      </c>
      <c r="E80" s="13">
        <v>10.050000000000001</v>
      </c>
      <c r="F80" s="178">
        <v>1997</v>
      </c>
      <c r="G80" s="178"/>
      <c r="H80" s="178"/>
      <c r="I80" s="178"/>
      <c r="J80" s="178"/>
      <c r="K80" s="178"/>
    </row>
    <row r="81" spans="1:11" x14ac:dyDescent="0.3">
      <c r="A81" s="11" t="s">
        <v>122</v>
      </c>
      <c r="B81" s="11" t="s">
        <v>35</v>
      </c>
      <c r="C81" s="12">
        <v>35585</v>
      </c>
      <c r="D81" s="13">
        <v>12.55</v>
      </c>
      <c r="E81" s="13">
        <v>13.39</v>
      </c>
      <c r="F81" s="178">
        <v>1997</v>
      </c>
      <c r="G81" s="178"/>
      <c r="H81" s="178"/>
      <c r="I81" s="178"/>
      <c r="J81" s="178"/>
      <c r="K81" s="178"/>
    </row>
    <row r="82" spans="1:11" x14ac:dyDescent="0.3">
      <c r="A82" s="11" t="s">
        <v>123</v>
      </c>
      <c r="B82" s="11" t="s">
        <v>35</v>
      </c>
      <c r="C82" s="12">
        <v>35608</v>
      </c>
      <c r="D82" s="14"/>
      <c r="E82" s="13">
        <v>18.14</v>
      </c>
      <c r="F82" s="178">
        <v>1997</v>
      </c>
      <c r="G82" s="178"/>
      <c r="H82" s="178"/>
      <c r="I82" s="178"/>
      <c r="J82" s="178"/>
      <c r="K82" s="178"/>
    </row>
    <row r="83" spans="1:11" x14ac:dyDescent="0.3">
      <c r="A83" s="11" t="s">
        <v>124</v>
      </c>
      <c r="B83" s="11" t="s">
        <v>35</v>
      </c>
      <c r="C83" s="12">
        <v>35633</v>
      </c>
      <c r="D83" s="14"/>
      <c r="E83" s="13">
        <v>19.399999999999999</v>
      </c>
      <c r="F83" s="178">
        <v>1997</v>
      </c>
      <c r="G83" s="178"/>
      <c r="H83" s="178"/>
      <c r="I83" s="178"/>
      <c r="J83" s="178"/>
      <c r="K83" s="178"/>
    </row>
    <row r="84" spans="1:11" x14ac:dyDescent="0.3">
      <c r="A84" s="11" t="s">
        <v>125</v>
      </c>
      <c r="B84" s="11" t="s">
        <v>35</v>
      </c>
      <c r="C84" s="12">
        <v>35647</v>
      </c>
      <c r="D84" s="13">
        <v>18.760000000000002</v>
      </c>
      <c r="E84" s="13">
        <v>21.69</v>
      </c>
      <c r="F84" s="178">
        <v>1997</v>
      </c>
      <c r="G84" s="178"/>
      <c r="H84" s="178"/>
      <c r="I84" s="178"/>
      <c r="J84" s="178"/>
      <c r="K84" s="178"/>
    </row>
    <row r="85" spans="1:11" x14ac:dyDescent="0.3">
      <c r="A85" s="11" t="s">
        <v>126</v>
      </c>
      <c r="B85" s="11" t="s">
        <v>35</v>
      </c>
      <c r="C85" s="12">
        <v>35662</v>
      </c>
      <c r="D85" s="13">
        <v>20.16</v>
      </c>
      <c r="E85" s="13">
        <v>21.5</v>
      </c>
      <c r="F85" s="178">
        <v>1997</v>
      </c>
      <c r="G85" s="178"/>
      <c r="H85" s="178"/>
      <c r="I85" s="178"/>
      <c r="J85" s="178"/>
      <c r="K85" s="178"/>
    </row>
    <row r="86" spans="1:11" x14ac:dyDescent="0.3">
      <c r="A86" s="11" t="s">
        <v>127</v>
      </c>
      <c r="B86" s="11" t="s">
        <v>35</v>
      </c>
      <c r="C86" s="12">
        <v>35677</v>
      </c>
      <c r="D86" s="13">
        <v>20.84</v>
      </c>
      <c r="E86" s="13">
        <v>21.57</v>
      </c>
      <c r="F86" s="178">
        <v>1997</v>
      </c>
      <c r="G86" s="178"/>
      <c r="H86" s="178"/>
      <c r="I86" s="178"/>
      <c r="J86" s="178"/>
      <c r="K86" s="178"/>
    </row>
    <row r="87" spans="1:11" x14ac:dyDescent="0.3">
      <c r="A87" s="11" t="s">
        <v>128</v>
      </c>
      <c r="B87" s="11" t="s">
        <v>35</v>
      </c>
      <c r="C87" s="12">
        <v>35711</v>
      </c>
      <c r="D87" s="13">
        <v>19.07</v>
      </c>
      <c r="E87" s="13">
        <v>19.079999999999998</v>
      </c>
      <c r="F87" s="178">
        <v>1997</v>
      </c>
      <c r="G87" s="178"/>
      <c r="H87" s="178"/>
      <c r="I87" s="178"/>
      <c r="J87" s="178"/>
      <c r="K87" s="178"/>
    </row>
    <row r="88" spans="1:11" x14ac:dyDescent="0.3">
      <c r="A88" s="11" t="s">
        <v>129</v>
      </c>
      <c r="B88" s="11" t="s">
        <v>35</v>
      </c>
      <c r="C88" s="12">
        <v>35737</v>
      </c>
      <c r="D88" s="13">
        <v>14.56</v>
      </c>
      <c r="E88" s="13">
        <v>14.51</v>
      </c>
      <c r="F88" s="178">
        <v>1997</v>
      </c>
      <c r="G88" s="178"/>
      <c r="H88" s="178"/>
      <c r="I88" s="178"/>
      <c r="J88" s="178"/>
      <c r="K88" s="178"/>
    </row>
    <row r="89" spans="1:11" x14ac:dyDescent="0.3">
      <c r="A89" s="11" t="s">
        <v>130</v>
      </c>
      <c r="B89" s="11" t="s">
        <v>35</v>
      </c>
      <c r="C89" s="12">
        <v>35772</v>
      </c>
      <c r="D89" s="13">
        <v>7.92</v>
      </c>
      <c r="E89" s="13">
        <v>7.92</v>
      </c>
      <c r="F89" s="178">
        <v>1997</v>
      </c>
      <c r="G89" s="178"/>
      <c r="H89" s="178"/>
      <c r="I89" s="178"/>
      <c r="J89" s="178"/>
      <c r="K89" s="178"/>
    </row>
    <row r="90" spans="1:11" s="3" customFormat="1" x14ac:dyDescent="0.3">
      <c r="A90" s="15" t="s">
        <v>131</v>
      </c>
      <c r="B90" s="15" t="s">
        <v>35</v>
      </c>
      <c r="C90" s="16">
        <v>35809</v>
      </c>
      <c r="D90" s="17">
        <v>4.93</v>
      </c>
      <c r="E90" s="17">
        <v>4.7699999999999996</v>
      </c>
      <c r="F90" s="179">
        <v>1998</v>
      </c>
      <c r="G90" s="179"/>
      <c r="H90" s="179"/>
      <c r="I90" s="179"/>
      <c r="J90" s="179"/>
      <c r="K90" s="179"/>
    </row>
    <row r="91" spans="1:11" x14ac:dyDescent="0.3">
      <c r="A91" s="11" t="s">
        <v>132</v>
      </c>
      <c r="B91" s="11" t="s">
        <v>35</v>
      </c>
      <c r="C91" s="12">
        <v>35828</v>
      </c>
      <c r="D91" s="14"/>
      <c r="E91" s="14"/>
      <c r="F91" s="14">
        <v>1998</v>
      </c>
      <c r="G91" s="14"/>
      <c r="H91" s="14"/>
      <c r="I91" s="14"/>
      <c r="J91" s="14"/>
      <c r="K91" s="14"/>
    </row>
    <row r="92" spans="1:11" x14ac:dyDescent="0.3">
      <c r="A92" s="11" t="s">
        <v>133</v>
      </c>
      <c r="B92" s="11" t="s">
        <v>35</v>
      </c>
      <c r="C92" s="12">
        <v>35845</v>
      </c>
      <c r="D92" s="13">
        <v>3.39</v>
      </c>
      <c r="E92" s="13">
        <v>3.41</v>
      </c>
      <c r="F92" s="178">
        <v>1998</v>
      </c>
      <c r="G92" s="178"/>
      <c r="H92" s="178"/>
      <c r="I92" s="178"/>
      <c r="J92" s="178"/>
      <c r="K92" s="178"/>
    </row>
    <row r="93" spans="1:11" x14ac:dyDescent="0.3">
      <c r="A93" s="11" t="s">
        <v>134</v>
      </c>
      <c r="B93" s="11" t="s">
        <v>35</v>
      </c>
      <c r="C93" s="12">
        <v>35857</v>
      </c>
      <c r="D93" s="13">
        <v>4.2</v>
      </c>
      <c r="E93" s="13">
        <v>4.26</v>
      </c>
      <c r="F93" s="178">
        <v>1998</v>
      </c>
      <c r="G93" s="178"/>
      <c r="H93" s="178"/>
      <c r="I93" s="178"/>
      <c r="J93" s="178"/>
      <c r="K93" s="178"/>
    </row>
    <row r="94" spans="1:11" x14ac:dyDescent="0.3">
      <c r="A94" s="11" t="s">
        <v>135</v>
      </c>
      <c r="B94" s="11" t="s">
        <v>35</v>
      </c>
      <c r="C94" s="12">
        <v>35878</v>
      </c>
      <c r="D94" s="14"/>
      <c r="E94" s="13">
        <v>4.2300000000000004</v>
      </c>
      <c r="F94" s="178">
        <v>1998</v>
      </c>
      <c r="G94" s="178"/>
      <c r="H94" s="178"/>
      <c r="I94" s="178"/>
      <c r="J94" s="178"/>
      <c r="K94" s="178"/>
    </row>
    <row r="95" spans="1:11" x14ac:dyDescent="0.3">
      <c r="A95" s="11" t="s">
        <v>136</v>
      </c>
      <c r="B95" s="11" t="s">
        <v>35</v>
      </c>
      <c r="C95" s="12">
        <v>35905</v>
      </c>
      <c r="D95" s="13">
        <v>6.83</v>
      </c>
      <c r="E95" s="13">
        <v>8.6999999999999993</v>
      </c>
      <c r="F95" s="178">
        <v>1998</v>
      </c>
      <c r="G95" s="178"/>
      <c r="H95" s="178"/>
      <c r="I95" s="178"/>
      <c r="J95" s="178"/>
      <c r="K95" s="178"/>
    </row>
    <row r="96" spans="1:11" x14ac:dyDescent="0.3">
      <c r="A96" s="11" t="s">
        <v>137</v>
      </c>
      <c r="B96" s="11" t="s">
        <v>35</v>
      </c>
      <c r="C96" s="12">
        <v>35928</v>
      </c>
      <c r="D96" s="14"/>
      <c r="E96" s="14"/>
      <c r="F96" s="14">
        <v>1998</v>
      </c>
      <c r="G96" s="14"/>
      <c r="H96" s="14"/>
      <c r="I96" s="14"/>
      <c r="J96" s="14"/>
      <c r="K96" s="14"/>
    </row>
    <row r="97" spans="1:11" x14ac:dyDescent="0.3">
      <c r="A97" s="11" t="s">
        <v>138</v>
      </c>
      <c r="B97" s="11" t="s">
        <v>35</v>
      </c>
      <c r="C97" s="12">
        <v>35948</v>
      </c>
      <c r="D97" s="13">
        <v>11.72</v>
      </c>
      <c r="E97" s="13">
        <v>16.88</v>
      </c>
      <c r="F97" s="178">
        <v>1998</v>
      </c>
      <c r="G97" s="178"/>
      <c r="H97" s="178"/>
      <c r="I97" s="178"/>
      <c r="J97" s="178"/>
      <c r="K97" s="178"/>
    </row>
    <row r="98" spans="1:11" x14ac:dyDescent="0.3">
      <c r="A98" s="11" t="s">
        <v>139</v>
      </c>
      <c r="B98" s="11" t="s">
        <v>35</v>
      </c>
      <c r="C98" s="12">
        <v>35971</v>
      </c>
      <c r="D98" s="13">
        <v>14.86</v>
      </c>
      <c r="E98" s="13">
        <v>19.71</v>
      </c>
      <c r="F98" s="178">
        <v>1998</v>
      </c>
      <c r="G98" s="178"/>
      <c r="H98" s="178"/>
      <c r="I98" s="178"/>
      <c r="J98" s="178"/>
      <c r="K98" s="178"/>
    </row>
    <row r="99" spans="1:11" x14ac:dyDescent="0.3">
      <c r="A99" s="11" t="s">
        <v>140</v>
      </c>
      <c r="B99" s="11" t="s">
        <v>35</v>
      </c>
      <c r="C99" s="12">
        <v>35984</v>
      </c>
      <c r="D99" s="13">
        <v>16.04</v>
      </c>
      <c r="E99" s="13">
        <v>20.09</v>
      </c>
      <c r="F99" s="178">
        <v>1998</v>
      </c>
      <c r="G99" s="178"/>
      <c r="H99" s="178"/>
      <c r="I99" s="178"/>
      <c r="J99" s="178"/>
      <c r="K99" s="178"/>
    </row>
    <row r="100" spans="1:11" x14ac:dyDescent="0.3">
      <c r="A100" s="11" t="s">
        <v>141</v>
      </c>
      <c r="B100" s="11" t="s">
        <v>35</v>
      </c>
      <c r="C100" s="12">
        <v>35998</v>
      </c>
      <c r="D100" s="13">
        <v>17.57</v>
      </c>
      <c r="E100" s="13">
        <v>20.63</v>
      </c>
      <c r="F100" s="178">
        <v>1998</v>
      </c>
      <c r="G100" s="178"/>
      <c r="H100" s="178"/>
      <c r="I100" s="178"/>
      <c r="J100" s="178"/>
      <c r="K100" s="178"/>
    </row>
    <row r="101" spans="1:11" x14ac:dyDescent="0.3">
      <c r="A101" s="11" t="s">
        <v>142</v>
      </c>
      <c r="B101" s="11" t="s">
        <v>35</v>
      </c>
      <c r="C101" s="12">
        <v>36010</v>
      </c>
      <c r="D101" s="13">
        <v>18.97</v>
      </c>
      <c r="E101" s="13">
        <v>21.7</v>
      </c>
      <c r="F101" s="178">
        <v>1998</v>
      </c>
      <c r="G101" s="178"/>
      <c r="H101" s="178"/>
      <c r="I101" s="178"/>
      <c r="J101" s="178"/>
      <c r="K101" s="178"/>
    </row>
    <row r="102" spans="1:11" x14ac:dyDescent="0.3">
      <c r="A102" s="11" t="s">
        <v>143</v>
      </c>
      <c r="B102" s="11" t="s">
        <v>35</v>
      </c>
      <c r="C102" s="12">
        <v>36024</v>
      </c>
      <c r="D102" s="13">
        <v>20.32</v>
      </c>
      <c r="E102" s="13">
        <v>23.17</v>
      </c>
      <c r="F102" s="178">
        <v>1998</v>
      </c>
      <c r="G102" s="178"/>
      <c r="H102" s="178"/>
      <c r="I102" s="178"/>
      <c r="J102" s="178"/>
      <c r="K102" s="178"/>
    </row>
    <row r="103" spans="1:11" x14ac:dyDescent="0.3">
      <c r="A103" s="11" t="s">
        <v>144</v>
      </c>
      <c r="B103" s="11" t="s">
        <v>35</v>
      </c>
      <c r="C103" s="12">
        <v>36040</v>
      </c>
      <c r="D103" s="13">
        <v>21.24</v>
      </c>
      <c r="E103" s="13">
        <v>23.11</v>
      </c>
      <c r="F103" s="178">
        <v>1998</v>
      </c>
      <c r="G103" s="178"/>
      <c r="H103" s="178"/>
      <c r="I103" s="178"/>
      <c r="J103" s="178"/>
      <c r="K103" s="178"/>
    </row>
    <row r="104" spans="1:11" x14ac:dyDescent="0.3">
      <c r="A104" s="11" t="s">
        <v>145</v>
      </c>
      <c r="B104" s="11" t="s">
        <v>35</v>
      </c>
      <c r="C104" s="12">
        <v>36054</v>
      </c>
      <c r="D104" s="14"/>
      <c r="E104" s="13">
        <v>22.38</v>
      </c>
      <c r="F104" s="178">
        <v>1998</v>
      </c>
      <c r="G104" s="178"/>
      <c r="H104" s="178"/>
      <c r="I104" s="178"/>
      <c r="J104" s="178"/>
      <c r="K104" s="178"/>
    </row>
    <row r="105" spans="1:11" x14ac:dyDescent="0.3">
      <c r="A105" s="11" t="s">
        <v>146</v>
      </c>
      <c r="B105" s="11" t="s">
        <v>35</v>
      </c>
      <c r="C105" s="12">
        <v>36074</v>
      </c>
      <c r="D105" s="13">
        <v>19.8</v>
      </c>
      <c r="E105" s="13">
        <v>19.71</v>
      </c>
      <c r="F105" s="178">
        <v>1998</v>
      </c>
      <c r="G105" s="178"/>
      <c r="H105" s="178"/>
      <c r="I105" s="178"/>
      <c r="J105" s="178"/>
      <c r="K105" s="178"/>
    </row>
    <row r="106" spans="1:11" x14ac:dyDescent="0.3">
      <c r="A106" s="11" t="s">
        <v>147</v>
      </c>
      <c r="B106" s="11" t="s">
        <v>35</v>
      </c>
      <c r="C106" s="12">
        <v>36104</v>
      </c>
      <c r="D106" s="13">
        <v>14.71</v>
      </c>
      <c r="E106" s="13">
        <v>14.53</v>
      </c>
      <c r="F106" s="178">
        <v>1998</v>
      </c>
      <c r="G106" s="178"/>
      <c r="H106" s="178"/>
      <c r="I106" s="178"/>
      <c r="J106" s="178"/>
      <c r="K106" s="178"/>
    </row>
    <row r="107" spans="1:11" x14ac:dyDescent="0.3">
      <c r="A107" s="11" t="s">
        <v>148</v>
      </c>
      <c r="B107" s="11" t="s">
        <v>35</v>
      </c>
      <c r="C107" s="12">
        <v>36131</v>
      </c>
      <c r="D107" s="13">
        <v>10.89</v>
      </c>
      <c r="E107" s="13">
        <v>10.86</v>
      </c>
      <c r="F107" s="178">
        <v>1998</v>
      </c>
      <c r="G107" s="178"/>
      <c r="H107" s="178"/>
      <c r="I107" s="178"/>
      <c r="J107" s="178"/>
      <c r="K107" s="178"/>
    </row>
    <row r="108" spans="1:11" s="3" customFormat="1" x14ac:dyDescent="0.3">
      <c r="A108" s="15" t="s">
        <v>149</v>
      </c>
      <c r="B108" s="15" t="s">
        <v>35</v>
      </c>
      <c r="C108" s="16">
        <v>36171</v>
      </c>
      <c r="D108" s="17">
        <v>4.3499999999999996</v>
      </c>
      <c r="E108" s="17">
        <v>4.13</v>
      </c>
      <c r="F108" s="179">
        <v>1999</v>
      </c>
      <c r="G108" s="179"/>
      <c r="H108" s="179"/>
      <c r="I108" s="179"/>
      <c r="J108" s="179"/>
      <c r="K108" s="179"/>
    </row>
    <row r="109" spans="1:11" x14ac:dyDescent="0.3">
      <c r="A109" s="11" t="s">
        <v>150</v>
      </c>
      <c r="B109" s="11" t="s">
        <v>35</v>
      </c>
      <c r="C109" s="12">
        <v>36195</v>
      </c>
      <c r="D109" s="13">
        <v>3.17</v>
      </c>
      <c r="E109" s="13">
        <v>3.17</v>
      </c>
      <c r="F109" s="178">
        <v>1999</v>
      </c>
      <c r="G109" s="178"/>
      <c r="H109" s="178"/>
      <c r="I109" s="178"/>
      <c r="J109" s="178"/>
      <c r="K109" s="178"/>
    </row>
    <row r="110" spans="1:11" x14ac:dyDescent="0.3">
      <c r="A110" s="11" t="s">
        <v>151</v>
      </c>
      <c r="B110" s="11" t="s">
        <v>35</v>
      </c>
      <c r="C110" s="12">
        <v>36207</v>
      </c>
      <c r="D110" s="13">
        <v>3.16</v>
      </c>
      <c r="E110" s="13">
        <v>3.36</v>
      </c>
      <c r="F110" s="178">
        <v>1999</v>
      </c>
      <c r="G110" s="178"/>
      <c r="H110" s="178"/>
      <c r="I110" s="178"/>
      <c r="J110" s="178"/>
      <c r="K110" s="178"/>
    </row>
    <row r="111" spans="1:11" x14ac:dyDescent="0.3">
      <c r="A111" s="11" t="s">
        <v>152</v>
      </c>
      <c r="B111" s="11" t="s">
        <v>35</v>
      </c>
      <c r="C111" s="12">
        <v>36228</v>
      </c>
      <c r="D111" s="13">
        <v>2.67</v>
      </c>
      <c r="E111" s="13">
        <v>2.71</v>
      </c>
      <c r="F111" s="178">
        <v>1999</v>
      </c>
      <c r="G111" s="178"/>
      <c r="H111" s="178"/>
      <c r="I111" s="178"/>
      <c r="J111" s="178"/>
      <c r="K111" s="178"/>
    </row>
    <row r="112" spans="1:11" x14ac:dyDescent="0.3">
      <c r="A112" s="11" t="s">
        <v>153</v>
      </c>
      <c r="B112" s="11" t="s">
        <v>35</v>
      </c>
      <c r="C112" s="12">
        <v>36244</v>
      </c>
      <c r="D112" s="13">
        <v>3.45</v>
      </c>
      <c r="E112" s="13">
        <v>4.16</v>
      </c>
      <c r="F112" s="178">
        <v>1999</v>
      </c>
      <c r="G112" s="178"/>
      <c r="H112" s="178"/>
      <c r="I112" s="178"/>
      <c r="J112" s="178"/>
      <c r="K112" s="178"/>
    </row>
    <row r="113" spans="1:11" x14ac:dyDescent="0.3">
      <c r="A113" s="11" t="s">
        <v>154</v>
      </c>
      <c r="B113" s="11" t="s">
        <v>35</v>
      </c>
      <c r="C113" s="12">
        <v>36257</v>
      </c>
      <c r="D113" s="13">
        <v>4.34</v>
      </c>
      <c r="E113" s="13">
        <v>6.72</v>
      </c>
      <c r="F113" s="178">
        <v>1999</v>
      </c>
      <c r="G113" s="178"/>
      <c r="H113" s="178"/>
      <c r="I113" s="178"/>
      <c r="J113" s="178"/>
      <c r="K113" s="178"/>
    </row>
    <row r="114" spans="1:11" x14ac:dyDescent="0.3">
      <c r="A114" s="11" t="s">
        <v>155</v>
      </c>
      <c r="B114" s="11" t="s">
        <v>35</v>
      </c>
      <c r="C114" s="12">
        <v>36286</v>
      </c>
      <c r="D114" s="13">
        <v>8.6300000000000008</v>
      </c>
      <c r="E114" s="13">
        <v>10.199999999999999</v>
      </c>
      <c r="F114" s="178">
        <v>1999</v>
      </c>
      <c r="G114" s="178"/>
      <c r="H114" s="178"/>
      <c r="I114" s="178"/>
      <c r="J114" s="178"/>
      <c r="K114" s="178"/>
    </row>
    <row r="115" spans="1:11" x14ac:dyDescent="0.3">
      <c r="A115" s="11" t="s">
        <v>156</v>
      </c>
      <c r="B115" s="11" t="s">
        <v>35</v>
      </c>
      <c r="C115" s="12">
        <v>36312</v>
      </c>
      <c r="D115" s="13">
        <v>11.39</v>
      </c>
      <c r="E115" s="13">
        <v>16.34</v>
      </c>
      <c r="F115" s="178">
        <v>1999</v>
      </c>
      <c r="G115" s="178"/>
      <c r="H115" s="178"/>
      <c r="I115" s="178"/>
      <c r="J115" s="178"/>
      <c r="K115" s="178"/>
    </row>
    <row r="116" spans="1:11" x14ac:dyDescent="0.3">
      <c r="A116" s="11" t="s">
        <v>157</v>
      </c>
      <c r="B116" s="11" t="s">
        <v>35</v>
      </c>
      <c r="C116" s="12">
        <v>36335</v>
      </c>
      <c r="D116" s="13">
        <v>14.17</v>
      </c>
      <c r="E116" s="13">
        <v>19.46</v>
      </c>
      <c r="F116" s="178">
        <v>1999</v>
      </c>
      <c r="G116" s="178"/>
      <c r="H116" s="178"/>
      <c r="I116" s="178"/>
      <c r="J116" s="178"/>
      <c r="K116" s="178"/>
    </row>
    <row r="117" spans="1:11" x14ac:dyDescent="0.3">
      <c r="A117" s="11" t="s">
        <v>158</v>
      </c>
      <c r="B117" s="11" t="s">
        <v>35</v>
      </c>
      <c r="C117" s="12">
        <v>36348</v>
      </c>
      <c r="D117" s="13">
        <v>17.09</v>
      </c>
      <c r="E117" s="13">
        <v>21.02</v>
      </c>
      <c r="F117" s="178">
        <v>1999</v>
      </c>
      <c r="G117" s="178"/>
      <c r="H117" s="178"/>
      <c r="I117" s="178"/>
      <c r="J117" s="178"/>
      <c r="K117" s="178"/>
    </row>
    <row r="118" spans="1:11" x14ac:dyDescent="0.3">
      <c r="A118" s="11" t="s">
        <v>159</v>
      </c>
      <c r="B118" s="11" t="s">
        <v>35</v>
      </c>
      <c r="C118" s="12">
        <v>36362</v>
      </c>
      <c r="D118" s="13">
        <v>18.829999999999998</v>
      </c>
      <c r="E118" s="13">
        <v>21.59</v>
      </c>
      <c r="F118" s="178">
        <v>1999</v>
      </c>
      <c r="G118" s="178"/>
      <c r="H118" s="178"/>
      <c r="I118" s="178"/>
      <c r="J118" s="178"/>
      <c r="K118" s="178"/>
    </row>
    <row r="119" spans="1:11" x14ac:dyDescent="0.3">
      <c r="A119" s="11" t="s">
        <v>160</v>
      </c>
      <c r="B119" s="11" t="s">
        <v>35</v>
      </c>
      <c r="C119" s="12">
        <v>36376</v>
      </c>
      <c r="D119" s="13">
        <v>20.239999999999998</v>
      </c>
      <c r="E119" s="13">
        <v>23.33</v>
      </c>
      <c r="F119" s="178">
        <v>1999</v>
      </c>
      <c r="G119" s="178"/>
      <c r="H119" s="178"/>
      <c r="I119" s="178"/>
      <c r="J119" s="178"/>
      <c r="K119" s="178"/>
    </row>
    <row r="120" spans="1:11" x14ac:dyDescent="0.3">
      <c r="A120" s="11" t="s">
        <v>161</v>
      </c>
      <c r="B120" s="11" t="s">
        <v>35</v>
      </c>
      <c r="C120" s="12">
        <v>36390</v>
      </c>
      <c r="D120" s="13">
        <v>21.39</v>
      </c>
      <c r="E120" s="13">
        <v>23.13</v>
      </c>
      <c r="F120" s="178">
        <v>1999</v>
      </c>
      <c r="G120" s="178"/>
      <c r="H120" s="178"/>
      <c r="I120" s="178"/>
      <c r="J120" s="178"/>
      <c r="K120" s="178"/>
    </row>
    <row r="121" spans="1:11" x14ac:dyDescent="0.3">
      <c r="A121" s="11" t="s">
        <v>162</v>
      </c>
      <c r="B121" s="11" t="s">
        <v>35</v>
      </c>
      <c r="C121" s="12">
        <v>36404</v>
      </c>
      <c r="D121" s="13">
        <v>22.22</v>
      </c>
      <c r="E121" s="13">
        <v>22.24</v>
      </c>
      <c r="F121" s="178">
        <v>1999</v>
      </c>
      <c r="G121" s="178"/>
      <c r="H121" s="178"/>
      <c r="I121" s="178"/>
      <c r="J121" s="178"/>
      <c r="K121" s="178"/>
    </row>
    <row r="122" spans="1:11" x14ac:dyDescent="0.3">
      <c r="A122" s="11" t="s">
        <v>163</v>
      </c>
      <c r="B122" s="11" t="s">
        <v>35</v>
      </c>
      <c r="C122" s="12">
        <v>36431</v>
      </c>
      <c r="D122" s="13">
        <v>20.74</v>
      </c>
      <c r="E122" s="13">
        <v>20.58</v>
      </c>
      <c r="F122" s="178">
        <v>1999</v>
      </c>
      <c r="G122" s="178"/>
      <c r="H122" s="178"/>
      <c r="I122" s="178"/>
      <c r="J122" s="178"/>
      <c r="K122" s="178"/>
    </row>
    <row r="123" spans="1:11" x14ac:dyDescent="0.3">
      <c r="A123" s="11" t="s">
        <v>164</v>
      </c>
      <c r="B123" s="11" t="s">
        <v>35</v>
      </c>
      <c r="C123" s="12">
        <v>36469</v>
      </c>
      <c r="D123" s="13">
        <v>15.15</v>
      </c>
      <c r="E123" s="13">
        <v>15.1</v>
      </c>
      <c r="F123" s="178">
        <v>1999</v>
      </c>
      <c r="G123" s="178"/>
      <c r="H123" s="178"/>
      <c r="I123" s="178"/>
      <c r="J123" s="178"/>
      <c r="K123" s="178"/>
    </row>
    <row r="124" spans="1:11" x14ac:dyDescent="0.3">
      <c r="A124" s="11" t="s">
        <v>165</v>
      </c>
      <c r="B124" s="11" t="s">
        <v>35</v>
      </c>
      <c r="C124" s="12">
        <v>36503</v>
      </c>
      <c r="D124" s="13">
        <v>9.99</v>
      </c>
      <c r="E124" s="13">
        <v>9.92</v>
      </c>
      <c r="F124" s="178">
        <v>1999</v>
      </c>
      <c r="G124" s="178"/>
      <c r="H124" s="178"/>
      <c r="I124" s="178"/>
      <c r="J124" s="178"/>
      <c r="K124" s="178"/>
    </row>
    <row r="125" spans="1:11" s="3" customFormat="1" x14ac:dyDescent="0.3">
      <c r="A125" s="15" t="s">
        <v>166</v>
      </c>
      <c r="B125" s="15" t="s">
        <v>35</v>
      </c>
      <c r="C125" s="16">
        <v>36531</v>
      </c>
      <c r="D125" s="17">
        <v>6.14</v>
      </c>
      <c r="E125" s="17">
        <v>5.73</v>
      </c>
      <c r="F125" s="179">
        <v>2000</v>
      </c>
      <c r="G125" s="179"/>
      <c r="H125" s="179"/>
      <c r="I125" s="179"/>
      <c r="J125" s="179"/>
      <c r="K125" s="179"/>
    </row>
    <row r="126" spans="1:11" x14ac:dyDescent="0.3">
      <c r="A126" s="11" t="s">
        <v>167</v>
      </c>
      <c r="B126" s="11" t="s">
        <v>35</v>
      </c>
      <c r="C126" s="12">
        <v>36563</v>
      </c>
      <c r="D126" s="13">
        <v>0.78</v>
      </c>
      <c r="E126" s="13">
        <v>0.52</v>
      </c>
      <c r="F126" s="178">
        <v>2000</v>
      </c>
      <c r="G126" s="178"/>
      <c r="H126" s="178"/>
      <c r="I126" s="178"/>
      <c r="J126" s="178"/>
      <c r="K126" s="178"/>
    </row>
    <row r="127" spans="1:11" x14ac:dyDescent="0.3">
      <c r="A127" s="11" t="s">
        <v>168</v>
      </c>
      <c r="B127" s="11" t="s">
        <v>35</v>
      </c>
      <c r="C127" s="12">
        <v>36572</v>
      </c>
      <c r="D127" s="13">
        <v>1</v>
      </c>
      <c r="E127" s="13">
        <v>1.02</v>
      </c>
      <c r="F127" s="178">
        <v>2000</v>
      </c>
      <c r="G127" s="178"/>
      <c r="H127" s="178"/>
      <c r="I127" s="178"/>
      <c r="J127" s="178"/>
      <c r="K127" s="178"/>
    </row>
    <row r="128" spans="1:11" x14ac:dyDescent="0.3">
      <c r="A128" s="11" t="s">
        <v>169</v>
      </c>
      <c r="B128" s="11" t="s">
        <v>35</v>
      </c>
      <c r="C128" s="12">
        <v>36591</v>
      </c>
      <c r="D128" s="13">
        <v>2.11</v>
      </c>
      <c r="E128" s="13">
        <v>2.9</v>
      </c>
      <c r="F128" s="178">
        <v>2000</v>
      </c>
      <c r="G128" s="178"/>
      <c r="H128" s="178"/>
      <c r="I128" s="178"/>
      <c r="J128" s="178"/>
      <c r="K128" s="178"/>
    </row>
    <row r="129" spans="1:11" x14ac:dyDescent="0.3">
      <c r="A129" s="11" t="s">
        <v>170</v>
      </c>
      <c r="B129" s="11" t="s">
        <v>35</v>
      </c>
      <c r="C129" s="12">
        <v>36600</v>
      </c>
      <c r="D129" s="13">
        <v>3.18</v>
      </c>
      <c r="E129" s="13">
        <v>3.86</v>
      </c>
      <c r="F129" s="178">
        <v>2000</v>
      </c>
      <c r="G129" s="178"/>
      <c r="H129" s="178"/>
      <c r="I129" s="178"/>
      <c r="J129" s="178"/>
      <c r="K129" s="178"/>
    </row>
    <row r="130" spans="1:11" x14ac:dyDescent="0.3">
      <c r="A130" s="11" t="s">
        <v>171</v>
      </c>
      <c r="B130" s="11" t="s">
        <v>35</v>
      </c>
      <c r="C130" s="12">
        <v>36626</v>
      </c>
      <c r="D130" s="13">
        <v>5.83</v>
      </c>
      <c r="E130" s="13">
        <v>6.34</v>
      </c>
      <c r="F130" s="178">
        <v>2000</v>
      </c>
      <c r="G130" s="178"/>
      <c r="H130" s="178"/>
      <c r="I130" s="178"/>
      <c r="J130" s="178"/>
      <c r="K130" s="178"/>
    </row>
    <row r="131" spans="1:11" x14ac:dyDescent="0.3">
      <c r="A131" s="11" t="s">
        <v>172</v>
      </c>
      <c r="B131" s="11" t="s">
        <v>35</v>
      </c>
      <c r="C131" s="12">
        <v>36649</v>
      </c>
      <c r="D131" s="13">
        <v>7.76</v>
      </c>
      <c r="E131" s="13">
        <v>9.9499999999999993</v>
      </c>
      <c r="F131" s="178">
        <v>2000</v>
      </c>
      <c r="G131" s="178"/>
      <c r="H131" s="178"/>
      <c r="I131" s="178"/>
      <c r="J131" s="178"/>
      <c r="K131" s="178"/>
    </row>
    <row r="132" spans="1:11" x14ac:dyDescent="0.3">
      <c r="A132" s="11" t="s">
        <v>173</v>
      </c>
      <c r="B132" s="11" t="s">
        <v>35</v>
      </c>
      <c r="C132" s="12">
        <v>36682</v>
      </c>
      <c r="D132" s="13">
        <v>12.22</v>
      </c>
      <c r="E132" s="13">
        <v>15.23</v>
      </c>
      <c r="F132" s="178">
        <v>2000</v>
      </c>
      <c r="G132" s="178"/>
      <c r="H132" s="178"/>
      <c r="I132" s="178"/>
      <c r="J132" s="178"/>
      <c r="K132" s="178"/>
    </row>
    <row r="133" spans="1:11" x14ac:dyDescent="0.3">
      <c r="A133" s="11" t="s">
        <v>174</v>
      </c>
      <c r="B133" s="11" t="s">
        <v>35</v>
      </c>
      <c r="C133" s="12">
        <v>36703</v>
      </c>
      <c r="D133" s="13">
        <v>13.93</v>
      </c>
      <c r="E133" s="13">
        <v>21.48</v>
      </c>
      <c r="F133" s="178">
        <v>2000</v>
      </c>
      <c r="G133" s="178"/>
      <c r="H133" s="178"/>
      <c r="I133" s="178"/>
      <c r="J133" s="178"/>
      <c r="K133" s="178"/>
    </row>
    <row r="134" spans="1:11" x14ac:dyDescent="0.3">
      <c r="A134" s="11" t="s">
        <v>175</v>
      </c>
      <c r="B134" s="11" t="s">
        <v>35</v>
      </c>
      <c r="C134" s="12">
        <v>36717</v>
      </c>
      <c r="D134" s="13">
        <v>16.2</v>
      </c>
      <c r="E134" s="13">
        <v>18.95</v>
      </c>
      <c r="F134" s="178">
        <v>2000</v>
      </c>
      <c r="G134" s="178"/>
      <c r="H134" s="178"/>
      <c r="I134" s="178"/>
      <c r="J134" s="178"/>
      <c r="K134" s="178"/>
    </row>
    <row r="135" spans="1:11" x14ac:dyDescent="0.3">
      <c r="A135" s="11" t="s">
        <v>176</v>
      </c>
      <c r="B135" s="11" t="s">
        <v>35</v>
      </c>
      <c r="C135" s="12">
        <v>36726</v>
      </c>
      <c r="D135" s="13">
        <v>17.809999999999999</v>
      </c>
      <c r="E135" s="13">
        <v>21.08</v>
      </c>
      <c r="F135" s="178">
        <v>2000</v>
      </c>
      <c r="G135" s="178"/>
      <c r="H135" s="178"/>
      <c r="I135" s="178"/>
      <c r="J135" s="178"/>
      <c r="K135" s="178"/>
    </row>
    <row r="136" spans="1:11" x14ac:dyDescent="0.3">
      <c r="A136" s="11" t="s">
        <v>177</v>
      </c>
      <c r="B136" s="11" t="s">
        <v>35</v>
      </c>
      <c r="C136" s="12">
        <v>36745</v>
      </c>
      <c r="D136" s="13">
        <v>19.54</v>
      </c>
      <c r="E136" s="13">
        <v>21.82</v>
      </c>
      <c r="F136" s="178">
        <v>2000</v>
      </c>
      <c r="G136" s="178"/>
      <c r="H136" s="178"/>
      <c r="I136" s="178"/>
      <c r="J136" s="178"/>
      <c r="K136" s="178"/>
    </row>
    <row r="137" spans="1:11" x14ac:dyDescent="0.3">
      <c r="A137" s="11" t="s">
        <v>178</v>
      </c>
      <c r="B137" s="11" t="s">
        <v>35</v>
      </c>
      <c r="C137" s="12">
        <v>36754</v>
      </c>
      <c r="D137" s="13">
        <v>20.61</v>
      </c>
      <c r="E137" s="13">
        <v>21.87</v>
      </c>
      <c r="F137" s="178">
        <v>2000</v>
      </c>
      <c r="G137" s="178"/>
      <c r="H137" s="178"/>
      <c r="I137" s="178"/>
      <c r="J137" s="178"/>
      <c r="K137" s="178"/>
    </row>
    <row r="138" spans="1:11" x14ac:dyDescent="0.3">
      <c r="A138" s="11" t="s">
        <v>179</v>
      </c>
      <c r="B138" s="11" t="s">
        <v>35</v>
      </c>
      <c r="C138" s="12">
        <v>36769</v>
      </c>
      <c r="D138" s="13">
        <v>21.91</v>
      </c>
      <c r="E138" s="13">
        <v>21.95</v>
      </c>
      <c r="F138" s="178">
        <v>2000</v>
      </c>
      <c r="G138" s="178"/>
      <c r="H138" s="178"/>
      <c r="I138" s="178"/>
      <c r="J138" s="178"/>
      <c r="K138" s="178"/>
    </row>
    <row r="139" spans="1:11" x14ac:dyDescent="0.3">
      <c r="A139" s="11" t="s">
        <v>180</v>
      </c>
      <c r="B139" s="11" t="s">
        <v>35</v>
      </c>
      <c r="C139" s="12">
        <v>36802</v>
      </c>
      <c r="D139" s="13">
        <v>19.510000000000002</v>
      </c>
      <c r="E139" s="13">
        <v>19.420000000000002</v>
      </c>
      <c r="F139" s="178">
        <v>2000</v>
      </c>
      <c r="G139" s="178"/>
      <c r="H139" s="178"/>
      <c r="I139" s="178"/>
      <c r="J139" s="178"/>
      <c r="K139" s="178"/>
    </row>
    <row r="140" spans="1:11" x14ac:dyDescent="0.3">
      <c r="A140" s="11" t="s">
        <v>181</v>
      </c>
      <c r="B140" s="11" t="s">
        <v>35</v>
      </c>
      <c r="C140" s="12">
        <v>36839</v>
      </c>
      <c r="D140" s="13">
        <v>13.83</v>
      </c>
      <c r="E140" s="13">
        <v>13.71</v>
      </c>
      <c r="F140" s="178">
        <v>2000</v>
      </c>
      <c r="G140" s="178"/>
      <c r="H140" s="178"/>
      <c r="I140" s="178"/>
      <c r="J140" s="178"/>
      <c r="K140" s="178"/>
    </row>
    <row r="141" spans="1:11" x14ac:dyDescent="0.3">
      <c r="A141" s="11" t="s">
        <v>182</v>
      </c>
      <c r="B141" s="11" t="s">
        <v>35</v>
      </c>
      <c r="C141" s="12">
        <v>36864</v>
      </c>
      <c r="D141" s="13">
        <v>8.7799999999999994</v>
      </c>
      <c r="E141" s="13">
        <v>8.64</v>
      </c>
      <c r="F141" s="178">
        <v>2000</v>
      </c>
      <c r="G141" s="178"/>
      <c r="H141" s="178"/>
      <c r="I141" s="178"/>
      <c r="J141" s="178"/>
      <c r="K141" s="178"/>
    </row>
    <row r="142" spans="1:11" s="3" customFormat="1" x14ac:dyDescent="0.3">
      <c r="A142" s="15" t="s">
        <v>183</v>
      </c>
      <c r="B142" s="15" t="s">
        <v>35</v>
      </c>
      <c r="C142" s="16">
        <v>36908</v>
      </c>
      <c r="D142" s="17">
        <v>2.12</v>
      </c>
      <c r="E142" s="17">
        <v>2.15</v>
      </c>
      <c r="F142" s="179">
        <v>2001</v>
      </c>
      <c r="G142" s="179"/>
      <c r="H142" s="179"/>
      <c r="I142" s="179"/>
      <c r="J142" s="179"/>
      <c r="K142" s="179"/>
    </row>
    <row r="143" spans="1:11" x14ac:dyDescent="0.3">
      <c r="A143" s="11" t="s">
        <v>184</v>
      </c>
      <c r="B143" s="11" t="s">
        <v>35</v>
      </c>
      <c r="C143" s="12">
        <v>36929</v>
      </c>
      <c r="D143" s="13">
        <v>1.7</v>
      </c>
      <c r="E143" s="13">
        <v>1.75</v>
      </c>
      <c r="F143" s="178">
        <v>2001</v>
      </c>
      <c r="G143" s="178"/>
      <c r="H143" s="178"/>
      <c r="I143" s="178"/>
      <c r="J143" s="178"/>
      <c r="K143" s="178"/>
    </row>
    <row r="144" spans="1:11" x14ac:dyDescent="0.3">
      <c r="A144" s="11" t="s">
        <v>185</v>
      </c>
      <c r="B144" s="11" t="s">
        <v>35</v>
      </c>
      <c r="C144" s="12">
        <v>36942</v>
      </c>
      <c r="D144" s="14"/>
      <c r="E144" s="14"/>
      <c r="F144" s="14">
        <v>2001</v>
      </c>
      <c r="G144" s="14"/>
      <c r="H144" s="14"/>
      <c r="I144" s="14"/>
      <c r="J144" s="14"/>
      <c r="K144" s="14"/>
    </row>
    <row r="145" spans="1:11" x14ac:dyDescent="0.3">
      <c r="A145" s="11" t="s">
        <v>186</v>
      </c>
      <c r="B145" s="11" t="s">
        <v>35</v>
      </c>
      <c r="C145" s="12">
        <v>36958</v>
      </c>
      <c r="D145" s="13">
        <v>1.67</v>
      </c>
      <c r="E145" s="13">
        <v>1.7</v>
      </c>
      <c r="F145" s="178">
        <v>2001</v>
      </c>
      <c r="G145" s="178"/>
      <c r="H145" s="178"/>
      <c r="I145" s="178"/>
      <c r="J145" s="178"/>
      <c r="K145" s="178"/>
    </row>
    <row r="146" spans="1:11" x14ac:dyDescent="0.3">
      <c r="A146" s="11" t="s">
        <v>187</v>
      </c>
      <c r="B146" s="11" t="s">
        <v>35</v>
      </c>
      <c r="C146" s="12">
        <v>36985</v>
      </c>
      <c r="D146" s="13">
        <v>3.65</v>
      </c>
      <c r="E146" s="13">
        <v>4.22</v>
      </c>
      <c r="F146" s="178">
        <v>2001</v>
      </c>
      <c r="G146" s="178"/>
      <c r="H146" s="178"/>
      <c r="I146" s="178"/>
      <c r="J146" s="178"/>
      <c r="K146" s="178"/>
    </row>
    <row r="147" spans="1:11" x14ac:dyDescent="0.3">
      <c r="A147" s="11" t="s">
        <v>188</v>
      </c>
      <c r="B147" s="11" t="s">
        <v>35</v>
      </c>
      <c r="C147" s="12">
        <v>37012</v>
      </c>
      <c r="D147" s="14"/>
      <c r="E147" s="14"/>
      <c r="F147" s="14">
        <v>2001</v>
      </c>
      <c r="G147" s="14"/>
      <c r="H147" s="14"/>
      <c r="I147" s="14"/>
      <c r="J147" s="14"/>
      <c r="K147" s="14"/>
    </row>
    <row r="148" spans="1:11" x14ac:dyDescent="0.3">
      <c r="A148" s="11" t="s">
        <v>189</v>
      </c>
      <c r="B148" s="11" t="s">
        <v>35</v>
      </c>
      <c r="C148" s="12">
        <v>37048</v>
      </c>
      <c r="D148" s="13">
        <v>11.53</v>
      </c>
      <c r="E148" s="13">
        <v>14.45</v>
      </c>
      <c r="F148" s="178">
        <v>2001</v>
      </c>
      <c r="G148" s="178"/>
      <c r="H148" s="178"/>
      <c r="I148" s="178"/>
      <c r="J148" s="178"/>
      <c r="K148" s="178"/>
    </row>
    <row r="149" spans="1:11" x14ac:dyDescent="0.3">
      <c r="A149" s="11" t="s">
        <v>190</v>
      </c>
      <c r="B149" s="11" t="s">
        <v>35</v>
      </c>
      <c r="C149" s="12">
        <v>37063</v>
      </c>
      <c r="D149" s="13">
        <v>13.78</v>
      </c>
      <c r="E149" s="13">
        <v>18.93</v>
      </c>
      <c r="F149" s="178">
        <v>2001</v>
      </c>
      <c r="G149" s="178"/>
      <c r="H149" s="178"/>
      <c r="I149" s="178"/>
      <c r="J149" s="178"/>
      <c r="K149" s="178"/>
    </row>
    <row r="150" spans="1:11" x14ac:dyDescent="0.3">
      <c r="A150" s="11" t="s">
        <v>191</v>
      </c>
      <c r="B150" s="11" t="s">
        <v>35</v>
      </c>
      <c r="C150" s="12">
        <v>37082</v>
      </c>
      <c r="D150" s="13">
        <v>15.87</v>
      </c>
      <c r="E150" s="13">
        <v>19.05</v>
      </c>
      <c r="F150" s="178">
        <v>2001</v>
      </c>
      <c r="G150" s="178"/>
      <c r="H150" s="178"/>
      <c r="I150" s="178"/>
      <c r="J150" s="178"/>
      <c r="K150" s="178"/>
    </row>
    <row r="151" spans="1:11" x14ac:dyDescent="0.3">
      <c r="A151" s="11" t="s">
        <v>192</v>
      </c>
      <c r="B151" s="11" t="s">
        <v>35</v>
      </c>
      <c r="C151" s="12">
        <v>37097</v>
      </c>
      <c r="D151" s="13">
        <v>18.47</v>
      </c>
      <c r="E151" s="13">
        <v>21.57</v>
      </c>
      <c r="F151" s="178">
        <v>2001</v>
      </c>
      <c r="G151" s="178"/>
      <c r="H151" s="178"/>
      <c r="I151" s="178"/>
      <c r="J151" s="178"/>
      <c r="K151" s="178"/>
    </row>
    <row r="152" spans="1:11" x14ac:dyDescent="0.3">
      <c r="A152" s="11" t="s">
        <v>193</v>
      </c>
      <c r="B152" s="11" t="s">
        <v>35</v>
      </c>
      <c r="C152" s="12">
        <v>37110</v>
      </c>
      <c r="D152" s="13">
        <v>19.68</v>
      </c>
      <c r="E152" s="13">
        <v>23.03</v>
      </c>
      <c r="F152" s="178">
        <v>2001</v>
      </c>
      <c r="G152" s="178"/>
      <c r="H152" s="178"/>
      <c r="I152" s="178"/>
      <c r="J152" s="178"/>
      <c r="K152" s="178"/>
    </row>
    <row r="153" spans="1:11" x14ac:dyDescent="0.3">
      <c r="A153" s="11" t="s">
        <v>194</v>
      </c>
      <c r="B153" s="11" t="s">
        <v>35</v>
      </c>
      <c r="C153" s="12">
        <v>37124</v>
      </c>
      <c r="D153" s="13">
        <v>21.02</v>
      </c>
      <c r="E153" s="13">
        <v>22.79</v>
      </c>
      <c r="F153" s="178">
        <v>2001</v>
      </c>
      <c r="G153" s="178"/>
      <c r="H153" s="178"/>
      <c r="I153" s="178"/>
      <c r="J153" s="178"/>
      <c r="K153" s="178"/>
    </row>
    <row r="154" spans="1:11" x14ac:dyDescent="0.3">
      <c r="A154" s="11" t="s">
        <v>195</v>
      </c>
      <c r="B154" s="11" t="s">
        <v>35</v>
      </c>
      <c r="C154" s="12">
        <v>37133</v>
      </c>
      <c r="D154" s="14"/>
      <c r="E154" s="13">
        <v>23.27</v>
      </c>
      <c r="F154" s="178">
        <v>2001</v>
      </c>
      <c r="G154" s="178"/>
      <c r="H154" s="178"/>
      <c r="I154" s="178"/>
      <c r="J154" s="178"/>
      <c r="K154" s="178"/>
    </row>
    <row r="155" spans="1:11" x14ac:dyDescent="0.3">
      <c r="A155" s="11" t="s">
        <v>196</v>
      </c>
      <c r="B155" s="11" t="s">
        <v>35</v>
      </c>
      <c r="C155" s="12">
        <v>37138</v>
      </c>
      <c r="D155" s="13">
        <v>21.63</v>
      </c>
      <c r="E155" s="13">
        <v>22.31</v>
      </c>
      <c r="F155" s="178">
        <v>2001</v>
      </c>
      <c r="G155" s="178"/>
      <c r="H155" s="178"/>
      <c r="I155" s="178"/>
      <c r="J155" s="178"/>
      <c r="K155" s="178"/>
    </row>
    <row r="156" spans="1:11" x14ac:dyDescent="0.3">
      <c r="A156" s="11" t="s">
        <v>197</v>
      </c>
      <c r="B156" s="11" t="s">
        <v>35</v>
      </c>
      <c r="C156" s="12">
        <v>37158</v>
      </c>
      <c r="D156" s="14"/>
      <c r="E156" s="13">
        <v>22.13</v>
      </c>
      <c r="F156" s="178">
        <v>2001</v>
      </c>
      <c r="G156" s="178"/>
      <c r="H156" s="178"/>
      <c r="I156" s="178"/>
      <c r="J156" s="178"/>
      <c r="K156" s="178"/>
    </row>
    <row r="157" spans="1:11" x14ac:dyDescent="0.3">
      <c r="A157" s="11" t="s">
        <v>198</v>
      </c>
      <c r="B157" s="11" t="s">
        <v>35</v>
      </c>
      <c r="C157" s="12">
        <v>37168</v>
      </c>
      <c r="D157" s="13">
        <v>19.12</v>
      </c>
      <c r="E157" s="13">
        <v>19.72</v>
      </c>
      <c r="F157" s="178">
        <v>2001</v>
      </c>
      <c r="G157" s="178"/>
      <c r="H157" s="178"/>
      <c r="I157" s="178"/>
      <c r="J157" s="178"/>
      <c r="K157" s="178"/>
    </row>
    <row r="158" spans="1:11" x14ac:dyDescent="0.3">
      <c r="A158" s="11" t="s">
        <v>199</v>
      </c>
      <c r="B158" s="11" t="s">
        <v>35</v>
      </c>
      <c r="C158" s="12">
        <v>37208</v>
      </c>
      <c r="D158" s="13">
        <v>13.66</v>
      </c>
      <c r="E158" s="13">
        <v>13.61</v>
      </c>
      <c r="F158" s="178">
        <v>2001</v>
      </c>
      <c r="G158" s="178"/>
      <c r="H158" s="178"/>
      <c r="I158" s="178"/>
      <c r="J158" s="178"/>
      <c r="K158" s="178"/>
    </row>
    <row r="159" spans="1:11" x14ac:dyDescent="0.3">
      <c r="A159" s="11" t="s">
        <v>200</v>
      </c>
      <c r="B159" s="11" t="s">
        <v>35</v>
      </c>
      <c r="C159" s="12">
        <v>37230</v>
      </c>
      <c r="D159" s="13">
        <v>11.93</v>
      </c>
      <c r="E159" s="13">
        <v>11.9</v>
      </c>
      <c r="F159" s="178">
        <v>2001</v>
      </c>
      <c r="G159" s="178"/>
      <c r="H159" s="178"/>
      <c r="I159" s="178"/>
      <c r="J159" s="178"/>
      <c r="K159" s="178"/>
    </row>
    <row r="160" spans="1:11" s="3" customFormat="1" x14ac:dyDescent="0.3">
      <c r="A160" s="15" t="s">
        <v>201</v>
      </c>
      <c r="B160" s="15" t="s">
        <v>35</v>
      </c>
      <c r="C160" s="16">
        <v>37271</v>
      </c>
      <c r="D160" s="17">
        <v>5.56</v>
      </c>
      <c r="E160" s="17">
        <v>5.15</v>
      </c>
      <c r="F160" s="179">
        <v>2002</v>
      </c>
      <c r="G160" s="179"/>
      <c r="H160" s="179"/>
      <c r="I160" s="179"/>
      <c r="J160" s="179"/>
      <c r="K160" s="179"/>
    </row>
    <row r="161" spans="1:11" x14ac:dyDescent="0.3">
      <c r="A161" s="11" t="s">
        <v>202</v>
      </c>
      <c r="B161" s="11" t="s">
        <v>35</v>
      </c>
      <c r="C161" s="12">
        <v>37293</v>
      </c>
      <c r="D161" s="13">
        <v>4.45</v>
      </c>
      <c r="E161" s="13">
        <v>4.5199999999999996</v>
      </c>
      <c r="F161" s="178">
        <v>2002</v>
      </c>
      <c r="G161" s="178"/>
      <c r="H161" s="178"/>
      <c r="I161" s="178"/>
      <c r="J161" s="178"/>
      <c r="K161" s="178"/>
    </row>
    <row r="162" spans="1:11" x14ac:dyDescent="0.3">
      <c r="A162" s="11" t="s">
        <v>203</v>
      </c>
      <c r="B162" s="11" t="s">
        <v>35</v>
      </c>
      <c r="C162" s="12">
        <v>37306</v>
      </c>
      <c r="D162" s="13">
        <v>4.05</v>
      </c>
      <c r="E162" s="13">
        <v>4.12</v>
      </c>
      <c r="F162" s="178">
        <v>2002</v>
      </c>
      <c r="G162" s="178"/>
      <c r="H162" s="178"/>
      <c r="I162" s="178"/>
      <c r="J162" s="178"/>
      <c r="K162" s="178"/>
    </row>
    <row r="163" spans="1:11" x14ac:dyDescent="0.3">
      <c r="A163" s="11" t="s">
        <v>204</v>
      </c>
      <c r="B163" s="11" t="s">
        <v>35</v>
      </c>
      <c r="C163" s="12">
        <v>37319</v>
      </c>
      <c r="D163" s="13">
        <v>4.67</v>
      </c>
      <c r="E163" s="13">
        <v>4.8600000000000003</v>
      </c>
      <c r="F163" s="178">
        <v>2002</v>
      </c>
      <c r="G163" s="178"/>
      <c r="H163" s="178"/>
      <c r="I163" s="178"/>
      <c r="J163" s="178"/>
      <c r="K163" s="178"/>
    </row>
    <row r="164" spans="1:11" x14ac:dyDescent="0.3">
      <c r="A164" s="11" t="s">
        <v>205</v>
      </c>
      <c r="B164" s="11" t="s">
        <v>35</v>
      </c>
      <c r="C164" s="12">
        <v>37336</v>
      </c>
      <c r="D164" s="13">
        <v>5.15</v>
      </c>
      <c r="E164" s="13">
        <v>5.14</v>
      </c>
      <c r="F164" s="178">
        <v>2002</v>
      </c>
      <c r="G164" s="178"/>
      <c r="H164" s="178"/>
      <c r="I164" s="178"/>
      <c r="J164" s="178"/>
      <c r="K164" s="178"/>
    </row>
    <row r="165" spans="1:11" x14ac:dyDescent="0.3">
      <c r="A165" s="11" t="s">
        <v>206</v>
      </c>
      <c r="B165" s="11" t="s">
        <v>35</v>
      </c>
      <c r="C165" s="12">
        <v>37350</v>
      </c>
      <c r="D165" s="13">
        <v>5.59</v>
      </c>
      <c r="E165" s="13">
        <v>6.95</v>
      </c>
      <c r="F165" s="178">
        <v>2002</v>
      </c>
      <c r="G165" s="178"/>
      <c r="H165" s="178"/>
      <c r="I165" s="178"/>
      <c r="J165" s="178"/>
      <c r="K165" s="178"/>
    </row>
    <row r="166" spans="1:11" x14ac:dyDescent="0.3">
      <c r="A166" s="11" t="s">
        <v>207</v>
      </c>
      <c r="B166" s="11" t="s">
        <v>35</v>
      </c>
      <c r="C166" s="12">
        <v>37383</v>
      </c>
      <c r="D166" s="13">
        <v>9.41</v>
      </c>
      <c r="E166" s="13">
        <v>12.19</v>
      </c>
      <c r="F166" s="178">
        <v>2002</v>
      </c>
      <c r="G166" s="178"/>
      <c r="H166" s="178"/>
      <c r="I166" s="178"/>
      <c r="J166" s="178"/>
      <c r="K166" s="178"/>
    </row>
    <row r="167" spans="1:11" x14ac:dyDescent="0.3">
      <c r="A167" s="11" t="s">
        <v>208</v>
      </c>
      <c r="B167" s="11" t="s">
        <v>35</v>
      </c>
      <c r="C167" s="12">
        <v>37413</v>
      </c>
      <c r="D167" s="13">
        <v>12.46</v>
      </c>
      <c r="E167" s="13">
        <v>17.21</v>
      </c>
      <c r="F167" s="178">
        <v>2002</v>
      </c>
      <c r="G167" s="178"/>
      <c r="H167" s="178"/>
      <c r="I167" s="178"/>
      <c r="J167" s="178"/>
      <c r="K167" s="178"/>
    </row>
    <row r="168" spans="1:11" x14ac:dyDescent="0.3">
      <c r="A168" s="11" t="s">
        <v>209</v>
      </c>
      <c r="B168" s="11" t="s">
        <v>35</v>
      </c>
      <c r="C168" s="12">
        <v>37433</v>
      </c>
      <c r="D168" s="13">
        <v>15.06</v>
      </c>
      <c r="E168" s="13">
        <v>19.760000000000002</v>
      </c>
      <c r="F168" s="178">
        <v>2002</v>
      </c>
      <c r="G168" s="178"/>
      <c r="H168" s="178"/>
      <c r="I168" s="178"/>
      <c r="J168" s="178"/>
      <c r="K168" s="178"/>
    </row>
    <row r="169" spans="1:11" x14ac:dyDescent="0.3">
      <c r="A169" s="11" t="s">
        <v>210</v>
      </c>
      <c r="B169" s="11" t="s">
        <v>35</v>
      </c>
      <c r="C169" s="12">
        <v>37446</v>
      </c>
      <c r="D169" s="13">
        <v>16.28</v>
      </c>
      <c r="E169" s="13">
        <v>21.2</v>
      </c>
      <c r="F169" s="178">
        <v>2002</v>
      </c>
      <c r="G169" s="178"/>
      <c r="H169" s="178"/>
      <c r="I169" s="178"/>
      <c r="J169" s="178"/>
      <c r="K169" s="178"/>
    </row>
    <row r="170" spans="1:11" x14ac:dyDescent="0.3">
      <c r="A170" s="11" t="s">
        <v>211</v>
      </c>
      <c r="B170" s="11" t="s">
        <v>35</v>
      </c>
      <c r="C170" s="12">
        <v>37459</v>
      </c>
      <c r="D170" s="13">
        <v>18.53</v>
      </c>
      <c r="E170" s="13">
        <v>23.37</v>
      </c>
      <c r="F170" s="178">
        <v>2002</v>
      </c>
      <c r="G170" s="178"/>
      <c r="H170" s="178"/>
      <c r="I170" s="178"/>
      <c r="J170" s="178"/>
      <c r="K170" s="178"/>
    </row>
    <row r="171" spans="1:11" x14ac:dyDescent="0.3">
      <c r="A171" s="11" t="s">
        <v>212</v>
      </c>
      <c r="B171" s="11" t="s">
        <v>35</v>
      </c>
      <c r="C171" s="12">
        <v>37475</v>
      </c>
      <c r="D171" s="13">
        <v>20</v>
      </c>
      <c r="E171" s="13">
        <v>22.76</v>
      </c>
      <c r="F171" s="178">
        <v>2002</v>
      </c>
      <c r="G171" s="178"/>
      <c r="H171" s="178"/>
      <c r="I171" s="178"/>
      <c r="J171" s="178"/>
      <c r="K171" s="178"/>
    </row>
    <row r="172" spans="1:11" x14ac:dyDescent="0.3">
      <c r="A172" s="11" t="s">
        <v>213</v>
      </c>
      <c r="B172" s="11" t="s">
        <v>35</v>
      </c>
      <c r="C172" s="12">
        <v>37490</v>
      </c>
      <c r="D172" s="13">
        <v>21.84</v>
      </c>
      <c r="E172" s="13">
        <v>23.4</v>
      </c>
      <c r="F172" s="178">
        <v>2002</v>
      </c>
      <c r="G172" s="178"/>
      <c r="H172" s="178"/>
      <c r="I172" s="178"/>
      <c r="J172" s="178"/>
      <c r="K172" s="178"/>
    </row>
    <row r="173" spans="1:11" x14ac:dyDescent="0.3">
      <c r="A173" s="11" t="s">
        <v>214</v>
      </c>
      <c r="B173" s="11" t="s">
        <v>35</v>
      </c>
      <c r="C173" s="12">
        <v>37509</v>
      </c>
      <c r="D173" s="13">
        <v>21.67</v>
      </c>
      <c r="E173" s="13">
        <v>22.24</v>
      </c>
      <c r="F173" s="178">
        <v>2002</v>
      </c>
      <c r="G173" s="178"/>
      <c r="H173" s="178"/>
      <c r="I173" s="178"/>
      <c r="J173" s="178"/>
      <c r="K173" s="178"/>
    </row>
    <row r="174" spans="1:11" x14ac:dyDescent="0.3">
      <c r="A174" s="11" t="s">
        <v>215</v>
      </c>
      <c r="B174" s="11" t="s">
        <v>35</v>
      </c>
      <c r="C174" s="12">
        <v>37538</v>
      </c>
      <c r="D174" s="13">
        <v>20.38</v>
      </c>
      <c r="E174" s="13">
        <v>20.47</v>
      </c>
      <c r="F174" s="178">
        <v>2002</v>
      </c>
      <c r="G174" s="178"/>
      <c r="H174" s="178"/>
      <c r="I174" s="178"/>
      <c r="J174" s="178"/>
      <c r="K174" s="178"/>
    </row>
    <row r="175" spans="1:11" x14ac:dyDescent="0.3">
      <c r="A175" s="11" t="s">
        <v>216</v>
      </c>
      <c r="B175" s="11" t="s">
        <v>35</v>
      </c>
      <c r="C175" s="12">
        <v>37573</v>
      </c>
      <c r="D175" s="13">
        <v>13.18</v>
      </c>
      <c r="E175" s="13">
        <v>12.69</v>
      </c>
      <c r="F175" s="178">
        <v>2002</v>
      </c>
      <c r="G175" s="178"/>
      <c r="H175" s="178"/>
      <c r="I175" s="178"/>
      <c r="J175" s="178"/>
      <c r="K175" s="178"/>
    </row>
    <row r="176" spans="1:11" x14ac:dyDescent="0.3">
      <c r="A176" s="11" t="s">
        <v>217</v>
      </c>
      <c r="B176" s="11" t="s">
        <v>35</v>
      </c>
      <c r="C176" s="12">
        <v>37600</v>
      </c>
      <c r="D176" s="13">
        <v>7.06</v>
      </c>
      <c r="E176" s="13">
        <v>6.73</v>
      </c>
      <c r="F176" s="178">
        <v>2002</v>
      </c>
      <c r="G176" s="178"/>
      <c r="H176" s="178"/>
      <c r="I176" s="178"/>
      <c r="J176" s="178"/>
      <c r="K176" s="178"/>
    </row>
    <row r="177" spans="1:11" s="3" customFormat="1" ht="14.4" customHeight="1" x14ac:dyDescent="0.3">
      <c r="A177" s="15" t="s">
        <v>218</v>
      </c>
      <c r="B177" s="15" t="s">
        <v>35</v>
      </c>
      <c r="C177" s="16">
        <v>37658</v>
      </c>
      <c r="D177" s="17">
        <v>0.44</v>
      </c>
      <c r="E177" s="17">
        <v>0.43</v>
      </c>
      <c r="F177" s="179">
        <v>2003</v>
      </c>
      <c r="G177" s="179"/>
      <c r="H177" s="179"/>
      <c r="I177" s="179"/>
      <c r="J177" s="179"/>
      <c r="K177" s="179"/>
    </row>
    <row r="178" spans="1:11" x14ac:dyDescent="0.3">
      <c r="A178" s="11" t="s">
        <v>219</v>
      </c>
      <c r="B178" s="11" t="s">
        <v>35</v>
      </c>
      <c r="C178" s="12">
        <v>37691</v>
      </c>
      <c r="D178" s="13">
        <v>-0.28000000000000003</v>
      </c>
      <c r="E178" s="13">
        <v>-0.2</v>
      </c>
      <c r="F178" s="178">
        <v>2003</v>
      </c>
      <c r="G178" s="178"/>
      <c r="H178" s="178"/>
      <c r="I178" s="178"/>
      <c r="J178" s="178"/>
      <c r="K178" s="178"/>
    </row>
    <row r="179" spans="1:11" x14ac:dyDescent="0.3">
      <c r="A179" s="11" t="s">
        <v>220</v>
      </c>
      <c r="B179" s="11" t="s">
        <v>35</v>
      </c>
      <c r="C179" s="12">
        <v>37698</v>
      </c>
      <c r="D179" s="13">
        <v>0.16</v>
      </c>
      <c r="E179" s="13">
        <v>0.91</v>
      </c>
      <c r="F179" s="178">
        <v>2003</v>
      </c>
      <c r="G179" s="178"/>
      <c r="H179" s="178"/>
      <c r="I179" s="178"/>
      <c r="J179" s="178"/>
      <c r="K179" s="178"/>
    </row>
    <row r="180" spans="1:11" x14ac:dyDescent="0.3">
      <c r="A180" s="11" t="s">
        <v>221</v>
      </c>
      <c r="B180" s="11" t="s">
        <v>35</v>
      </c>
      <c r="C180" s="12">
        <v>37712</v>
      </c>
      <c r="D180" s="13">
        <v>1.54</v>
      </c>
      <c r="E180" s="13">
        <v>3.89</v>
      </c>
      <c r="F180" s="178">
        <v>2003</v>
      </c>
      <c r="G180" s="178"/>
      <c r="H180" s="178"/>
      <c r="I180" s="178"/>
      <c r="J180" s="178"/>
      <c r="K180" s="178"/>
    </row>
    <row r="181" spans="1:11" x14ac:dyDescent="0.3">
      <c r="A181" s="11" t="s">
        <v>222</v>
      </c>
      <c r="B181" s="11" t="s">
        <v>35</v>
      </c>
      <c r="C181" s="12">
        <v>37747</v>
      </c>
      <c r="D181" s="13">
        <v>6.08</v>
      </c>
      <c r="E181" s="13">
        <v>8.99</v>
      </c>
      <c r="F181" s="178">
        <v>2003</v>
      </c>
      <c r="G181" s="178"/>
      <c r="H181" s="178"/>
      <c r="I181" s="178"/>
      <c r="J181" s="178"/>
      <c r="K181" s="178"/>
    </row>
    <row r="182" spans="1:11" x14ac:dyDescent="0.3">
      <c r="A182" s="11" t="s">
        <v>223</v>
      </c>
      <c r="B182" s="11" t="s">
        <v>35</v>
      </c>
      <c r="C182" s="12">
        <v>37777</v>
      </c>
      <c r="D182" s="13">
        <v>10.01</v>
      </c>
      <c r="E182" s="13">
        <v>13.15</v>
      </c>
      <c r="F182" s="178">
        <v>2003</v>
      </c>
      <c r="G182" s="178"/>
      <c r="H182" s="178"/>
      <c r="I182" s="178"/>
      <c r="J182" s="178"/>
      <c r="K182" s="178"/>
    </row>
    <row r="183" spans="1:11" x14ac:dyDescent="0.3">
      <c r="A183" s="11" t="s">
        <v>224</v>
      </c>
      <c r="B183" s="11" t="s">
        <v>35</v>
      </c>
      <c r="C183" s="12">
        <v>37791</v>
      </c>
      <c r="D183" s="13">
        <v>11.94</v>
      </c>
      <c r="E183" s="13">
        <v>15.79</v>
      </c>
      <c r="F183" s="178">
        <v>2003</v>
      </c>
      <c r="G183" s="178"/>
      <c r="H183" s="178"/>
      <c r="I183" s="178"/>
      <c r="J183" s="178"/>
      <c r="K183" s="178"/>
    </row>
    <row r="184" spans="1:11" x14ac:dyDescent="0.3">
      <c r="A184" s="11" t="s">
        <v>225</v>
      </c>
      <c r="B184" s="11" t="s">
        <v>35</v>
      </c>
      <c r="C184" s="12">
        <v>37810</v>
      </c>
      <c r="D184" s="13">
        <v>13.13</v>
      </c>
      <c r="E184" s="13">
        <v>17.38</v>
      </c>
      <c r="F184" s="178">
        <v>2003</v>
      </c>
      <c r="G184" s="178"/>
      <c r="H184" s="178"/>
      <c r="I184" s="178"/>
      <c r="J184" s="178"/>
      <c r="K184" s="178"/>
    </row>
    <row r="185" spans="1:11" x14ac:dyDescent="0.3">
      <c r="A185" s="11" t="s">
        <v>226</v>
      </c>
      <c r="B185" s="11" t="s">
        <v>35</v>
      </c>
      <c r="C185" s="12">
        <v>37830</v>
      </c>
      <c r="D185" s="13">
        <v>15.93</v>
      </c>
      <c r="E185" s="13">
        <v>19.64</v>
      </c>
      <c r="F185" s="178">
        <v>2003</v>
      </c>
      <c r="G185" s="178"/>
      <c r="H185" s="178"/>
      <c r="I185" s="178"/>
      <c r="J185" s="178"/>
      <c r="K185" s="178"/>
    </row>
    <row r="186" spans="1:11" x14ac:dyDescent="0.3">
      <c r="A186" s="11" t="s">
        <v>227</v>
      </c>
      <c r="B186" s="11" t="s">
        <v>35</v>
      </c>
      <c r="C186" s="12">
        <v>37841</v>
      </c>
      <c r="D186" s="13">
        <v>18.32</v>
      </c>
      <c r="E186" s="13">
        <v>20.69</v>
      </c>
      <c r="F186" s="178">
        <v>2003</v>
      </c>
      <c r="G186" s="178"/>
      <c r="H186" s="178"/>
      <c r="I186" s="178"/>
      <c r="J186" s="178"/>
      <c r="K186" s="178"/>
    </row>
    <row r="187" spans="1:11" x14ac:dyDescent="0.3">
      <c r="A187" s="11" t="s">
        <v>228</v>
      </c>
      <c r="B187" s="11" t="s">
        <v>35</v>
      </c>
      <c r="C187" s="12">
        <v>37853</v>
      </c>
      <c r="D187" s="13">
        <v>19.21</v>
      </c>
      <c r="E187" s="13">
        <v>22.83</v>
      </c>
      <c r="F187" s="178">
        <v>2003</v>
      </c>
      <c r="G187" s="178"/>
      <c r="H187" s="178"/>
      <c r="I187" s="178"/>
      <c r="J187" s="178"/>
      <c r="K187" s="178"/>
    </row>
    <row r="188" spans="1:11" x14ac:dyDescent="0.3">
      <c r="A188" s="11" t="s">
        <v>229</v>
      </c>
      <c r="B188" s="11" t="s">
        <v>35</v>
      </c>
      <c r="C188" s="12">
        <v>37869</v>
      </c>
      <c r="D188" s="13">
        <v>20.58</v>
      </c>
      <c r="E188" s="13">
        <v>20.86</v>
      </c>
      <c r="F188" s="178">
        <v>2003</v>
      </c>
      <c r="G188" s="178"/>
      <c r="H188" s="178"/>
      <c r="I188" s="178"/>
      <c r="J188" s="178"/>
      <c r="K188" s="178"/>
    </row>
    <row r="189" spans="1:11" x14ac:dyDescent="0.3">
      <c r="A189" s="11" t="s">
        <v>230</v>
      </c>
      <c r="B189" s="11" t="s">
        <v>35</v>
      </c>
      <c r="C189" s="12">
        <v>37900</v>
      </c>
      <c r="D189" s="13">
        <v>19.45</v>
      </c>
      <c r="E189" s="13">
        <v>19.47</v>
      </c>
      <c r="F189" s="178">
        <v>2003</v>
      </c>
      <c r="G189" s="178"/>
      <c r="H189" s="178"/>
      <c r="I189" s="178"/>
      <c r="J189" s="178"/>
      <c r="K189" s="178"/>
    </row>
    <row r="190" spans="1:11" x14ac:dyDescent="0.3">
      <c r="A190" s="11" t="s">
        <v>231</v>
      </c>
      <c r="B190" s="11" t="s">
        <v>35</v>
      </c>
      <c r="C190" s="12">
        <v>37930</v>
      </c>
      <c r="D190" s="13">
        <v>15.08</v>
      </c>
      <c r="E190" s="13">
        <v>15.06</v>
      </c>
      <c r="F190" s="178">
        <v>2003</v>
      </c>
      <c r="G190" s="178"/>
      <c r="H190" s="178"/>
      <c r="I190" s="178"/>
      <c r="J190" s="178"/>
      <c r="K190" s="178"/>
    </row>
    <row r="191" spans="1:11" x14ac:dyDescent="0.3">
      <c r="A191" s="11" t="s">
        <v>232</v>
      </c>
      <c r="B191" s="11" t="s">
        <v>35</v>
      </c>
      <c r="C191" s="12">
        <v>37964</v>
      </c>
      <c r="D191" s="13">
        <v>7.69</v>
      </c>
      <c r="E191" s="13">
        <v>7.07</v>
      </c>
      <c r="F191" s="178">
        <v>2003</v>
      </c>
      <c r="G191" s="178"/>
      <c r="H191" s="178"/>
      <c r="I191" s="178"/>
      <c r="J191" s="178"/>
      <c r="K191" s="178"/>
    </row>
    <row r="192" spans="1:11" s="3" customFormat="1" x14ac:dyDescent="0.3">
      <c r="A192" s="15" t="s">
        <v>233</v>
      </c>
      <c r="B192" s="15" t="s">
        <v>35</v>
      </c>
      <c r="C192" s="16">
        <v>38019</v>
      </c>
      <c r="D192" s="17">
        <v>-0.61</v>
      </c>
      <c r="E192" s="17">
        <v>-0.72</v>
      </c>
      <c r="F192" s="179">
        <v>2004</v>
      </c>
      <c r="G192" s="179"/>
      <c r="H192" s="179"/>
      <c r="I192" s="179"/>
      <c r="J192" s="179"/>
      <c r="K192" s="179"/>
    </row>
    <row r="193" spans="1:11" x14ac:dyDescent="0.3">
      <c r="A193" s="11" t="s">
        <v>234</v>
      </c>
      <c r="B193" s="11" t="s">
        <v>35</v>
      </c>
      <c r="C193" s="12">
        <v>38036</v>
      </c>
      <c r="D193" s="13">
        <v>-0.08</v>
      </c>
      <c r="E193" s="13">
        <v>-0.23</v>
      </c>
      <c r="F193" s="178">
        <v>2004</v>
      </c>
      <c r="G193" s="178"/>
      <c r="H193" s="178"/>
      <c r="I193" s="178"/>
      <c r="J193" s="178"/>
      <c r="K193" s="178"/>
    </row>
    <row r="194" spans="1:11" x14ac:dyDescent="0.3">
      <c r="A194" s="11" t="s">
        <v>235</v>
      </c>
      <c r="B194" s="11" t="s">
        <v>35</v>
      </c>
      <c r="C194" s="12">
        <v>38047</v>
      </c>
      <c r="D194" s="13">
        <v>0.37</v>
      </c>
      <c r="E194" s="13">
        <v>1.03</v>
      </c>
      <c r="F194" s="178">
        <v>2004</v>
      </c>
      <c r="G194" s="178"/>
      <c r="H194" s="178"/>
      <c r="I194" s="178"/>
      <c r="J194" s="178"/>
      <c r="K194" s="178"/>
    </row>
    <row r="195" spans="1:11" x14ac:dyDescent="0.3">
      <c r="A195" s="11" t="s">
        <v>236</v>
      </c>
      <c r="B195" s="11" t="s">
        <v>35</v>
      </c>
      <c r="C195" s="12">
        <v>38064</v>
      </c>
      <c r="D195" s="13">
        <v>1.85</v>
      </c>
      <c r="E195" s="14"/>
      <c r="F195" s="14">
        <v>2004</v>
      </c>
      <c r="G195" s="14"/>
      <c r="H195" s="14"/>
      <c r="I195" s="14"/>
      <c r="J195" s="14"/>
      <c r="K195" s="14"/>
    </row>
    <row r="196" spans="1:11" x14ac:dyDescent="0.3">
      <c r="A196" s="11" t="s">
        <v>237</v>
      </c>
      <c r="B196" s="11" t="s">
        <v>35</v>
      </c>
      <c r="C196" s="12">
        <v>38091</v>
      </c>
      <c r="D196" s="13">
        <v>4.66</v>
      </c>
      <c r="E196" s="13">
        <v>5.42</v>
      </c>
      <c r="F196" s="178">
        <v>2004</v>
      </c>
      <c r="G196" s="178"/>
      <c r="H196" s="178"/>
      <c r="I196" s="178"/>
      <c r="J196" s="178"/>
      <c r="K196" s="178"/>
    </row>
    <row r="197" spans="1:11" x14ac:dyDescent="0.3">
      <c r="A197" s="11" t="s">
        <v>238</v>
      </c>
      <c r="B197" s="11" t="s">
        <v>35</v>
      </c>
      <c r="C197" s="12">
        <v>38113</v>
      </c>
      <c r="D197" s="13">
        <v>6.56</v>
      </c>
      <c r="E197" s="13">
        <v>9.42</v>
      </c>
      <c r="F197" s="178">
        <v>2004</v>
      </c>
      <c r="G197" s="178"/>
      <c r="H197" s="178"/>
      <c r="I197" s="178"/>
      <c r="J197" s="178"/>
      <c r="K197" s="178"/>
    </row>
    <row r="198" spans="1:11" x14ac:dyDescent="0.3">
      <c r="A198" s="11" t="s">
        <v>239</v>
      </c>
      <c r="B198" s="11" t="s">
        <v>35</v>
      </c>
      <c r="C198" s="12">
        <v>38140</v>
      </c>
      <c r="D198" s="13">
        <v>10.92</v>
      </c>
      <c r="E198" s="13">
        <v>14.94</v>
      </c>
      <c r="F198" s="178">
        <v>2004</v>
      </c>
      <c r="G198" s="178"/>
      <c r="H198" s="178"/>
      <c r="I198" s="178"/>
      <c r="J198" s="178"/>
      <c r="K198" s="178"/>
    </row>
    <row r="199" spans="1:11" x14ac:dyDescent="0.3">
      <c r="A199" s="11" t="s">
        <v>240</v>
      </c>
      <c r="B199" s="11" t="s">
        <v>35</v>
      </c>
      <c r="C199" s="12">
        <v>38167</v>
      </c>
      <c r="D199" s="13">
        <v>14</v>
      </c>
      <c r="E199" s="13">
        <v>17.77</v>
      </c>
      <c r="F199" s="178">
        <v>2004</v>
      </c>
      <c r="G199" s="178"/>
      <c r="H199" s="178"/>
      <c r="I199" s="178"/>
      <c r="J199" s="178"/>
      <c r="K199" s="178"/>
    </row>
    <row r="200" spans="1:11" x14ac:dyDescent="0.3">
      <c r="A200" s="11" t="s">
        <v>241</v>
      </c>
      <c r="B200" s="11" t="s">
        <v>35</v>
      </c>
      <c r="C200" s="12">
        <v>38174</v>
      </c>
      <c r="D200" s="13">
        <v>15.74</v>
      </c>
      <c r="E200" s="13">
        <v>18.670000000000002</v>
      </c>
      <c r="F200" s="178">
        <v>2004</v>
      </c>
      <c r="G200" s="178"/>
      <c r="H200" s="178"/>
      <c r="I200" s="178"/>
      <c r="J200" s="178"/>
      <c r="K200" s="178"/>
    </row>
    <row r="201" spans="1:11" x14ac:dyDescent="0.3">
      <c r="A201" s="11" t="s">
        <v>242</v>
      </c>
      <c r="B201" s="11" t="s">
        <v>35</v>
      </c>
      <c r="C201" s="12">
        <v>38188</v>
      </c>
      <c r="D201" s="13">
        <v>17.46</v>
      </c>
      <c r="E201" s="13">
        <v>19.940000000000001</v>
      </c>
      <c r="F201" s="178">
        <v>2004</v>
      </c>
      <c r="G201" s="178"/>
      <c r="H201" s="178"/>
      <c r="I201" s="178"/>
      <c r="J201" s="178"/>
      <c r="K201" s="178"/>
    </row>
    <row r="202" spans="1:11" x14ac:dyDescent="0.3">
      <c r="A202" s="11" t="s">
        <v>243</v>
      </c>
      <c r="B202" s="11" t="s">
        <v>35</v>
      </c>
      <c r="C202" s="12">
        <v>38202</v>
      </c>
      <c r="D202" s="13">
        <v>18.8</v>
      </c>
      <c r="E202" s="13">
        <v>22.02</v>
      </c>
      <c r="F202" s="178">
        <v>2004</v>
      </c>
      <c r="G202" s="178"/>
      <c r="H202" s="178"/>
      <c r="I202" s="178"/>
      <c r="J202" s="178"/>
      <c r="K202" s="178"/>
    </row>
    <row r="203" spans="1:11" x14ac:dyDescent="0.3">
      <c r="A203" s="11" t="s">
        <v>244</v>
      </c>
      <c r="B203" s="11" t="s">
        <v>35</v>
      </c>
      <c r="C203" s="12">
        <v>38222</v>
      </c>
      <c r="D203" s="13">
        <v>20.12</v>
      </c>
      <c r="E203" s="13">
        <v>21.76</v>
      </c>
      <c r="F203" s="178">
        <v>2004</v>
      </c>
      <c r="G203" s="178"/>
      <c r="H203" s="178"/>
      <c r="I203" s="178"/>
      <c r="J203" s="178"/>
      <c r="K203" s="178"/>
    </row>
    <row r="204" spans="1:11" x14ac:dyDescent="0.3">
      <c r="A204" s="11" t="s">
        <v>245</v>
      </c>
      <c r="B204" s="11" t="s">
        <v>35</v>
      </c>
      <c r="C204" s="12">
        <v>38233</v>
      </c>
      <c r="D204" s="13">
        <v>21.47</v>
      </c>
      <c r="E204" s="13">
        <v>22.47</v>
      </c>
      <c r="F204" s="178">
        <v>2004</v>
      </c>
      <c r="G204" s="178"/>
      <c r="H204" s="178"/>
      <c r="I204" s="178"/>
      <c r="J204" s="178"/>
      <c r="K204" s="178"/>
    </row>
    <row r="205" spans="1:11" x14ac:dyDescent="0.3">
      <c r="A205" s="11" t="s">
        <v>246</v>
      </c>
      <c r="B205" s="11" t="s">
        <v>35</v>
      </c>
      <c r="C205" s="12">
        <v>38273</v>
      </c>
      <c r="D205" s="13">
        <v>19.170000000000002</v>
      </c>
      <c r="E205" s="13">
        <v>18.8</v>
      </c>
      <c r="F205" s="178">
        <v>2004</v>
      </c>
      <c r="G205" s="178"/>
      <c r="H205" s="178"/>
      <c r="I205" s="178"/>
      <c r="J205" s="178"/>
      <c r="K205" s="178"/>
    </row>
    <row r="206" spans="1:11" x14ac:dyDescent="0.3">
      <c r="A206" s="11" t="s">
        <v>247</v>
      </c>
      <c r="B206" s="11" t="s">
        <v>35</v>
      </c>
      <c r="C206" s="12">
        <v>38330</v>
      </c>
      <c r="D206" s="13">
        <v>9.2200000000000006</v>
      </c>
      <c r="E206" s="13">
        <v>9.07</v>
      </c>
      <c r="F206" s="178">
        <v>2004</v>
      </c>
      <c r="G206" s="178"/>
      <c r="H206" s="178"/>
      <c r="I206" s="178"/>
      <c r="J206" s="178"/>
      <c r="K206" s="178"/>
    </row>
    <row r="207" spans="1:11" s="3" customFormat="1" x14ac:dyDescent="0.3">
      <c r="A207" s="15" t="s">
        <v>248</v>
      </c>
      <c r="B207" s="15" t="s">
        <v>35</v>
      </c>
      <c r="C207" s="16">
        <v>38365</v>
      </c>
      <c r="D207" s="17">
        <v>4.6100000000000003</v>
      </c>
      <c r="E207" s="17">
        <v>4.62</v>
      </c>
      <c r="F207" s="179">
        <v>2005</v>
      </c>
      <c r="G207" s="179"/>
      <c r="H207" s="179"/>
      <c r="I207" s="179"/>
      <c r="J207" s="179"/>
      <c r="K207" s="179"/>
    </row>
    <row r="208" spans="1:11" x14ac:dyDescent="0.3">
      <c r="A208" s="11" t="s">
        <v>249</v>
      </c>
      <c r="B208" s="11" t="s">
        <v>35</v>
      </c>
      <c r="C208" s="12">
        <v>38383</v>
      </c>
      <c r="D208" s="13">
        <v>0.92</v>
      </c>
      <c r="E208" s="13">
        <v>0.5</v>
      </c>
      <c r="F208" s="178">
        <v>2005</v>
      </c>
      <c r="G208" s="178"/>
      <c r="H208" s="178"/>
      <c r="I208" s="178"/>
      <c r="J208" s="178"/>
      <c r="K208" s="178"/>
    </row>
    <row r="209" spans="1:11" x14ac:dyDescent="0.3">
      <c r="A209" s="11" t="s">
        <v>250</v>
      </c>
      <c r="B209" s="11" t="s">
        <v>35</v>
      </c>
      <c r="C209" s="12">
        <v>38421</v>
      </c>
      <c r="D209" s="13">
        <v>1.01</v>
      </c>
      <c r="E209" s="13">
        <v>1.06</v>
      </c>
      <c r="F209" s="178">
        <v>2005</v>
      </c>
      <c r="G209" s="178"/>
      <c r="H209" s="178"/>
      <c r="I209" s="178"/>
      <c r="J209" s="178"/>
      <c r="K209" s="178"/>
    </row>
    <row r="210" spans="1:11" x14ac:dyDescent="0.3">
      <c r="A210" s="11" t="s">
        <v>251</v>
      </c>
      <c r="B210" s="11" t="s">
        <v>35</v>
      </c>
      <c r="C210" s="12">
        <v>38448</v>
      </c>
      <c r="D210" s="13">
        <v>3.1</v>
      </c>
      <c r="E210" s="13">
        <v>4.4400000000000004</v>
      </c>
      <c r="F210" s="178">
        <v>2005</v>
      </c>
      <c r="G210" s="178"/>
      <c r="H210" s="178"/>
      <c r="I210" s="178"/>
      <c r="J210" s="178"/>
      <c r="K210" s="178"/>
    </row>
    <row r="211" spans="1:11" x14ac:dyDescent="0.3">
      <c r="A211" s="11" t="s">
        <v>252</v>
      </c>
      <c r="B211" s="11" t="s">
        <v>35</v>
      </c>
      <c r="C211" s="12">
        <v>38481</v>
      </c>
      <c r="D211" s="13">
        <v>8.56</v>
      </c>
      <c r="E211" s="13">
        <v>9.16</v>
      </c>
      <c r="F211" s="178">
        <v>2005</v>
      </c>
      <c r="G211" s="178"/>
      <c r="H211" s="178"/>
      <c r="I211" s="178"/>
      <c r="J211" s="178"/>
      <c r="K211" s="178"/>
    </row>
    <row r="212" spans="1:11" x14ac:dyDescent="0.3">
      <c r="A212" s="11" t="s">
        <v>253</v>
      </c>
      <c r="B212" s="11" t="s">
        <v>35</v>
      </c>
      <c r="C212" s="12">
        <v>38512</v>
      </c>
      <c r="D212" s="13">
        <v>11.02</v>
      </c>
      <c r="E212" s="13">
        <v>16.850000000000001</v>
      </c>
      <c r="F212" s="178">
        <v>2005</v>
      </c>
      <c r="G212" s="178"/>
      <c r="H212" s="178"/>
      <c r="I212" s="178"/>
      <c r="J212" s="178"/>
      <c r="K212" s="178"/>
    </row>
    <row r="213" spans="1:11" x14ac:dyDescent="0.3">
      <c r="A213" s="11" t="s">
        <v>254</v>
      </c>
      <c r="B213" s="11" t="s">
        <v>35</v>
      </c>
      <c r="C213" s="12">
        <v>38526</v>
      </c>
      <c r="D213" s="13">
        <v>13.4</v>
      </c>
      <c r="E213" s="13">
        <v>16.989999999999998</v>
      </c>
      <c r="F213" s="178">
        <v>2005</v>
      </c>
      <c r="G213" s="178"/>
      <c r="H213" s="178"/>
      <c r="I213" s="178"/>
      <c r="J213" s="178"/>
      <c r="K213" s="178"/>
    </row>
    <row r="214" spans="1:11" x14ac:dyDescent="0.3">
      <c r="A214" s="11" t="s">
        <v>255</v>
      </c>
      <c r="B214" s="11" t="s">
        <v>35</v>
      </c>
      <c r="C214" s="12">
        <v>38544</v>
      </c>
      <c r="D214" s="13">
        <v>15.73</v>
      </c>
      <c r="E214" s="13">
        <v>20.93</v>
      </c>
      <c r="F214" s="178">
        <v>2005</v>
      </c>
      <c r="G214" s="178"/>
      <c r="H214" s="178"/>
      <c r="I214" s="178"/>
      <c r="J214" s="178"/>
      <c r="K214" s="178"/>
    </row>
    <row r="215" spans="1:11" x14ac:dyDescent="0.3">
      <c r="A215" s="11" t="s">
        <v>256</v>
      </c>
      <c r="B215" s="11" t="s">
        <v>35</v>
      </c>
      <c r="C215" s="12">
        <v>38554</v>
      </c>
      <c r="D215" s="13">
        <v>16.309999999999999</v>
      </c>
      <c r="E215" s="13">
        <v>23.36</v>
      </c>
      <c r="F215" s="178">
        <v>2005</v>
      </c>
      <c r="G215" s="178"/>
      <c r="H215" s="178"/>
      <c r="I215" s="178"/>
      <c r="J215" s="178"/>
      <c r="K215" s="178"/>
    </row>
    <row r="216" spans="1:11" x14ac:dyDescent="0.3">
      <c r="A216" s="11" t="s">
        <v>257</v>
      </c>
      <c r="B216" s="11" t="s">
        <v>35</v>
      </c>
      <c r="C216" s="12">
        <v>38567</v>
      </c>
      <c r="D216" s="13">
        <v>18.48</v>
      </c>
      <c r="E216" s="13">
        <v>23.31</v>
      </c>
      <c r="F216" s="178">
        <v>2005</v>
      </c>
      <c r="G216" s="178"/>
      <c r="H216" s="178"/>
      <c r="I216" s="178"/>
      <c r="J216" s="178"/>
      <c r="K216" s="178"/>
    </row>
    <row r="217" spans="1:11" x14ac:dyDescent="0.3">
      <c r="A217" s="11" t="s">
        <v>258</v>
      </c>
      <c r="B217" s="11" t="s">
        <v>35</v>
      </c>
      <c r="C217" s="12">
        <v>38581</v>
      </c>
      <c r="D217" s="13">
        <v>19.61</v>
      </c>
      <c r="E217" s="14"/>
      <c r="F217" s="14">
        <v>2005</v>
      </c>
      <c r="G217" s="14"/>
      <c r="H217" s="14"/>
      <c r="I217" s="14"/>
      <c r="J217" s="14"/>
      <c r="K217" s="14"/>
    </row>
    <row r="218" spans="1:11" x14ac:dyDescent="0.3">
      <c r="A218" s="11" t="s">
        <v>259</v>
      </c>
      <c r="B218" s="11" t="s">
        <v>35</v>
      </c>
      <c r="C218" s="12">
        <v>38594</v>
      </c>
      <c r="D218" s="13">
        <v>21.38</v>
      </c>
      <c r="E218" s="13">
        <v>23.8</v>
      </c>
      <c r="F218" s="178">
        <v>2005</v>
      </c>
      <c r="G218" s="178"/>
      <c r="H218" s="178"/>
      <c r="I218" s="178"/>
      <c r="J218" s="178"/>
      <c r="K218" s="178"/>
    </row>
    <row r="219" spans="1:11" x14ac:dyDescent="0.3">
      <c r="A219" s="11" t="s">
        <v>260</v>
      </c>
      <c r="B219" s="11" t="s">
        <v>35</v>
      </c>
      <c r="C219" s="12">
        <v>38614</v>
      </c>
      <c r="D219" s="13">
        <v>22.16</v>
      </c>
      <c r="E219" s="13">
        <v>22.86</v>
      </c>
      <c r="F219" s="178">
        <v>2005</v>
      </c>
      <c r="G219" s="178"/>
      <c r="H219" s="178"/>
      <c r="I219" s="178"/>
      <c r="J219" s="178"/>
      <c r="K219" s="178"/>
    </row>
    <row r="220" spans="1:11" x14ac:dyDescent="0.3">
      <c r="A220" s="11" t="s">
        <v>261</v>
      </c>
      <c r="B220" s="11" t="s">
        <v>35</v>
      </c>
      <c r="C220" s="12">
        <v>38643</v>
      </c>
      <c r="D220" s="13">
        <v>18.7</v>
      </c>
      <c r="E220" s="13">
        <v>18.34</v>
      </c>
      <c r="F220" s="178">
        <v>2005</v>
      </c>
      <c r="G220" s="178"/>
      <c r="H220" s="178"/>
      <c r="I220" s="178"/>
      <c r="J220" s="178"/>
      <c r="K220" s="178"/>
    </row>
    <row r="221" spans="1:11" x14ac:dyDescent="0.3">
      <c r="A221" s="11" t="s">
        <v>262</v>
      </c>
      <c r="B221" s="11" t="s">
        <v>35</v>
      </c>
      <c r="C221" s="12">
        <v>38674</v>
      </c>
      <c r="D221" s="13">
        <v>13.23</v>
      </c>
      <c r="E221" s="13">
        <v>13.02</v>
      </c>
      <c r="F221" s="178">
        <v>2005</v>
      </c>
      <c r="G221" s="178"/>
      <c r="H221" s="178"/>
      <c r="I221" s="178"/>
      <c r="J221" s="178"/>
      <c r="K221" s="178"/>
    </row>
    <row r="222" spans="1:11" x14ac:dyDescent="0.3">
      <c r="A222" s="11" t="s">
        <v>263</v>
      </c>
      <c r="B222" s="11" t="s">
        <v>35</v>
      </c>
      <c r="C222" s="12">
        <v>38698</v>
      </c>
      <c r="D222" s="13">
        <v>7.54</v>
      </c>
      <c r="E222" s="13">
        <v>7.5</v>
      </c>
      <c r="F222" s="178">
        <v>2005</v>
      </c>
      <c r="G222" s="178"/>
      <c r="H222" s="178"/>
      <c r="I222" s="178"/>
      <c r="J222" s="178"/>
      <c r="K222" s="178"/>
    </row>
    <row r="223" spans="1:11" s="3" customFormat="1" x14ac:dyDescent="0.3">
      <c r="A223" s="15" t="s">
        <v>264</v>
      </c>
      <c r="B223" s="15" t="s">
        <v>35</v>
      </c>
      <c r="C223" s="16">
        <v>38782</v>
      </c>
      <c r="D223" s="17">
        <v>2.2000000000000002</v>
      </c>
      <c r="E223" s="17">
        <v>2.29</v>
      </c>
      <c r="F223" s="179">
        <v>2006</v>
      </c>
      <c r="G223" s="179"/>
      <c r="H223" s="179"/>
      <c r="I223" s="179"/>
      <c r="J223" s="179"/>
      <c r="K223" s="179"/>
    </row>
    <row r="224" spans="1:11" x14ac:dyDescent="0.3">
      <c r="A224" s="11" t="s">
        <v>265</v>
      </c>
      <c r="B224" s="11" t="s">
        <v>35</v>
      </c>
      <c r="C224" s="12">
        <v>38840</v>
      </c>
      <c r="D224" s="13">
        <v>8.44</v>
      </c>
      <c r="E224" s="13">
        <v>10.94</v>
      </c>
      <c r="F224" s="178">
        <v>2006</v>
      </c>
      <c r="G224" s="178"/>
      <c r="H224" s="178"/>
      <c r="I224" s="178"/>
      <c r="J224" s="178"/>
      <c r="K224" s="178"/>
    </row>
    <row r="225" spans="1:11" x14ac:dyDescent="0.3">
      <c r="A225" s="11" t="s">
        <v>266</v>
      </c>
      <c r="B225" s="11" t="s">
        <v>35</v>
      </c>
      <c r="C225" s="12">
        <v>38876</v>
      </c>
      <c r="D225" s="13">
        <v>12.51</v>
      </c>
      <c r="E225" s="13">
        <v>16.579999999999998</v>
      </c>
      <c r="F225" s="178">
        <v>2006</v>
      </c>
      <c r="G225" s="178"/>
      <c r="H225" s="178"/>
      <c r="I225" s="178"/>
      <c r="J225" s="178"/>
      <c r="K225" s="178"/>
    </row>
    <row r="226" spans="1:11" x14ac:dyDescent="0.3">
      <c r="A226" s="11" t="s">
        <v>267</v>
      </c>
      <c r="B226" s="11" t="s">
        <v>35</v>
      </c>
      <c r="C226" s="12">
        <v>38891</v>
      </c>
      <c r="D226" s="13">
        <v>13.95</v>
      </c>
      <c r="E226" s="13">
        <v>16.559999999999999</v>
      </c>
      <c r="F226" s="178">
        <v>2006</v>
      </c>
      <c r="G226" s="178"/>
      <c r="H226" s="178"/>
      <c r="I226" s="178"/>
      <c r="J226" s="178"/>
      <c r="K226" s="178"/>
    </row>
    <row r="227" spans="1:11" x14ac:dyDescent="0.3">
      <c r="A227" s="11" t="s">
        <v>268</v>
      </c>
      <c r="B227" s="11" t="s">
        <v>35</v>
      </c>
      <c r="C227" s="12">
        <v>38908</v>
      </c>
      <c r="D227" s="13">
        <v>15.77</v>
      </c>
      <c r="E227" s="13">
        <v>20.34</v>
      </c>
      <c r="F227" s="178">
        <v>2006</v>
      </c>
      <c r="G227" s="178"/>
      <c r="H227" s="178"/>
      <c r="I227" s="178"/>
      <c r="J227" s="178"/>
      <c r="K227" s="178"/>
    </row>
    <row r="228" spans="1:11" x14ac:dyDescent="0.3">
      <c r="A228" s="11" t="s">
        <v>269</v>
      </c>
      <c r="B228" s="11" t="s">
        <v>35</v>
      </c>
      <c r="C228" s="12">
        <v>38916</v>
      </c>
      <c r="D228" s="13">
        <v>17.14</v>
      </c>
      <c r="E228" s="13">
        <v>21.51</v>
      </c>
      <c r="F228" s="178">
        <v>2006</v>
      </c>
      <c r="G228" s="178"/>
      <c r="H228" s="178"/>
      <c r="I228" s="178"/>
      <c r="J228" s="178"/>
      <c r="K228" s="178"/>
    </row>
    <row r="229" spans="1:11" x14ac:dyDescent="0.3">
      <c r="A229" s="11" t="s">
        <v>270</v>
      </c>
      <c r="B229" s="11" t="s">
        <v>35</v>
      </c>
      <c r="C229" s="12">
        <v>38932</v>
      </c>
      <c r="D229" s="13">
        <v>18.54</v>
      </c>
      <c r="E229" s="13">
        <v>25.4</v>
      </c>
      <c r="F229" s="178">
        <v>2006</v>
      </c>
      <c r="G229" s="178"/>
      <c r="H229" s="178"/>
      <c r="I229" s="178"/>
      <c r="J229" s="178"/>
      <c r="K229" s="178"/>
    </row>
    <row r="230" spans="1:11" x14ac:dyDescent="0.3">
      <c r="A230" s="11" t="s">
        <v>271</v>
      </c>
      <c r="B230" s="11" t="s">
        <v>35</v>
      </c>
      <c r="C230" s="12">
        <v>38946</v>
      </c>
      <c r="D230" s="13">
        <v>20.92</v>
      </c>
      <c r="E230" s="13">
        <v>22.85</v>
      </c>
      <c r="F230" s="178">
        <v>2006</v>
      </c>
      <c r="G230" s="178"/>
      <c r="H230" s="178"/>
      <c r="I230" s="178"/>
      <c r="J230" s="178"/>
      <c r="K230" s="178"/>
    </row>
    <row r="231" spans="1:11" x14ac:dyDescent="0.3">
      <c r="A231" s="11" t="s">
        <v>272</v>
      </c>
      <c r="B231" s="11" t="s">
        <v>35</v>
      </c>
      <c r="C231" s="12">
        <v>38960</v>
      </c>
      <c r="D231" s="13">
        <v>21.68</v>
      </c>
      <c r="E231" s="13">
        <v>21.73</v>
      </c>
      <c r="F231" s="178">
        <v>2006</v>
      </c>
      <c r="G231" s="178"/>
      <c r="H231" s="178"/>
      <c r="I231" s="178"/>
      <c r="J231" s="178"/>
      <c r="K231" s="178"/>
    </row>
    <row r="232" spans="1:11" x14ac:dyDescent="0.3">
      <c r="A232" s="11" t="s">
        <v>273</v>
      </c>
      <c r="B232" s="11" t="s">
        <v>35</v>
      </c>
      <c r="C232" s="12">
        <v>39006</v>
      </c>
      <c r="D232" s="14"/>
      <c r="E232" s="14"/>
      <c r="F232" s="14">
        <v>2006</v>
      </c>
      <c r="G232" s="14"/>
      <c r="H232" s="14"/>
      <c r="I232" s="14"/>
      <c r="J232" s="14"/>
      <c r="K232" s="14"/>
    </row>
    <row r="233" spans="1:11" x14ac:dyDescent="0.3">
      <c r="A233" s="11" t="s">
        <v>274</v>
      </c>
      <c r="B233" s="11" t="s">
        <v>35</v>
      </c>
      <c r="C233" s="12">
        <v>39030</v>
      </c>
      <c r="D233" s="13">
        <v>13.35</v>
      </c>
      <c r="E233" s="13">
        <v>13.34</v>
      </c>
      <c r="F233" s="178">
        <v>2006</v>
      </c>
      <c r="G233" s="178"/>
      <c r="H233" s="178"/>
      <c r="I233" s="178"/>
      <c r="J233" s="178"/>
      <c r="K233" s="178"/>
    </row>
    <row r="234" spans="1:11" x14ac:dyDescent="0.3">
      <c r="A234" s="11" t="s">
        <v>275</v>
      </c>
      <c r="B234" s="11" t="s">
        <v>35</v>
      </c>
      <c r="C234" s="12">
        <v>39065</v>
      </c>
      <c r="D234" s="13">
        <v>9.35</v>
      </c>
      <c r="E234" s="13">
        <v>8.92</v>
      </c>
      <c r="F234" s="178">
        <v>2006</v>
      </c>
      <c r="G234" s="178"/>
      <c r="H234" s="178"/>
      <c r="I234" s="178"/>
      <c r="J234" s="178"/>
      <c r="K234" s="178"/>
    </row>
    <row r="235" spans="1:11" s="3" customFormat="1" x14ac:dyDescent="0.3">
      <c r="A235" s="15" t="s">
        <v>276</v>
      </c>
      <c r="B235" s="15" t="s">
        <v>35</v>
      </c>
      <c r="C235" s="16">
        <v>39100</v>
      </c>
      <c r="D235" s="17">
        <v>6.42</v>
      </c>
      <c r="E235" s="17">
        <v>6.27</v>
      </c>
      <c r="F235" s="179">
        <v>2007</v>
      </c>
      <c r="G235" s="179"/>
      <c r="H235" s="179"/>
      <c r="I235" s="179"/>
      <c r="J235" s="179"/>
      <c r="K235" s="179"/>
    </row>
    <row r="236" spans="1:11" x14ac:dyDescent="0.3">
      <c r="A236" s="11" t="s">
        <v>277</v>
      </c>
      <c r="B236" s="11" t="s">
        <v>35</v>
      </c>
      <c r="C236" s="12">
        <v>39120</v>
      </c>
      <c r="D236" s="13">
        <v>2.58</v>
      </c>
      <c r="E236" s="13">
        <v>2.57</v>
      </c>
      <c r="F236" s="178">
        <v>2007</v>
      </c>
      <c r="G236" s="178"/>
      <c r="H236" s="178"/>
      <c r="I236" s="178"/>
      <c r="J236" s="178"/>
      <c r="K236" s="178"/>
    </row>
    <row r="237" spans="1:11" x14ac:dyDescent="0.3">
      <c r="A237" s="11" t="s">
        <v>278</v>
      </c>
      <c r="B237" s="11" t="s">
        <v>35</v>
      </c>
      <c r="C237" s="12">
        <v>39153</v>
      </c>
      <c r="D237" s="13">
        <v>0.96</v>
      </c>
      <c r="E237" s="13">
        <v>1.48</v>
      </c>
      <c r="F237" s="178">
        <v>2007</v>
      </c>
      <c r="G237" s="178"/>
      <c r="H237" s="178"/>
      <c r="I237" s="178"/>
      <c r="J237" s="178"/>
      <c r="K237" s="178"/>
    </row>
    <row r="238" spans="1:11" x14ac:dyDescent="0.3">
      <c r="A238" s="11" t="s">
        <v>279</v>
      </c>
      <c r="B238" s="11" t="s">
        <v>35</v>
      </c>
      <c r="C238" s="12">
        <v>39160</v>
      </c>
      <c r="D238" s="13">
        <v>1.26</v>
      </c>
      <c r="E238" s="13">
        <v>1.3</v>
      </c>
      <c r="F238" s="178">
        <v>2007</v>
      </c>
      <c r="G238" s="178"/>
      <c r="H238" s="178"/>
      <c r="I238" s="178"/>
      <c r="J238" s="178"/>
      <c r="K238" s="178"/>
    </row>
    <row r="239" spans="1:11" x14ac:dyDescent="0.3">
      <c r="A239" s="11" t="s">
        <v>280</v>
      </c>
      <c r="B239" s="11" t="s">
        <v>35</v>
      </c>
      <c r="C239" s="12">
        <v>39175</v>
      </c>
      <c r="D239" s="13">
        <v>2.35</v>
      </c>
      <c r="E239" s="13">
        <v>4.2</v>
      </c>
      <c r="F239" s="178">
        <v>2007</v>
      </c>
      <c r="G239" s="178"/>
      <c r="H239" s="178"/>
      <c r="I239" s="178"/>
      <c r="J239" s="178"/>
      <c r="K239" s="178"/>
    </row>
    <row r="240" spans="1:11" x14ac:dyDescent="0.3">
      <c r="A240" s="11" t="s">
        <v>281</v>
      </c>
      <c r="B240" s="11" t="s">
        <v>35</v>
      </c>
      <c r="C240" s="12">
        <v>39210</v>
      </c>
      <c r="D240" s="13">
        <v>6.21</v>
      </c>
      <c r="E240" s="13">
        <v>10.47</v>
      </c>
      <c r="F240" s="178">
        <v>2007</v>
      </c>
      <c r="G240" s="178"/>
      <c r="H240" s="178"/>
      <c r="I240" s="178"/>
      <c r="J240" s="178"/>
      <c r="K240" s="178"/>
    </row>
    <row r="241" spans="1:11" x14ac:dyDescent="0.3">
      <c r="A241" s="11" t="s">
        <v>282</v>
      </c>
      <c r="B241" s="11" t="s">
        <v>35</v>
      </c>
      <c r="C241" s="12">
        <v>39239</v>
      </c>
      <c r="D241" s="13">
        <v>10.25</v>
      </c>
      <c r="E241" s="13">
        <v>14.98</v>
      </c>
      <c r="F241" s="178">
        <v>2007</v>
      </c>
      <c r="G241" s="178"/>
      <c r="H241" s="178"/>
      <c r="I241" s="178"/>
      <c r="J241" s="178"/>
      <c r="K241" s="178"/>
    </row>
    <row r="242" spans="1:11" x14ac:dyDescent="0.3">
      <c r="A242" s="11" t="s">
        <v>283</v>
      </c>
      <c r="B242" s="11" t="s">
        <v>35</v>
      </c>
      <c r="C242" s="12">
        <v>39254</v>
      </c>
      <c r="D242" s="13">
        <v>12.87</v>
      </c>
      <c r="E242" s="13">
        <v>17.72</v>
      </c>
      <c r="F242" s="178">
        <v>2007</v>
      </c>
      <c r="G242" s="178"/>
      <c r="H242" s="178"/>
      <c r="I242" s="178"/>
      <c r="J242" s="178"/>
      <c r="K242" s="178"/>
    </row>
    <row r="243" spans="1:11" x14ac:dyDescent="0.3">
      <c r="A243" s="11" t="s">
        <v>284</v>
      </c>
      <c r="B243" s="11" t="s">
        <v>35</v>
      </c>
      <c r="C243" s="12">
        <v>39273</v>
      </c>
      <c r="D243" s="13">
        <v>16.170000000000002</v>
      </c>
      <c r="E243" s="13">
        <v>19.100000000000001</v>
      </c>
      <c r="F243" s="178">
        <v>2007</v>
      </c>
      <c r="G243" s="178"/>
      <c r="H243" s="178"/>
      <c r="I243" s="178"/>
      <c r="J243" s="178"/>
      <c r="K243" s="178"/>
    </row>
    <row r="244" spans="1:11" x14ac:dyDescent="0.3">
      <c r="A244" s="11" t="s">
        <v>285</v>
      </c>
      <c r="B244" s="11" t="s">
        <v>35</v>
      </c>
      <c r="C244" s="12">
        <v>39287</v>
      </c>
      <c r="D244" s="13">
        <v>17.829999999999998</v>
      </c>
      <c r="E244" s="13">
        <v>20.56</v>
      </c>
      <c r="F244" s="178">
        <v>2007</v>
      </c>
      <c r="G244" s="178"/>
      <c r="H244" s="178"/>
      <c r="I244" s="178"/>
      <c r="J244" s="178"/>
      <c r="K244" s="178"/>
    </row>
    <row r="245" spans="1:11" x14ac:dyDescent="0.3">
      <c r="A245" s="11" t="s">
        <v>286</v>
      </c>
      <c r="B245" s="11" t="s">
        <v>35</v>
      </c>
      <c r="C245" s="12">
        <v>39295</v>
      </c>
      <c r="D245" s="13">
        <v>18.62</v>
      </c>
      <c r="E245" s="13">
        <v>21.33</v>
      </c>
      <c r="F245" s="178">
        <v>2007</v>
      </c>
      <c r="G245" s="178"/>
      <c r="H245" s="178"/>
      <c r="I245" s="178"/>
      <c r="J245" s="178"/>
      <c r="K245" s="178"/>
    </row>
    <row r="246" spans="1:11" x14ac:dyDescent="0.3">
      <c r="A246" s="11" t="s">
        <v>287</v>
      </c>
      <c r="B246" s="11" t="s">
        <v>35</v>
      </c>
      <c r="C246" s="12">
        <v>39308</v>
      </c>
      <c r="D246" s="13">
        <v>20.350000000000001</v>
      </c>
      <c r="E246" s="13">
        <v>22.72</v>
      </c>
      <c r="F246" s="178">
        <v>2007</v>
      </c>
      <c r="G246" s="178"/>
      <c r="H246" s="178"/>
      <c r="I246" s="178"/>
      <c r="J246" s="178"/>
      <c r="K246" s="178"/>
    </row>
    <row r="247" spans="1:11" x14ac:dyDescent="0.3">
      <c r="A247" s="11" t="s">
        <v>288</v>
      </c>
      <c r="B247" s="11" t="s">
        <v>35</v>
      </c>
      <c r="C247" s="12">
        <v>39323</v>
      </c>
      <c r="D247" s="13">
        <v>20.86</v>
      </c>
      <c r="E247" s="13">
        <v>21.73</v>
      </c>
      <c r="F247" s="178">
        <v>2007</v>
      </c>
      <c r="G247" s="178"/>
      <c r="H247" s="178"/>
      <c r="I247" s="178"/>
      <c r="J247" s="178"/>
      <c r="K247" s="178"/>
    </row>
    <row r="248" spans="1:11" x14ac:dyDescent="0.3">
      <c r="A248" s="11" t="s">
        <v>289</v>
      </c>
      <c r="B248" s="11" t="s">
        <v>35</v>
      </c>
      <c r="C248" s="12">
        <v>39335</v>
      </c>
      <c r="D248" s="13">
        <v>21.64</v>
      </c>
      <c r="E248" s="13">
        <v>22.53</v>
      </c>
      <c r="F248" s="178">
        <v>2007</v>
      </c>
      <c r="G248" s="178"/>
      <c r="H248" s="178"/>
      <c r="I248" s="178"/>
      <c r="J248" s="178"/>
      <c r="K248" s="178"/>
    </row>
    <row r="249" spans="1:11" x14ac:dyDescent="0.3">
      <c r="A249" s="11" t="s">
        <v>290</v>
      </c>
      <c r="B249" s="11" t="s">
        <v>35</v>
      </c>
      <c r="C249" s="12">
        <v>39358</v>
      </c>
      <c r="D249" s="13">
        <v>21.08</v>
      </c>
      <c r="E249" s="13">
        <v>21.57</v>
      </c>
      <c r="F249" s="178">
        <v>2007</v>
      </c>
      <c r="G249" s="178"/>
      <c r="H249" s="178"/>
      <c r="I249" s="178"/>
      <c r="J249" s="178"/>
      <c r="K249" s="178"/>
    </row>
    <row r="250" spans="1:11" x14ac:dyDescent="0.3">
      <c r="A250" s="11" t="s">
        <v>291</v>
      </c>
      <c r="B250" s="11" t="s">
        <v>35</v>
      </c>
      <c r="C250" s="12">
        <v>39400</v>
      </c>
      <c r="D250" s="13">
        <v>13.71</v>
      </c>
      <c r="E250" s="13">
        <v>13.72</v>
      </c>
      <c r="F250" s="178">
        <v>2007</v>
      </c>
      <c r="G250" s="178"/>
      <c r="H250" s="178"/>
      <c r="I250" s="178"/>
      <c r="J250" s="178"/>
      <c r="K250" s="178"/>
    </row>
    <row r="251" spans="1:11" x14ac:dyDescent="0.3">
      <c r="A251" s="11" t="s">
        <v>292</v>
      </c>
      <c r="B251" s="11" t="s">
        <v>35</v>
      </c>
      <c r="C251" s="12">
        <v>39422</v>
      </c>
      <c r="D251" s="13">
        <v>9.17</v>
      </c>
      <c r="E251" s="13">
        <v>8.6300000000000008</v>
      </c>
      <c r="F251" s="178">
        <v>2007</v>
      </c>
      <c r="G251" s="178"/>
      <c r="H251" s="178"/>
      <c r="I251" s="178"/>
      <c r="J251" s="178"/>
      <c r="K251" s="178"/>
    </row>
    <row r="252" spans="1:11" s="3" customFormat="1" x14ac:dyDescent="0.3">
      <c r="A252" s="15" t="s">
        <v>293</v>
      </c>
      <c r="B252" s="15" t="s">
        <v>35</v>
      </c>
      <c r="C252" s="16">
        <v>39457</v>
      </c>
      <c r="D252" s="17">
        <v>5.0199999999999996</v>
      </c>
      <c r="E252" s="17">
        <v>4.6399999999999997</v>
      </c>
      <c r="F252" s="179">
        <v>2008</v>
      </c>
      <c r="G252" s="179"/>
      <c r="H252" s="179"/>
      <c r="I252" s="179"/>
      <c r="J252" s="179"/>
      <c r="K252" s="179"/>
    </row>
    <row r="253" spans="1:11" x14ac:dyDescent="0.3">
      <c r="A253" s="11" t="s">
        <v>294</v>
      </c>
      <c r="B253" s="11" t="s">
        <v>35</v>
      </c>
      <c r="C253" s="12">
        <v>39484</v>
      </c>
      <c r="D253" s="13">
        <v>3.09</v>
      </c>
      <c r="E253" s="13">
        <v>3.11</v>
      </c>
      <c r="F253" s="178">
        <v>2008</v>
      </c>
      <c r="G253" s="178"/>
      <c r="H253" s="178"/>
      <c r="I253" s="178"/>
      <c r="J253" s="178"/>
      <c r="K253" s="178"/>
    </row>
    <row r="254" spans="1:11" x14ac:dyDescent="0.3">
      <c r="A254" s="11" t="s">
        <v>295</v>
      </c>
      <c r="B254" s="11" t="s">
        <v>35</v>
      </c>
      <c r="C254" s="12">
        <v>39500</v>
      </c>
      <c r="D254" s="13">
        <v>2.88</v>
      </c>
      <c r="E254" s="13">
        <v>2.76</v>
      </c>
      <c r="F254" s="178">
        <v>2008</v>
      </c>
      <c r="G254" s="178"/>
      <c r="H254" s="178"/>
      <c r="I254" s="178"/>
      <c r="J254" s="178"/>
      <c r="K254" s="178"/>
    </row>
    <row r="255" spans="1:11" x14ac:dyDescent="0.3">
      <c r="A255" s="11" t="s">
        <v>296</v>
      </c>
      <c r="B255" s="11" t="s">
        <v>35</v>
      </c>
      <c r="C255" s="12">
        <v>39510</v>
      </c>
      <c r="D255" s="13">
        <v>2.7</v>
      </c>
      <c r="E255" s="13">
        <v>2.74</v>
      </c>
      <c r="F255" s="178">
        <v>2008</v>
      </c>
      <c r="G255" s="178"/>
      <c r="H255" s="178"/>
      <c r="I255" s="178"/>
      <c r="J255" s="178"/>
      <c r="K255" s="178"/>
    </row>
    <row r="256" spans="1:11" x14ac:dyDescent="0.3">
      <c r="A256" s="11" t="s">
        <v>297</v>
      </c>
      <c r="B256" s="11" t="s">
        <v>35</v>
      </c>
      <c r="C256" s="12">
        <v>39525</v>
      </c>
      <c r="D256" s="13">
        <v>3.76</v>
      </c>
      <c r="E256" s="13">
        <v>4.1500000000000004</v>
      </c>
      <c r="F256" s="178">
        <v>2008</v>
      </c>
      <c r="G256" s="178"/>
      <c r="H256" s="178"/>
      <c r="I256" s="178"/>
      <c r="J256" s="178"/>
      <c r="K256" s="178"/>
    </row>
    <row r="257" spans="1:11" x14ac:dyDescent="0.3">
      <c r="A257" s="11" t="s">
        <v>298</v>
      </c>
      <c r="B257" s="11" t="s">
        <v>35</v>
      </c>
      <c r="C257" s="12">
        <v>39546</v>
      </c>
      <c r="D257" s="13">
        <v>5.53</v>
      </c>
      <c r="E257" s="13">
        <v>5.82</v>
      </c>
      <c r="F257" s="178">
        <v>2008</v>
      </c>
      <c r="G257" s="178"/>
      <c r="H257" s="178"/>
      <c r="I257" s="178"/>
      <c r="J257" s="178"/>
      <c r="K257" s="178"/>
    </row>
    <row r="258" spans="1:11" x14ac:dyDescent="0.3">
      <c r="A258" s="11" t="s">
        <v>299</v>
      </c>
      <c r="B258" s="11" t="s">
        <v>35</v>
      </c>
      <c r="C258" s="12">
        <v>39575</v>
      </c>
      <c r="D258" s="13">
        <v>9.7799999999999994</v>
      </c>
      <c r="E258" s="13">
        <v>11.59</v>
      </c>
      <c r="F258" s="178">
        <v>2008</v>
      </c>
      <c r="G258" s="178"/>
      <c r="H258" s="178"/>
      <c r="I258" s="178"/>
      <c r="J258" s="178"/>
      <c r="K258" s="178"/>
    </row>
    <row r="259" spans="1:11" x14ac:dyDescent="0.3">
      <c r="A259" s="11" t="s">
        <v>300</v>
      </c>
      <c r="B259" s="11" t="s">
        <v>35</v>
      </c>
      <c r="C259" s="12">
        <v>39602</v>
      </c>
      <c r="D259" s="13">
        <v>11.28</v>
      </c>
      <c r="E259" s="13">
        <v>13.67</v>
      </c>
      <c r="F259" s="178">
        <v>2008</v>
      </c>
      <c r="G259" s="178"/>
      <c r="H259" s="178"/>
      <c r="I259" s="178"/>
      <c r="J259" s="178"/>
      <c r="K259" s="178"/>
    </row>
    <row r="260" spans="1:11" x14ac:dyDescent="0.3">
      <c r="A260" s="11" t="s">
        <v>301</v>
      </c>
      <c r="B260" s="11" t="s">
        <v>35</v>
      </c>
      <c r="C260" s="12">
        <v>39616</v>
      </c>
      <c r="D260" s="13">
        <v>12.69</v>
      </c>
      <c r="E260" s="13">
        <v>16.46</v>
      </c>
      <c r="F260" s="178">
        <v>2008</v>
      </c>
      <c r="G260" s="178"/>
      <c r="H260" s="178"/>
      <c r="I260" s="178"/>
      <c r="J260" s="178"/>
      <c r="K260" s="178"/>
    </row>
    <row r="261" spans="1:11" x14ac:dyDescent="0.3">
      <c r="A261" s="11" t="s">
        <v>302</v>
      </c>
      <c r="B261" s="11" t="s">
        <v>35</v>
      </c>
      <c r="C261" s="12">
        <v>39632</v>
      </c>
      <c r="D261" s="13">
        <v>14.42</v>
      </c>
      <c r="E261" s="13">
        <v>18.03</v>
      </c>
      <c r="F261" s="178">
        <v>2008</v>
      </c>
      <c r="G261" s="178"/>
      <c r="H261" s="178"/>
      <c r="I261" s="178"/>
      <c r="J261" s="178"/>
      <c r="K261" s="178"/>
    </row>
    <row r="262" spans="1:11" x14ac:dyDescent="0.3">
      <c r="A262" s="11" t="s">
        <v>303</v>
      </c>
      <c r="B262" s="11" t="s">
        <v>35</v>
      </c>
      <c r="C262" s="12">
        <v>39651</v>
      </c>
      <c r="D262" s="13">
        <v>16.940000000000001</v>
      </c>
      <c r="E262" s="13">
        <v>22.12</v>
      </c>
      <c r="F262" s="178">
        <v>2008</v>
      </c>
      <c r="G262" s="178"/>
      <c r="H262" s="178"/>
      <c r="I262" s="178"/>
      <c r="J262" s="178"/>
      <c r="K262" s="178"/>
    </row>
    <row r="263" spans="1:11" x14ac:dyDescent="0.3">
      <c r="A263" s="11" t="s">
        <v>304</v>
      </c>
      <c r="B263" s="11" t="s">
        <v>35</v>
      </c>
      <c r="C263" s="12">
        <v>39665</v>
      </c>
      <c r="D263" s="13">
        <v>19.09</v>
      </c>
      <c r="E263" s="13">
        <v>22.18</v>
      </c>
      <c r="F263" s="178">
        <v>2008</v>
      </c>
      <c r="G263" s="178"/>
      <c r="H263" s="178"/>
      <c r="I263" s="178"/>
      <c r="J263" s="178"/>
      <c r="K263" s="178"/>
    </row>
    <row r="264" spans="1:11" x14ac:dyDescent="0.3">
      <c r="A264" s="11" t="s">
        <v>305</v>
      </c>
      <c r="B264" s="11" t="s">
        <v>35</v>
      </c>
      <c r="C264" s="12">
        <v>39680</v>
      </c>
      <c r="D264" s="13">
        <v>20.61</v>
      </c>
      <c r="E264" s="13">
        <v>21.81</v>
      </c>
      <c r="F264" s="178">
        <v>2008</v>
      </c>
      <c r="G264" s="178"/>
      <c r="H264" s="178"/>
      <c r="I264" s="178"/>
      <c r="J264" s="178"/>
      <c r="K264" s="178"/>
    </row>
    <row r="265" spans="1:11" x14ac:dyDescent="0.3">
      <c r="A265" s="11" t="s">
        <v>306</v>
      </c>
      <c r="B265" s="11" t="s">
        <v>35</v>
      </c>
      <c r="C265" s="12">
        <v>39694</v>
      </c>
      <c r="D265" s="13">
        <v>21.62</v>
      </c>
      <c r="E265" s="13">
        <v>22.38</v>
      </c>
      <c r="F265" s="178">
        <v>2008</v>
      </c>
      <c r="G265" s="178"/>
      <c r="H265" s="178"/>
      <c r="I265" s="178"/>
      <c r="J265" s="178"/>
      <c r="K265" s="178"/>
    </row>
    <row r="266" spans="1:11" x14ac:dyDescent="0.3">
      <c r="A266" s="11" t="s">
        <v>307</v>
      </c>
      <c r="B266" s="11" t="s">
        <v>35</v>
      </c>
      <c r="C266" s="12">
        <v>39707</v>
      </c>
      <c r="D266" s="13">
        <v>21.25</v>
      </c>
      <c r="E266" s="13">
        <v>22.03</v>
      </c>
      <c r="F266" s="178">
        <v>2008</v>
      </c>
      <c r="G266" s="178"/>
      <c r="H266" s="178"/>
      <c r="I266" s="178"/>
      <c r="J266" s="178"/>
      <c r="K266" s="178"/>
    </row>
    <row r="267" spans="1:11" x14ac:dyDescent="0.3">
      <c r="A267" s="11" t="s">
        <v>308</v>
      </c>
      <c r="B267" s="11" t="s">
        <v>35</v>
      </c>
      <c r="C267" s="12">
        <v>39728</v>
      </c>
      <c r="D267" s="13">
        <v>19.39</v>
      </c>
      <c r="E267" s="13">
        <v>19.38</v>
      </c>
      <c r="F267" s="178">
        <v>2008</v>
      </c>
      <c r="G267" s="178"/>
      <c r="H267" s="178"/>
      <c r="I267" s="178"/>
      <c r="J267" s="178"/>
      <c r="K267" s="178"/>
    </row>
    <row r="268" spans="1:11" x14ac:dyDescent="0.3">
      <c r="A268" s="11" t="s">
        <v>309</v>
      </c>
      <c r="B268" s="11" t="s">
        <v>35</v>
      </c>
      <c r="C268" s="12">
        <v>39759</v>
      </c>
      <c r="D268" s="13">
        <v>14.37</v>
      </c>
      <c r="E268" s="13">
        <v>14.02</v>
      </c>
      <c r="F268" s="178">
        <v>2008</v>
      </c>
      <c r="G268" s="178"/>
      <c r="H268" s="178"/>
      <c r="I268" s="178"/>
      <c r="J268" s="178"/>
      <c r="K268" s="178"/>
    </row>
    <row r="269" spans="1:11" x14ac:dyDescent="0.3">
      <c r="A269" s="11" t="s">
        <v>310</v>
      </c>
      <c r="B269" s="11" t="s">
        <v>35</v>
      </c>
      <c r="C269" s="12">
        <v>39799</v>
      </c>
      <c r="D269" s="13">
        <v>7.03</v>
      </c>
      <c r="E269" s="13">
        <v>7</v>
      </c>
      <c r="F269" s="178">
        <v>2008</v>
      </c>
      <c r="G269" s="178"/>
      <c r="H269" s="178"/>
      <c r="I269" s="178"/>
      <c r="J269" s="178"/>
      <c r="K269" s="178"/>
    </row>
    <row r="270" spans="1:11" s="3" customFormat="1" x14ac:dyDescent="0.3">
      <c r="A270" s="15" t="s">
        <v>311</v>
      </c>
      <c r="B270" s="15" t="s">
        <v>35</v>
      </c>
      <c r="C270" s="16">
        <v>39825</v>
      </c>
      <c r="D270" s="17">
        <v>3.13</v>
      </c>
      <c r="E270" s="17">
        <v>2.95</v>
      </c>
      <c r="F270" s="179">
        <v>2009</v>
      </c>
      <c r="G270" s="179"/>
      <c r="H270" s="179"/>
      <c r="I270" s="179"/>
      <c r="J270" s="179"/>
      <c r="K270" s="179"/>
    </row>
    <row r="271" spans="1:11" x14ac:dyDescent="0.3">
      <c r="A271" s="11" t="s">
        <v>312</v>
      </c>
      <c r="B271" s="11" t="s">
        <v>35</v>
      </c>
      <c r="C271" s="12">
        <v>39848</v>
      </c>
      <c r="D271" s="13">
        <v>0.95</v>
      </c>
      <c r="E271" s="13">
        <v>0.72</v>
      </c>
      <c r="F271" s="178">
        <v>2009</v>
      </c>
      <c r="G271" s="178"/>
      <c r="H271" s="178"/>
      <c r="I271" s="178"/>
      <c r="J271" s="178"/>
      <c r="K271" s="178"/>
    </row>
    <row r="272" spans="1:11" x14ac:dyDescent="0.3">
      <c r="A272" s="11" t="s">
        <v>313</v>
      </c>
      <c r="B272" s="11" t="s">
        <v>35</v>
      </c>
      <c r="C272" s="12">
        <v>39861</v>
      </c>
      <c r="D272" s="13">
        <v>1.38</v>
      </c>
      <c r="E272" s="13">
        <v>1.73</v>
      </c>
      <c r="F272" s="178">
        <v>2009</v>
      </c>
      <c r="G272" s="178"/>
      <c r="H272" s="178"/>
      <c r="I272" s="178"/>
      <c r="J272" s="178"/>
      <c r="K272" s="178"/>
    </row>
    <row r="273" spans="1:11" x14ac:dyDescent="0.3">
      <c r="A273" s="11" t="s">
        <v>314</v>
      </c>
      <c r="B273" s="11" t="s">
        <v>35</v>
      </c>
      <c r="C273" s="12">
        <v>39877</v>
      </c>
      <c r="D273" s="13">
        <v>1.3</v>
      </c>
      <c r="E273" s="13">
        <v>1.68</v>
      </c>
      <c r="F273" s="178">
        <v>2009</v>
      </c>
      <c r="G273" s="178"/>
      <c r="H273" s="178"/>
      <c r="I273" s="178"/>
      <c r="J273" s="178"/>
      <c r="K273" s="178"/>
    </row>
    <row r="274" spans="1:11" x14ac:dyDescent="0.3">
      <c r="A274" s="11" t="s">
        <v>315</v>
      </c>
      <c r="B274" s="11" t="s">
        <v>35</v>
      </c>
      <c r="C274" s="12">
        <v>39888</v>
      </c>
      <c r="D274" s="14"/>
      <c r="E274" s="14"/>
      <c r="F274" s="14">
        <v>2009</v>
      </c>
      <c r="G274" s="14"/>
      <c r="H274" s="14"/>
      <c r="I274" s="14"/>
      <c r="J274" s="14"/>
      <c r="K274" s="14"/>
    </row>
    <row r="275" spans="1:11" x14ac:dyDescent="0.3">
      <c r="A275" s="11" t="s">
        <v>316</v>
      </c>
      <c r="B275" s="11" t="s">
        <v>35</v>
      </c>
      <c r="C275" s="12">
        <v>39904</v>
      </c>
      <c r="D275" s="13">
        <v>3.67</v>
      </c>
      <c r="E275" s="13">
        <v>4.57</v>
      </c>
      <c r="F275" s="178">
        <v>2009</v>
      </c>
      <c r="G275" s="178"/>
      <c r="H275" s="178"/>
      <c r="I275" s="178"/>
      <c r="J275" s="178"/>
      <c r="K275" s="178"/>
    </row>
    <row r="276" spans="1:11" x14ac:dyDescent="0.3">
      <c r="A276" s="11" t="s">
        <v>317</v>
      </c>
      <c r="B276" s="11" t="s">
        <v>35</v>
      </c>
      <c r="C276" s="12">
        <v>39937</v>
      </c>
      <c r="D276" s="13">
        <v>7.64</v>
      </c>
      <c r="E276" s="13">
        <v>11.2</v>
      </c>
      <c r="F276" s="178">
        <v>2009</v>
      </c>
      <c r="G276" s="178"/>
      <c r="H276" s="178"/>
      <c r="I276" s="178"/>
      <c r="J276" s="178"/>
      <c r="K276" s="178"/>
    </row>
    <row r="277" spans="1:11" x14ac:dyDescent="0.3">
      <c r="A277" s="11" t="s">
        <v>318</v>
      </c>
      <c r="B277" s="11" t="s">
        <v>35</v>
      </c>
      <c r="C277" s="12">
        <v>39973</v>
      </c>
      <c r="D277" s="13">
        <v>11.8</v>
      </c>
      <c r="E277" s="13">
        <v>15.95</v>
      </c>
      <c r="F277" s="178">
        <v>2009</v>
      </c>
      <c r="G277" s="178"/>
      <c r="H277" s="178"/>
      <c r="I277" s="178"/>
      <c r="J277" s="178"/>
      <c r="K277" s="178"/>
    </row>
    <row r="278" spans="1:11" x14ac:dyDescent="0.3">
      <c r="A278" s="11" t="s">
        <v>319</v>
      </c>
      <c r="B278" s="11" t="s">
        <v>35</v>
      </c>
      <c r="C278" s="12">
        <v>39987</v>
      </c>
      <c r="D278" s="13">
        <v>13.02</v>
      </c>
      <c r="E278" s="13">
        <v>17.72</v>
      </c>
      <c r="F278" s="178">
        <v>2009</v>
      </c>
      <c r="G278" s="178"/>
      <c r="H278" s="178"/>
      <c r="I278" s="178"/>
      <c r="J278" s="178"/>
      <c r="K278" s="178"/>
    </row>
    <row r="279" spans="1:11" x14ac:dyDescent="0.3">
      <c r="A279" s="11" t="s">
        <v>320</v>
      </c>
      <c r="B279" s="11" t="s">
        <v>35</v>
      </c>
      <c r="C279" s="12">
        <v>40002</v>
      </c>
      <c r="D279" s="13">
        <v>14.98</v>
      </c>
      <c r="E279" s="13">
        <v>19.61</v>
      </c>
      <c r="F279" s="178">
        <v>2009</v>
      </c>
      <c r="G279" s="178"/>
      <c r="H279" s="178"/>
      <c r="I279" s="178"/>
      <c r="J279" s="178"/>
      <c r="K279" s="178"/>
    </row>
    <row r="280" spans="1:11" x14ac:dyDescent="0.3">
      <c r="A280" s="11" t="s">
        <v>321</v>
      </c>
      <c r="B280" s="11" t="s">
        <v>35</v>
      </c>
      <c r="C280" s="12">
        <v>40016</v>
      </c>
      <c r="D280" s="13">
        <v>16.68</v>
      </c>
      <c r="E280" s="13">
        <v>18.91</v>
      </c>
      <c r="F280" s="178">
        <v>2009</v>
      </c>
      <c r="G280" s="178"/>
      <c r="H280" s="178"/>
      <c r="I280" s="178"/>
      <c r="J280" s="178"/>
      <c r="K280" s="178"/>
    </row>
    <row r="281" spans="1:11" x14ac:dyDescent="0.3">
      <c r="A281" s="11" t="s">
        <v>322</v>
      </c>
      <c r="B281" s="11" t="s">
        <v>35</v>
      </c>
      <c r="C281" s="12">
        <v>40030</v>
      </c>
      <c r="D281" s="13">
        <v>18.440000000000001</v>
      </c>
      <c r="E281" s="13">
        <v>23.78</v>
      </c>
      <c r="F281" s="178">
        <v>2009</v>
      </c>
      <c r="G281" s="178"/>
      <c r="H281" s="178"/>
      <c r="I281" s="178"/>
      <c r="J281" s="178"/>
      <c r="K281" s="178"/>
    </row>
    <row r="282" spans="1:11" x14ac:dyDescent="0.3">
      <c r="A282" s="11" t="s">
        <v>323</v>
      </c>
      <c r="B282" s="11" t="s">
        <v>35</v>
      </c>
      <c r="C282" s="12">
        <v>40043</v>
      </c>
      <c r="D282" s="13">
        <v>19.21</v>
      </c>
      <c r="E282" s="13">
        <v>22.34</v>
      </c>
      <c r="F282" s="178">
        <v>2009</v>
      </c>
      <c r="G282" s="178"/>
      <c r="H282" s="178"/>
      <c r="I282" s="178"/>
      <c r="J282" s="178"/>
      <c r="K282" s="178"/>
    </row>
    <row r="283" spans="1:11" x14ac:dyDescent="0.3">
      <c r="A283" s="11" t="s">
        <v>324</v>
      </c>
      <c r="B283" s="11" t="s">
        <v>35</v>
      </c>
      <c r="C283" s="12">
        <v>40058</v>
      </c>
      <c r="D283" s="13">
        <v>20.79</v>
      </c>
      <c r="E283" s="13">
        <v>22.19</v>
      </c>
      <c r="F283" s="178">
        <v>2009</v>
      </c>
      <c r="G283" s="178"/>
      <c r="H283" s="178"/>
      <c r="I283" s="178"/>
      <c r="J283" s="178"/>
      <c r="K283" s="178"/>
    </row>
    <row r="284" spans="1:11" x14ac:dyDescent="0.3">
      <c r="A284" s="11" t="s">
        <v>325</v>
      </c>
      <c r="B284" s="11" t="s">
        <v>35</v>
      </c>
      <c r="C284" s="12">
        <v>40092</v>
      </c>
      <c r="D284" s="13">
        <v>19.11</v>
      </c>
      <c r="E284" s="13">
        <v>18.71</v>
      </c>
      <c r="F284" s="178">
        <v>2009</v>
      </c>
      <c r="G284" s="178"/>
      <c r="H284" s="178"/>
      <c r="I284" s="178"/>
      <c r="J284" s="178"/>
      <c r="K284" s="178"/>
    </row>
    <row r="285" spans="1:11" x14ac:dyDescent="0.3">
      <c r="A285" s="11" t="s">
        <v>326</v>
      </c>
      <c r="B285" s="11" t="s">
        <v>35</v>
      </c>
      <c r="C285" s="12">
        <v>40121</v>
      </c>
      <c r="D285" s="13">
        <v>14.16</v>
      </c>
      <c r="E285" s="13">
        <v>14.15</v>
      </c>
      <c r="F285" s="178">
        <v>2009</v>
      </c>
      <c r="G285" s="178"/>
      <c r="H285" s="178"/>
      <c r="I285" s="178"/>
      <c r="J285" s="178"/>
      <c r="K285" s="178"/>
    </row>
    <row r="286" spans="1:11" x14ac:dyDescent="0.3">
      <c r="A286" s="11" t="s">
        <v>327</v>
      </c>
      <c r="B286" s="11" t="s">
        <v>35</v>
      </c>
      <c r="C286" s="12">
        <v>40149</v>
      </c>
      <c r="D286" s="13">
        <v>11.23</v>
      </c>
      <c r="E286" s="13">
        <v>10.99</v>
      </c>
      <c r="F286" s="178">
        <v>2009</v>
      </c>
      <c r="G286" s="178"/>
      <c r="H286" s="178"/>
      <c r="I286" s="178"/>
      <c r="J286" s="178"/>
      <c r="K286" s="178"/>
    </row>
    <row r="287" spans="1:11" s="3" customFormat="1" x14ac:dyDescent="0.3">
      <c r="A287" s="15" t="s">
        <v>328</v>
      </c>
      <c r="B287" s="15" t="s">
        <v>35</v>
      </c>
      <c r="C287" s="16">
        <v>40190</v>
      </c>
      <c r="D287" s="17">
        <v>2.92</v>
      </c>
      <c r="E287" s="17">
        <v>2.27</v>
      </c>
      <c r="F287" s="179">
        <v>2010</v>
      </c>
      <c r="G287" s="179"/>
      <c r="H287" s="179"/>
      <c r="I287" s="179"/>
      <c r="J287" s="179"/>
      <c r="K287" s="179"/>
    </row>
    <row r="288" spans="1:11" x14ac:dyDescent="0.3">
      <c r="A288" s="11" t="s">
        <v>329</v>
      </c>
      <c r="B288" s="11" t="s">
        <v>35</v>
      </c>
      <c r="C288" s="12">
        <v>40217</v>
      </c>
      <c r="D288" s="13">
        <v>1.38</v>
      </c>
      <c r="E288" s="13">
        <v>1.27</v>
      </c>
      <c r="F288" s="178">
        <v>2010</v>
      </c>
      <c r="G288" s="178"/>
      <c r="H288" s="178"/>
      <c r="I288" s="178"/>
      <c r="J288" s="178"/>
      <c r="K288" s="178"/>
    </row>
    <row r="289" spans="1:11" x14ac:dyDescent="0.3">
      <c r="A289" s="11" t="s">
        <v>330</v>
      </c>
      <c r="B289" s="11" t="s">
        <v>35</v>
      </c>
      <c r="C289" s="12">
        <v>40239</v>
      </c>
      <c r="D289" s="13">
        <v>1.69</v>
      </c>
      <c r="E289" s="13">
        <v>2.2799999999999998</v>
      </c>
      <c r="F289" s="178">
        <v>2010</v>
      </c>
      <c r="G289" s="178"/>
      <c r="H289" s="178"/>
      <c r="I289" s="178"/>
      <c r="J289" s="178"/>
      <c r="K289" s="178"/>
    </row>
    <row r="290" spans="1:11" x14ac:dyDescent="0.3">
      <c r="A290" s="11" t="s">
        <v>331</v>
      </c>
      <c r="B290" s="11" t="s">
        <v>35</v>
      </c>
      <c r="C290" s="12">
        <v>40254</v>
      </c>
      <c r="D290" s="13">
        <v>3.57</v>
      </c>
      <c r="E290" s="13">
        <v>4.3600000000000003</v>
      </c>
      <c r="F290" s="178">
        <v>2010</v>
      </c>
      <c r="G290" s="178"/>
      <c r="H290" s="178"/>
      <c r="I290" s="178"/>
      <c r="J290" s="178"/>
      <c r="K290" s="178"/>
    </row>
    <row r="291" spans="1:11" x14ac:dyDescent="0.3">
      <c r="A291" s="11" t="s">
        <v>332</v>
      </c>
      <c r="B291" s="11" t="s">
        <v>35</v>
      </c>
      <c r="C291" s="12">
        <v>40268</v>
      </c>
      <c r="D291" s="13">
        <v>4.93</v>
      </c>
      <c r="E291" s="13">
        <v>5.8</v>
      </c>
      <c r="F291" s="178">
        <v>2010</v>
      </c>
      <c r="G291" s="178"/>
      <c r="H291" s="178"/>
      <c r="I291" s="178"/>
      <c r="J291" s="178"/>
      <c r="K291" s="178"/>
    </row>
    <row r="292" spans="1:11" x14ac:dyDescent="0.3">
      <c r="A292" s="11" t="s">
        <v>333</v>
      </c>
      <c r="B292" s="11" t="s">
        <v>35</v>
      </c>
      <c r="C292" s="12">
        <v>40302</v>
      </c>
      <c r="D292" s="13">
        <v>8.06</v>
      </c>
      <c r="E292" s="13">
        <v>11.84</v>
      </c>
      <c r="F292" s="178">
        <v>2010</v>
      </c>
      <c r="G292" s="178"/>
      <c r="H292" s="178"/>
      <c r="I292" s="178"/>
      <c r="J292" s="178"/>
      <c r="K292" s="178"/>
    </row>
    <row r="293" spans="1:11" x14ac:dyDescent="0.3">
      <c r="A293" s="11" t="s">
        <v>334</v>
      </c>
      <c r="B293" s="11" t="s">
        <v>35</v>
      </c>
      <c r="C293" s="12">
        <v>40325</v>
      </c>
      <c r="D293" s="13">
        <v>10.65</v>
      </c>
      <c r="E293" s="13">
        <v>14.36</v>
      </c>
      <c r="F293" s="178">
        <v>2010</v>
      </c>
      <c r="G293" s="178"/>
      <c r="H293" s="178"/>
      <c r="I293" s="178"/>
      <c r="J293" s="178"/>
      <c r="K293" s="178"/>
    </row>
    <row r="294" spans="1:11" x14ac:dyDescent="0.3">
      <c r="A294" s="11" t="s">
        <v>335</v>
      </c>
      <c r="B294" s="11" t="s">
        <v>35</v>
      </c>
      <c r="C294" s="12">
        <v>40347</v>
      </c>
      <c r="D294" s="13">
        <v>13.81</v>
      </c>
      <c r="E294" s="13">
        <v>16.79</v>
      </c>
      <c r="F294" s="178">
        <v>2010</v>
      </c>
      <c r="G294" s="178"/>
      <c r="H294" s="178"/>
      <c r="I294" s="178"/>
      <c r="J294" s="178"/>
      <c r="K294" s="178"/>
    </row>
    <row r="295" spans="1:11" x14ac:dyDescent="0.3">
      <c r="A295" s="11" t="s">
        <v>336</v>
      </c>
      <c r="B295" s="11" t="s">
        <v>35</v>
      </c>
      <c r="C295" s="12">
        <v>40367</v>
      </c>
      <c r="D295" s="13">
        <v>16.010000000000002</v>
      </c>
      <c r="E295" s="13">
        <v>21.91</v>
      </c>
      <c r="F295" s="178">
        <v>2010</v>
      </c>
      <c r="G295" s="178"/>
      <c r="H295" s="178"/>
      <c r="I295" s="178"/>
      <c r="J295" s="178"/>
      <c r="K295" s="178"/>
    </row>
    <row r="296" spans="1:11" x14ac:dyDescent="0.3">
      <c r="A296" s="11" t="s">
        <v>337</v>
      </c>
      <c r="B296" s="11" t="s">
        <v>35</v>
      </c>
      <c r="C296" s="12">
        <v>40382</v>
      </c>
      <c r="D296" s="13">
        <v>18.899999999999999</v>
      </c>
      <c r="E296" s="13">
        <v>23.05</v>
      </c>
      <c r="F296" s="178">
        <v>2010</v>
      </c>
      <c r="G296" s="178"/>
      <c r="H296" s="178"/>
      <c r="I296" s="178"/>
      <c r="J296" s="178"/>
      <c r="K296" s="178"/>
    </row>
    <row r="297" spans="1:11" x14ac:dyDescent="0.3">
      <c r="A297" s="11" t="s">
        <v>338</v>
      </c>
      <c r="B297" s="11" t="s">
        <v>35</v>
      </c>
      <c r="C297" s="12">
        <v>40393</v>
      </c>
      <c r="D297" s="13">
        <v>20.079999999999998</v>
      </c>
      <c r="E297" s="13">
        <v>23.44</v>
      </c>
      <c r="F297" s="178">
        <v>2010</v>
      </c>
      <c r="G297" s="178"/>
      <c r="H297" s="178"/>
      <c r="I297" s="178"/>
      <c r="J297" s="178"/>
      <c r="K297" s="178"/>
    </row>
    <row r="298" spans="1:11" x14ac:dyDescent="0.3">
      <c r="A298" s="11" t="s">
        <v>339</v>
      </c>
      <c r="B298" s="11" t="s">
        <v>35</v>
      </c>
      <c r="C298" s="12">
        <v>40407</v>
      </c>
      <c r="D298" s="13">
        <v>21.61</v>
      </c>
      <c r="E298" s="13">
        <v>23.85</v>
      </c>
      <c r="F298" s="178">
        <v>2010</v>
      </c>
      <c r="G298" s="178"/>
      <c r="H298" s="178"/>
      <c r="I298" s="178"/>
      <c r="J298" s="178"/>
      <c r="K298" s="178"/>
    </row>
    <row r="299" spans="1:11" x14ac:dyDescent="0.3">
      <c r="A299" s="11" t="s">
        <v>340</v>
      </c>
      <c r="B299" s="11" t="s">
        <v>35</v>
      </c>
      <c r="C299" s="12">
        <v>40421</v>
      </c>
      <c r="D299" s="13">
        <v>22.18</v>
      </c>
      <c r="E299" s="13">
        <v>23.51</v>
      </c>
      <c r="F299" s="178">
        <v>2010</v>
      </c>
      <c r="G299" s="178"/>
      <c r="H299" s="178"/>
      <c r="I299" s="178"/>
      <c r="J299" s="178"/>
      <c r="K299" s="178"/>
    </row>
    <row r="300" spans="1:11" x14ac:dyDescent="0.3">
      <c r="A300" s="11" t="s">
        <v>341</v>
      </c>
      <c r="B300" s="11" t="s">
        <v>35</v>
      </c>
      <c r="C300" s="12">
        <v>40463</v>
      </c>
      <c r="D300" s="13">
        <v>19.03</v>
      </c>
      <c r="E300" s="13">
        <v>18.809999999999999</v>
      </c>
      <c r="F300" s="178">
        <v>2010</v>
      </c>
      <c r="G300" s="178"/>
      <c r="H300" s="178"/>
      <c r="I300" s="178"/>
      <c r="J300" s="178"/>
      <c r="K300" s="178"/>
    </row>
    <row r="301" spans="1:11" x14ac:dyDescent="0.3">
      <c r="A301" s="11" t="s">
        <v>342</v>
      </c>
      <c r="B301" s="11" t="s">
        <v>35</v>
      </c>
      <c r="C301" s="12">
        <v>40483</v>
      </c>
      <c r="D301" s="13">
        <v>15.8</v>
      </c>
      <c r="E301" s="13">
        <v>15.35</v>
      </c>
      <c r="F301" s="178">
        <v>2010</v>
      </c>
      <c r="G301" s="178"/>
      <c r="H301" s="178"/>
      <c r="I301" s="178"/>
      <c r="J301" s="178"/>
      <c r="K301" s="178"/>
    </row>
    <row r="302" spans="1:11" x14ac:dyDescent="0.3">
      <c r="A302" s="11" t="s">
        <v>343</v>
      </c>
      <c r="B302" s="11" t="s">
        <v>35</v>
      </c>
      <c r="C302" s="12">
        <v>40514</v>
      </c>
      <c r="D302" s="13">
        <v>10.49</v>
      </c>
      <c r="E302" s="13">
        <v>10.47</v>
      </c>
      <c r="F302" s="178">
        <v>2010</v>
      </c>
      <c r="G302" s="178"/>
      <c r="H302" s="178"/>
      <c r="I302" s="178"/>
      <c r="J302" s="178"/>
      <c r="K302" s="178"/>
    </row>
    <row r="303" spans="1:11" s="3" customFormat="1" x14ac:dyDescent="0.3">
      <c r="A303" s="15" t="s">
        <v>344</v>
      </c>
      <c r="B303" s="15" t="s">
        <v>35</v>
      </c>
      <c r="C303" s="16">
        <v>40557</v>
      </c>
      <c r="D303" s="17">
        <v>2.2999999999999998</v>
      </c>
      <c r="E303" s="17">
        <v>2.31</v>
      </c>
      <c r="F303" s="179">
        <v>2011</v>
      </c>
      <c r="G303" s="179"/>
      <c r="H303" s="179"/>
      <c r="I303" s="179"/>
      <c r="J303" s="179"/>
      <c r="K303" s="179"/>
    </row>
    <row r="304" spans="1:11" x14ac:dyDescent="0.3">
      <c r="A304" s="11" t="s">
        <v>345</v>
      </c>
      <c r="B304" s="11" t="s">
        <v>35</v>
      </c>
      <c r="C304" s="12">
        <v>40584</v>
      </c>
      <c r="D304" s="13">
        <v>0.7</v>
      </c>
      <c r="E304" s="13">
        <v>0.66</v>
      </c>
      <c r="F304" s="178">
        <v>2011</v>
      </c>
      <c r="G304" s="178"/>
      <c r="H304" s="178"/>
      <c r="I304" s="178"/>
      <c r="J304" s="178"/>
      <c r="K304" s="178"/>
    </row>
    <row r="305" spans="1:11" x14ac:dyDescent="0.3">
      <c r="A305" s="11" t="s">
        <v>346</v>
      </c>
      <c r="B305" s="11" t="s">
        <v>35</v>
      </c>
      <c r="C305" s="12">
        <v>40591</v>
      </c>
      <c r="D305" s="13">
        <v>0.74</v>
      </c>
      <c r="E305" s="13">
        <v>1.1499999999999999</v>
      </c>
      <c r="F305" s="178">
        <v>2011</v>
      </c>
      <c r="G305" s="178"/>
      <c r="H305" s="178"/>
      <c r="I305" s="178"/>
      <c r="J305" s="178"/>
      <c r="K305" s="178"/>
    </row>
    <row r="306" spans="1:11" x14ac:dyDescent="0.3">
      <c r="A306" s="11" t="s">
        <v>347</v>
      </c>
      <c r="B306" s="11" t="s">
        <v>35</v>
      </c>
      <c r="C306" s="12">
        <v>40610</v>
      </c>
      <c r="D306" s="13">
        <v>1.82</v>
      </c>
      <c r="E306" s="14"/>
      <c r="F306" s="14">
        <v>2011</v>
      </c>
      <c r="G306" s="14"/>
      <c r="H306" s="14"/>
      <c r="I306" s="14"/>
      <c r="J306" s="14"/>
      <c r="K306" s="14"/>
    </row>
    <row r="307" spans="1:11" x14ac:dyDescent="0.3">
      <c r="A307" s="11" t="s">
        <v>348</v>
      </c>
      <c r="B307" s="11" t="s">
        <v>35</v>
      </c>
      <c r="C307" s="12">
        <v>40647</v>
      </c>
      <c r="D307" s="13">
        <v>5.54</v>
      </c>
      <c r="E307" s="13">
        <v>6.3</v>
      </c>
      <c r="F307" s="178">
        <v>2011</v>
      </c>
      <c r="G307" s="178"/>
      <c r="H307" s="178"/>
      <c r="I307" s="178"/>
      <c r="J307" s="178"/>
      <c r="K307" s="178"/>
    </row>
    <row r="308" spans="1:11" x14ac:dyDescent="0.3">
      <c r="A308" s="11" t="s">
        <v>349</v>
      </c>
      <c r="B308" s="11" t="s">
        <v>35</v>
      </c>
      <c r="C308" s="12">
        <v>40666</v>
      </c>
      <c r="D308" s="13">
        <v>7.1</v>
      </c>
      <c r="E308" s="13">
        <v>10.11</v>
      </c>
      <c r="F308" s="178">
        <v>2011</v>
      </c>
      <c r="G308" s="178"/>
      <c r="H308" s="178"/>
      <c r="I308" s="178"/>
      <c r="J308" s="178"/>
      <c r="K308" s="178"/>
    </row>
    <row r="309" spans="1:11" x14ac:dyDescent="0.3">
      <c r="A309" s="11" t="s">
        <v>350</v>
      </c>
      <c r="B309" s="11" t="s">
        <v>35</v>
      </c>
      <c r="C309" s="12">
        <v>40695</v>
      </c>
      <c r="D309" s="13">
        <v>10.8</v>
      </c>
      <c r="E309" s="13">
        <v>19.329999999999998</v>
      </c>
      <c r="F309" s="178">
        <v>2011</v>
      </c>
      <c r="G309" s="178"/>
      <c r="H309" s="178"/>
      <c r="I309" s="178"/>
      <c r="J309" s="178"/>
      <c r="K309" s="178"/>
    </row>
    <row r="310" spans="1:11" x14ac:dyDescent="0.3">
      <c r="A310" s="11" t="s">
        <v>351</v>
      </c>
      <c r="B310" s="11" t="s">
        <v>35</v>
      </c>
      <c r="C310" s="12">
        <v>40710</v>
      </c>
      <c r="D310" s="13">
        <v>13.22</v>
      </c>
      <c r="E310" s="13">
        <v>16.670000000000002</v>
      </c>
      <c r="F310" s="178">
        <v>2011</v>
      </c>
      <c r="G310" s="178"/>
      <c r="H310" s="178"/>
      <c r="I310" s="178"/>
      <c r="J310" s="178"/>
      <c r="K310" s="178"/>
    </row>
    <row r="311" spans="1:11" x14ac:dyDescent="0.3">
      <c r="A311" s="11" t="s">
        <v>352</v>
      </c>
      <c r="B311" s="11" t="s">
        <v>35</v>
      </c>
      <c r="C311" s="12">
        <v>40730</v>
      </c>
      <c r="D311" s="13">
        <v>15.23</v>
      </c>
      <c r="E311" s="13">
        <v>20.72</v>
      </c>
      <c r="F311" s="178">
        <v>2011</v>
      </c>
      <c r="G311" s="178"/>
      <c r="H311" s="178"/>
      <c r="I311" s="178"/>
      <c r="J311" s="178"/>
      <c r="K311" s="178"/>
    </row>
    <row r="312" spans="1:11" x14ac:dyDescent="0.3">
      <c r="A312" s="11" t="s">
        <v>353</v>
      </c>
      <c r="B312" s="11" t="s">
        <v>35</v>
      </c>
      <c r="C312" s="12">
        <v>40742</v>
      </c>
      <c r="D312" s="13">
        <v>17.09</v>
      </c>
      <c r="E312" s="13">
        <v>21.41</v>
      </c>
      <c r="F312" s="178">
        <v>2011</v>
      </c>
      <c r="G312" s="178"/>
      <c r="H312" s="178"/>
      <c r="I312" s="178"/>
      <c r="J312" s="178"/>
      <c r="K312" s="178"/>
    </row>
    <row r="313" spans="1:11" x14ac:dyDescent="0.3">
      <c r="A313" s="11" t="s">
        <v>354</v>
      </c>
      <c r="B313" s="11" t="s">
        <v>35</v>
      </c>
      <c r="C313" s="12">
        <v>40758</v>
      </c>
      <c r="D313" s="13">
        <v>20.170000000000002</v>
      </c>
      <c r="E313" s="13">
        <v>21.8</v>
      </c>
      <c r="F313" s="178">
        <v>2011</v>
      </c>
      <c r="G313" s="178"/>
      <c r="H313" s="178"/>
      <c r="I313" s="178"/>
      <c r="J313" s="178"/>
      <c r="K313" s="178"/>
    </row>
    <row r="314" spans="1:11" x14ac:dyDescent="0.3">
      <c r="A314" s="11" t="s">
        <v>355</v>
      </c>
      <c r="B314" s="11" t="s">
        <v>35</v>
      </c>
      <c r="C314" s="12">
        <v>40770</v>
      </c>
      <c r="D314" s="13">
        <v>20.81</v>
      </c>
      <c r="E314" s="13">
        <v>22.06</v>
      </c>
      <c r="F314" s="178">
        <v>2011</v>
      </c>
      <c r="G314" s="178"/>
      <c r="H314" s="178"/>
      <c r="I314" s="178"/>
      <c r="J314" s="178"/>
      <c r="K314" s="178"/>
    </row>
    <row r="315" spans="1:11" x14ac:dyDescent="0.3">
      <c r="A315" s="11" t="s">
        <v>356</v>
      </c>
      <c r="B315" s="11" t="s">
        <v>35</v>
      </c>
      <c r="C315" s="12">
        <v>40786</v>
      </c>
      <c r="D315" s="14"/>
      <c r="E315" s="14"/>
      <c r="F315" s="14">
        <v>2011</v>
      </c>
      <c r="G315" s="14"/>
      <c r="H315" s="14"/>
      <c r="I315" s="14"/>
      <c r="J315" s="14"/>
      <c r="K315" s="14"/>
    </row>
    <row r="316" spans="1:11" x14ac:dyDescent="0.3">
      <c r="A316" s="11" t="s">
        <v>357</v>
      </c>
      <c r="B316" s="11" t="s">
        <v>35</v>
      </c>
      <c r="C316" s="12">
        <v>40822</v>
      </c>
      <c r="D316" s="13">
        <v>20.8</v>
      </c>
      <c r="E316" s="13">
        <v>20.420000000000002</v>
      </c>
      <c r="F316" s="178">
        <v>2011</v>
      </c>
      <c r="G316" s="178"/>
      <c r="H316" s="178"/>
      <c r="I316" s="178"/>
      <c r="J316" s="178"/>
      <c r="K316" s="178"/>
    </row>
    <row r="317" spans="1:11" x14ac:dyDescent="0.3">
      <c r="A317" s="11" t="s">
        <v>358</v>
      </c>
      <c r="B317" s="11" t="s">
        <v>35</v>
      </c>
      <c r="C317" s="12">
        <v>40856</v>
      </c>
      <c r="D317" s="13">
        <v>14.47</v>
      </c>
      <c r="E317" s="13">
        <v>13.97</v>
      </c>
      <c r="F317" s="178">
        <v>2011</v>
      </c>
      <c r="G317" s="178"/>
      <c r="H317" s="178"/>
      <c r="I317" s="178"/>
      <c r="J317" s="178"/>
      <c r="K317" s="178"/>
    </row>
    <row r="318" spans="1:11" x14ac:dyDescent="0.3">
      <c r="A318" s="11" t="s">
        <v>359</v>
      </c>
      <c r="B318" s="11" t="s">
        <v>35</v>
      </c>
      <c r="C318" s="12">
        <v>40876</v>
      </c>
      <c r="D318" s="13">
        <v>12.03</v>
      </c>
      <c r="E318" s="13">
        <v>11.8</v>
      </c>
      <c r="F318" s="178">
        <v>2011</v>
      </c>
      <c r="G318" s="178"/>
      <c r="H318" s="178"/>
      <c r="I318" s="178"/>
      <c r="J318" s="178"/>
      <c r="K318" s="178"/>
    </row>
    <row r="319" spans="1:11" s="3" customFormat="1" x14ac:dyDescent="0.3">
      <c r="A319" s="15" t="s">
        <v>360</v>
      </c>
      <c r="B319" s="15" t="s">
        <v>35</v>
      </c>
      <c r="C319" s="16">
        <v>40917</v>
      </c>
      <c r="D319" s="17">
        <v>6.96</v>
      </c>
      <c r="E319" s="17">
        <v>6.48</v>
      </c>
      <c r="F319" s="179">
        <v>2012</v>
      </c>
      <c r="G319" s="179"/>
      <c r="H319" s="179"/>
      <c r="I319" s="179"/>
      <c r="J319" s="179"/>
      <c r="K319" s="179"/>
    </row>
    <row r="320" spans="1:11" x14ac:dyDescent="0.3">
      <c r="A320" s="11" t="s">
        <v>361</v>
      </c>
      <c r="B320" s="11" t="s">
        <v>35</v>
      </c>
      <c r="C320" s="12">
        <v>40941</v>
      </c>
      <c r="D320" s="13">
        <v>4.7300000000000004</v>
      </c>
      <c r="E320" s="13">
        <v>4.58</v>
      </c>
      <c r="F320" s="178">
        <v>2012</v>
      </c>
      <c r="G320" s="178"/>
      <c r="H320" s="178"/>
      <c r="I320" s="178"/>
      <c r="J320" s="178"/>
      <c r="K320" s="178"/>
    </row>
    <row r="321" spans="1:11" x14ac:dyDescent="0.3">
      <c r="A321" s="11" t="s">
        <v>362</v>
      </c>
      <c r="B321" s="11" t="s">
        <v>35</v>
      </c>
      <c r="C321" s="12">
        <v>40955</v>
      </c>
      <c r="D321" s="13">
        <v>4.45</v>
      </c>
      <c r="E321" s="13">
        <v>4.1900000000000004</v>
      </c>
      <c r="F321" s="178">
        <v>2012</v>
      </c>
      <c r="G321" s="178"/>
      <c r="H321" s="178"/>
      <c r="I321" s="178"/>
      <c r="J321" s="178"/>
      <c r="K321" s="178"/>
    </row>
    <row r="322" spans="1:11" x14ac:dyDescent="0.3">
      <c r="A322" s="11" t="s">
        <v>363</v>
      </c>
      <c r="B322" s="11" t="s">
        <v>35</v>
      </c>
      <c r="C322" s="12">
        <v>40973</v>
      </c>
      <c r="D322" s="13">
        <v>4.6399999999999997</v>
      </c>
      <c r="E322" s="13">
        <v>4.8099999999999996</v>
      </c>
      <c r="F322" s="178">
        <v>2012</v>
      </c>
      <c r="G322" s="178"/>
      <c r="H322" s="178"/>
      <c r="I322" s="178"/>
      <c r="J322" s="178"/>
      <c r="K322" s="178"/>
    </row>
    <row r="323" spans="1:11" x14ac:dyDescent="0.3">
      <c r="A323" s="11" t="s">
        <v>364</v>
      </c>
      <c r="B323" s="11" t="s">
        <v>35</v>
      </c>
      <c r="C323" s="12">
        <v>40983</v>
      </c>
      <c r="D323" s="13">
        <v>5.23</v>
      </c>
      <c r="E323" s="13">
        <v>6.11</v>
      </c>
      <c r="F323" s="178">
        <v>2012</v>
      </c>
      <c r="G323" s="178"/>
      <c r="H323" s="178"/>
      <c r="I323" s="178"/>
      <c r="J323" s="178"/>
      <c r="K323" s="178"/>
    </row>
    <row r="324" spans="1:11" x14ac:dyDescent="0.3">
      <c r="A324" s="11" t="s">
        <v>365</v>
      </c>
      <c r="B324" s="11" t="s">
        <v>35</v>
      </c>
      <c r="C324" s="12">
        <v>41003</v>
      </c>
      <c r="D324" s="13">
        <v>6.88</v>
      </c>
      <c r="E324" s="13">
        <v>7.77</v>
      </c>
      <c r="F324" s="178">
        <v>2012</v>
      </c>
      <c r="G324" s="178"/>
      <c r="H324" s="178"/>
      <c r="I324" s="178"/>
      <c r="J324" s="178"/>
      <c r="K324" s="178"/>
    </row>
    <row r="325" spans="1:11" x14ac:dyDescent="0.3">
      <c r="A325" s="11" t="s">
        <v>366</v>
      </c>
      <c r="B325" s="11" t="s">
        <v>35</v>
      </c>
      <c r="C325" s="12">
        <v>41031</v>
      </c>
      <c r="D325" s="13">
        <v>9.91</v>
      </c>
      <c r="E325" s="13">
        <v>10.69</v>
      </c>
      <c r="F325" s="178">
        <v>2012</v>
      </c>
      <c r="G325" s="178"/>
      <c r="H325" s="178"/>
      <c r="I325" s="178"/>
      <c r="J325" s="178"/>
      <c r="K325" s="178"/>
    </row>
    <row r="326" spans="1:11" x14ac:dyDescent="0.3">
      <c r="A326" s="11" t="s">
        <v>367</v>
      </c>
      <c r="B326" s="11" t="s">
        <v>35</v>
      </c>
      <c r="C326" s="12">
        <v>41059</v>
      </c>
      <c r="D326" s="13">
        <v>13.18</v>
      </c>
      <c r="E326" s="13">
        <v>19.309999999999999</v>
      </c>
      <c r="F326" s="178">
        <v>2012</v>
      </c>
      <c r="G326" s="178"/>
      <c r="H326" s="178"/>
      <c r="I326" s="178"/>
      <c r="J326" s="178"/>
      <c r="K326" s="178"/>
    </row>
    <row r="327" spans="1:11" x14ac:dyDescent="0.3">
      <c r="A327" s="11" t="s">
        <v>368</v>
      </c>
      <c r="B327" s="11" t="s">
        <v>35</v>
      </c>
      <c r="C327" s="12">
        <v>41072</v>
      </c>
      <c r="D327" s="13">
        <v>14.92</v>
      </c>
      <c r="E327" s="13">
        <v>18.8</v>
      </c>
      <c r="F327" s="178">
        <v>2012</v>
      </c>
      <c r="G327" s="178"/>
      <c r="H327" s="178"/>
      <c r="I327" s="178"/>
      <c r="J327" s="178"/>
      <c r="K327" s="178"/>
    </row>
    <row r="328" spans="1:11" x14ac:dyDescent="0.3">
      <c r="A328" s="11" t="s">
        <v>369</v>
      </c>
      <c r="B328" s="11" t="s">
        <v>35</v>
      </c>
      <c r="C328" s="12">
        <v>41087</v>
      </c>
      <c r="D328" s="13">
        <v>15.5</v>
      </c>
      <c r="E328" s="13">
        <v>19.39</v>
      </c>
      <c r="F328" s="178">
        <v>2012</v>
      </c>
      <c r="G328" s="178"/>
      <c r="H328" s="178"/>
      <c r="I328" s="178"/>
      <c r="J328" s="178"/>
      <c r="K328" s="178"/>
    </row>
    <row r="329" spans="1:11" x14ac:dyDescent="0.3">
      <c r="A329" s="11" t="s">
        <v>370</v>
      </c>
      <c r="B329" s="11" t="s">
        <v>35</v>
      </c>
      <c r="C329" s="12">
        <v>41106</v>
      </c>
      <c r="D329" s="13">
        <v>18.649999999999999</v>
      </c>
      <c r="E329" s="13">
        <v>23.42</v>
      </c>
      <c r="F329" s="178">
        <v>2012</v>
      </c>
      <c r="G329" s="178"/>
      <c r="H329" s="178"/>
      <c r="I329" s="178"/>
      <c r="J329" s="178"/>
      <c r="K329" s="178"/>
    </row>
    <row r="330" spans="1:11" x14ac:dyDescent="0.3">
      <c r="A330" s="11" t="s">
        <v>371</v>
      </c>
      <c r="B330" s="11" t="s">
        <v>35</v>
      </c>
      <c r="C330" s="12">
        <v>41122</v>
      </c>
      <c r="D330" s="13">
        <v>20.89</v>
      </c>
      <c r="E330" s="13">
        <v>22.54</v>
      </c>
      <c r="F330" s="178">
        <v>2012</v>
      </c>
      <c r="G330" s="178"/>
      <c r="H330" s="178"/>
      <c r="I330" s="178"/>
      <c r="J330" s="178"/>
      <c r="K330" s="178"/>
    </row>
    <row r="331" spans="1:11" x14ac:dyDescent="0.3">
      <c r="A331" s="11" t="s">
        <v>372</v>
      </c>
      <c r="B331" s="11" t="s">
        <v>35</v>
      </c>
      <c r="C331" s="12">
        <v>41137</v>
      </c>
      <c r="D331" s="13">
        <v>21.72</v>
      </c>
      <c r="E331" s="13">
        <v>25.02</v>
      </c>
      <c r="F331" s="178">
        <v>2012</v>
      </c>
      <c r="G331" s="178"/>
      <c r="H331" s="178"/>
      <c r="I331" s="178"/>
      <c r="J331" s="178"/>
      <c r="K331" s="178"/>
    </row>
    <row r="332" spans="1:11" x14ac:dyDescent="0.3">
      <c r="A332" s="11" t="s">
        <v>373</v>
      </c>
      <c r="B332" s="11" t="s">
        <v>35</v>
      </c>
      <c r="C332" s="12">
        <v>41150</v>
      </c>
      <c r="D332" s="13">
        <v>22.93</v>
      </c>
      <c r="E332" s="13">
        <v>23.8</v>
      </c>
      <c r="F332" s="178">
        <v>2012</v>
      </c>
      <c r="G332" s="178"/>
      <c r="H332" s="178"/>
      <c r="I332" s="178"/>
      <c r="J332" s="178"/>
      <c r="K332" s="178"/>
    </row>
    <row r="333" spans="1:11" x14ac:dyDescent="0.3">
      <c r="A333" s="11" t="s">
        <v>374</v>
      </c>
      <c r="B333" s="11" t="s">
        <v>35</v>
      </c>
      <c r="C333" s="12">
        <v>41169</v>
      </c>
      <c r="D333" s="13">
        <v>22.92</v>
      </c>
      <c r="E333" s="13">
        <v>23</v>
      </c>
      <c r="F333" s="178">
        <v>2012</v>
      </c>
      <c r="G333" s="178"/>
      <c r="H333" s="178"/>
      <c r="I333" s="178"/>
      <c r="J333" s="178"/>
      <c r="K333" s="178"/>
    </row>
    <row r="334" spans="1:11" x14ac:dyDescent="0.3">
      <c r="A334" s="11" t="s">
        <v>375</v>
      </c>
      <c r="B334" s="11" t="s">
        <v>35</v>
      </c>
      <c r="C334" s="12">
        <v>41185</v>
      </c>
      <c r="D334" s="13">
        <v>21.16</v>
      </c>
      <c r="E334" s="13">
        <v>20.96</v>
      </c>
      <c r="F334" s="178">
        <v>2012</v>
      </c>
      <c r="G334" s="178"/>
      <c r="H334" s="178"/>
      <c r="I334" s="178"/>
      <c r="J334" s="178"/>
      <c r="K334" s="178"/>
    </row>
    <row r="335" spans="1:11" x14ac:dyDescent="0.3">
      <c r="A335" s="11" t="s">
        <v>376</v>
      </c>
      <c r="B335" s="11" t="s">
        <v>35</v>
      </c>
      <c r="C335" s="12">
        <v>41227</v>
      </c>
      <c r="D335" s="13">
        <v>12.87</v>
      </c>
      <c r="E335" s="13">
        <v>12.48</v>
      </c>
      <c r="F335" s="178">
        <v>2012</v>
      </c>
      <c r="G335" s="178"/>
      <c r="H335" s="178"/>
      <c r="I335" s="178"/>
      <c r="J335" s="178"/>
      <c r="K335" s="178"/>
    </row>
    <row r="336" spans="1:11" x14ac:dyDescent="0.3">
      <c r="A336" s="11" t="s">
        <v>377</v>
      </c>
      <c r="B336" s="11" t="s">
        <v>35</v>
      </c>
      <c r="C336" s="12">
        <v>41247</v>
      </c>
      <c r="D336" s="13">
        <v>9.5</v>
      </c>
      <c r="E336" s="13">
        <v>9.4700000000000006</v>
      </c>
      <c r="F336" s="178">
        <v>2012</v>
      </c>
      <c r="G336" s="178"/>
      <c r="H336" s="178"/>
      <c r="I336" s="178"/>
      <c r="J336" s="178"/>
      <c r="K336" s="178"/>
    </row>
    <row r="337" spans="1:11" s="3" customFormat="1" x14ac:dyDescent="0.3">
      <c r="A337" s="15" t="s">
        <v>378</v>
      </c>
      <c r="B337" s="15" t="s">
        <v>35</v>
      </c>
      <c r="C337" s="16">
        <v>41284</v>
      </c>
      <c r="D337" s="17">
        <v>5.16</v>
      </c>
      <c r="E337" s="17">
        <v>4.99</v>
      </c>
      <c r="F337" s="179">
        <v>2013</v>
      </c>
      <c r="G337" s="179"/>
      <c r="H337" s="179"/>
      <c r="I337" s="179"/>
      <c r="J337" s="179"/>
      <c r="K337" s="179"/>
    </row>
    <row r="338" spans="1:11" x14ac:dyDescent="0.3">
      <c r="A338" s="11" t="s">
        <v>379</v>
      </c>
      <c r="B338" s="11" t="s">
        <v>35</v>
      </c>
      <c r="C338" s="12">
        <v>41304</v>
      </c>
      <c r="D338" s="13">
        <v>2.92</v>
      </c>
      <c r="E338" s="13">
        <v>2.57</v>
      </c>
      <c r="F338" s="178">
        <v>2013</v>
      </c>
      <c r="G338" s="178"/>
      <c r="H338" s="178"/>
      <c r="I338" s="178"/>
      <c r="J338" s="178"/>
      <c r="K338" s="178"/>
    </row>
    <row r="339" spans="1:11" x14ac:dyDescent="0.3">
      <c r="A339" s="11" t="s">
        <v>380</v>
      </c>
      <c r="B339" s="11" t="s">
        <v>35</v>
      </c>
      <c r="C339" s="12">
        <v>41319</v>
      </c>
      <c r="D339" s="13">
        <v>2</v>
      </c>
      <c r="E339" s="13">
        <v>2.17</v>
      </c>
      <c r="F339" s="178">
        <v>2013</v>
      </c>
      <c r="G339" s="178"/>
      <c r="H339" s="178"/>
      <c r="I339" s="178"/>
      <c r="J339" s="178"/>
      <c r="K339" s="178"/>
    </row>
    <row r="340" spans="1:11" x14ac:dyDescent="0.3">
      <c r="A340" s="11" t="s">
        <v>381</v>
      </c>
      <c r="B340" s="11" t="s">
        <v>35</v>
      </c>
      <c r="C340" s="12">
        <v>41344</v>
      </c>
      <c r="D340" s="13">
        <v>2.66</v>
      </c>
      <c r="E340" s="13">
        <v>2.93</v>
      </c>
      <c r="F340" s="178">
        <v>2013</v>
      </c>
      <c r="G340" s="178"/>
      <c r="H340" s="178"/>
      <c r="I340" s="178"/>
      <c r="J340" s="178"/>
      <c r="K340" s="178"/>
    </row>
    <row r="341" spans="1:11" x14ac:dyDescent="0.3">
      <c r="A341" s="11" t="s">
        <v>382</v>
      </c>
      <c r="B341" s="11" t="s">
        <v>35</v>
      </c>
      <c r="C341" s="12">
        <v>41368</v>
      </c>
      <c r="D341" s="13">
        <v>3.9</v>
      </c>
      <c r="E341" s="13">
        <v>4.4400000000000004</v>
      </c>
      <c r="F341" s="178">
        <v>2013</v>
      </c>
      <c r="G341" s="178"/>
      <c r="H341" s="178"/>
      <c r="I341" s="178"/>
      <c r="J341" s="178"/>
      <c r="K341" s="178"/>
    </row>
    <row r="342" spans="1:11" x14ac:dyDescent="0.3">
      <c r="A342" s="11" t="s">
        <v>383</v>
      </c>
      <c r="B342" s="11" t="s">
        <v>35</v>
      </c>
      <c r="C342" s="12">
        <v>41395</v>
      </c>
      <c r="D342" s="13">
        <v>7.86</v>
      </c>
      <c r="E342" s="13">
        <v>10.6</v>
      </c>
      <c r="F342" s="178">
        <v>2013</v>
      </c>
      <c r="G342" s="178"/>
      <c r="H342" s="178"/>
      <c r="I342" s="178"/>
      <c r="J342" s="178"/>
      <c r="K342" s="178"/>
    </row>
    <row r="343" spans="1:11" x14ac:dyDescent="0.3">
      <c r="A343" s="11" t="s">
        <v>384</v>
      </c>
      <c r="B343" s="11" t="s">
        <v>35</v>
      </c>
      <c r="C343" s="12">
        <v>41430</v>
      </c>
      <c r="D343" s="13">
        <v>12.09</v>
      </c>
      <c r="E343" s="13">
        <v>14.88</v>
      </c>
      <c r="F343" s="178">
        <v>2013</v>
      </c>
      <c r="G343" s="178"/>
      <c r="H343" s="178"/>
      <c r="I343" s="178"/>
      <c r="J343" s="178"/>
      <c r="K343" s="178"/>
    </row>
    <row r="344" spans="1:11" x14ac:dyDescent="0.3">
      <c r="A344" s="11" t="s">
        <v>385</v>
      </c>
      <c r="B344" s="11" t="s">
        <v>35</v>
      </c>
      <c r="C344" s="12">
        <v>41446</v>
      </c>
      <c r="D344" s="13">
        <v>14.77</v>
      </c>
      <c r="E344" s="13">
        <v>19.88</v>
      </c>
      <c r="F344" s="178">
        <v>2013</v>
      </c>
      <c r="G344" s="178"/>
      <c r="H344" s="178"/>
      <c r="I344" s="178"/>
      <c r="J344" s="178"/>
      <c r="K344" s="178"/>
    </row>
    <row r="345" spans="1:11" x14ac:dyDescent="0.3">
      <c r="A345" s="11" t="s">
        <v>386</v>
      </c>
      <c r="B345" s="11" t="s">
        <v>35</v>
      </c>
      <c r="C345" s="12">
        <v>41457</v>
      </c>
      <c r="D345" s="13">
        <v>15.69</v>
      </c>
      <c r="E345" s="13">
        <v>21.53</v>
      </c>
      <c r="F345" s="178">
        <v>2013</v>
      </c>
      <c r="G345" s="178"/>
      <c r="H345" s="178"/>
      <c r="I345" s="178"/>
      <c r="J345" s="178"/>
      <c r="K345" s="178"/>
    </row>
    <row r="346" spans="1:11" x14ac:dyDescent="0.3">
      <c r="A346" s="11" t="s">
        <v>387</v>
      </c>
      <c r="B346" s="11" t="s">
        <v>35</v>
      </c>
      <c r="C346" s="12">
        <v>41470</v>
      </c>
      <c r="D346" s="13">
        <v>17.420000000000002</v>
      </c>
      <c r="E346" s="13">
        <v>22.23</v>
      </c>
      <c r="F346" s="178">
        <v>2013</v>
      </c>
      <c r="G346" s="178"/>
      <c r="H346" s="178"/>
      <c r="I346" s="178"/>
      <c r="J346" s="178"/>
      <c r="K346" s="178"/>
    </row>
    <row r="347" spans="1:11" x14ac:dyDescent="0.3">
      <c r="A347" s="11" t="s">
        <v>388</v>
      </c>
      <c r="B347" s="11" t="s">
        <v>35</v>
      </c>
      <c r="C347" s="12">
        <v>41486</v>
      </c>
      <c r="D347" s="13">
        <v>19.25</v>
      </c>
      <c r="E347" s="13">
        <v>24.15</v>
      </c>
      <c r="F347" s="178">
        <v>2013</v>
      </c>
      <c r="G347" s="178"/>
      <c r="H347" s="178"/>
      <c r="I347" s="178"/>
      <c r="J347" s="178"/>
      <c r="K347" s="178"/>
    </row>
    <row r="348" spans="1:11" x14ac:dyDescent="0.3">
      <c r="A348" s="11" t="s">
        <v>389</v>
      </c>
      <c r="B348" s="11" t="s">
        <v>35</v>
      </c>
      <c r="C348" s="12">
        <v>41498</v>
      </c>
      <c r="D348" s="13">
        <v>20.350000000000001</v>
      </c>
      <c r="E348" s="13">
        <v>22.17</v>
      </c>
      <c r="F348" s="178">
        <v>2013</v>
      </c>
      <c r="G348" s="178"/>
      <c r="H348" s="178"/>
      <c r="I348" s="178"/>
      <c r="J348" s="178"/>
      <c r="K348" s="178"/>
    </row>
    <row r="349" spans="1:11" x14ac:dyDescent="0.3">
      <c r="A349" s="11" t="s">
        <v>390</v>
      </c>
      <c r="B349" s="11" t="s">
        <v>35</v>
      </c>
      <c r="C349" s="12">
        <v>41514</v>
      </c>
      <c r="D349" s="13">
        <v>21.63</v>
      </c>
      <c r="E349" s="13">
        <v>23.07</v>
      </c>
      <c r="F349" s="178">
        <v>2013</v>
      </c>
      <c r="G349" s="178"/>
      <c r="H349" s="178"/>
      <c r="I349" s="178"/>
      <c r="J349" s="178"/>
      <c r="K349" s="178"/>
    </row>
    <row r="350" spans="1:11" x14ac:dyDescent="0.3">
      <c r="A350" s="11" t="s">
        <v>391</v>
      </c>
      <c r="B350" s="11" t="s">
        <v>35</v>
      </c>
      <c r="C350" s="12">
        <v>41526</v>
      </c>
      <c r="D350" s="13">
        <v>21.83</v>
      </c>
      <c r="E350" s="13">
        <v>22.07</v>
      </c>
      <c r="F350" s="178">
        <v>2013</v>
      </c>
      <c r="G350" s="178"/>
      <c r="H350" s="178"/>
      <c r="I350" s="178"/>
      <c r="J350" s="178"/>
      <c r="K350" s="178"/>
    </row>
    <row r="351" spans="1:11" x14ac:dyDescent="0.3">
      <c r="A351" s="11" t="s">
        <v>392</v>
      </c>
      <c r="B351" s="11" t="s">
        <v>35</v>
      </c>
      <c r="C351" s="12">
        <v>41549</v>
      </c>
      <c r="D351" s="13">
        <v>20.28</v>
      </c>
      <c r="E351" s="13">
        <v>20.69</v>
      </c>
      <c r="F351" s="178">
        <v>2013</v>
      </c>
      <c r="G351" s="178"/>
      <c r="H351" s="178"/>
      <c r="I351" s="178"/>
      <c r="J351" s="178"/>
      <c r="K351" s="178"/>
    </row>
    <row r="352" spans="1:11" x14ac:dyDescent="0.3">
      <c r="A352" s="11" t="s">
        <v>393</v>
      </c>
      <c r="B352" s="11" t="s">
        <v>35</v>
      </c>
      <c r="C352" s="12">
        <v>41583</v>
      </c>
      <c r="D352" s="13">
        <v>15.27</v>
      </c>
      <c r="E352" s="13">
        <v>15.31</v>
      </c>
      <c r="F352" s="178">
        <v>2013</v>
      </c>
      <c r="G352" s="178"/>
      <c r="H352" s="178"/>
      <c r="I352" s="178"/>
      <c r="J352" s="178"/>
      <c r="K352" s="178"/>
    </row>
    <row r="353" spans="1:11" x14ac:dyDescent="0.3">
      <c r="A353" s="11" t="s">
        <v>394</v>
      </c>
      <c r="B353" s="11" t="s">
        <v>35</v>
      </c>
      <c r="C353" s="12">
        <v>41611</v>
      </c>
      <c r="D353" s="13">
        <v>9.1</v>
      </c>
      <c r="E353" s="13">
        <v>8.9600000000000009</v>
      </c>
      <c r="F353" s="178">
        <v>2013</v>
      </c>
      <c r="G353" s="178"/>
      <c r="H353" s="178"/>
      <c r="I353" s="178"/>
      <c r="J353" s="178"/>
      <c r="K353" s="178"/>
    </row>
    <row r="354" spans="1:11" s="3" customFormat="1" x14ac:dyDescent="0.3">
      <c r="A354" s="15" t="s">
        <v>395</v>
      </c>
      <c r="B354" s="15" t="s">
        <v>35</v>
      </c>
      <c r="C354" s="16">
        <v>41648</v>
      </c>
      <c r="D354" s="17">
        <v>2.8</v>
      </c>
      <c r="E354" s="17">
        <v>2.02</v>
      </c>
      <c r="F354" s="179">
        <v>2014</v>
      </c>
      <c r="G354" s="179"/>
      <c r="H354" s="179"/>
      <c r="I354" s="179"/>
      <c r="J354" s="179"/>
      <c r="K354" s="179"/>
    </row>
    <row r="355" spans="1:11" x14ac:dyDescent="0.3">
      <c r="A355" s="11" t="s">
        <v>396</v>
      </c>
      <c r="B355" s="11" t="s">
        <v>35</v>
      </c>
      <c r="C355" s="12">
        <v>41676</v>
      </c>
      <c r="D355" s="13">
        <v>0.54</v>
      </c>
      <c r="E355" s="13">
        <v>0.54</v>
      </c>
      <c r="F355" s="178">
        <v>2014</v>
      </c>
      <c r="G355" s="178"/>
      <c r="H355" s="178"/>
      <c r="I355" s="178"/>
      <c r="J355" s="178"/>
      <c r="K355" s="178"/>
    </row>
    <row r="356" spans="1:11" x14ac:dyDescent="0.3">
      <c r="A356" s="11" t="s">
        <v>397</v>
      </c>
      <c r="B356" s="11" t="s">
        <v>35</v>
      </c>
      <c r="C356" s="12">
        <v>41690</v>
      </c>
      <c r="D356" s="13">
        <v>0.1</v>
      </c>
      <c r="E356" s="13">
        <v>0.18</v>
      </c>
      <c r="F356" s="178">
        <v>2014</v>
      </c>
      <c r="G356" s="178"/>
      <c r="H356" s="178"/>
      <c r="I356" s="178"/>
      <c r="J356" s="178"/>
      <c r="K356" s="178"/>
    </row>
    <row r="357" spans="1:11" x14ac:dyDescent="0.3">
      <c r="A357" s="11" t="s">
        <v>398</v>
      </c>
      <c r="B357" s="11" t="s">
        <v>35</v>
      </c>
      <c r="C357" s="12">
        <v>41703</v>
      </c>
      <c r="D357" s="13">
        <v>0.16</v>
      </c>
      <c r="E357" s="13">
        <v>0.13</v>
      </c>
      <c r="F357" s="178">
        <v>2014</v>
      </c>
      <c r="G357" s="178"/>
      <c r="H357" s="178"/>
      <c r="I357" s="178"/>
      <c r="J357" s="178"/>
      <c r="K357" s="178"/>
    </row>
    <row r="358" spans="1:11" x14ac:dyDescent="0.3">
      <c r="A358" s="11" t="s">
        <v>399</v>
      </c>
      <c r="B358" s="11" t="s">
        <v>35</v>
      </c>
      <c r="C358" s="12">
        <v>41731</v>
      </c>
      <c r="D358" s="13">
        <v>1.95</v>
      </c>
      <c r="E358" s="13">
        <v>2.56</v>
      </c>
      <c r="F358" s="178">
        <v>2014</v>
      </c>
      <c r="G358" s="178"/>
      <c r="H358" s="178"/>
      <c r="I358" s="178"/>
      <c r="J358" s="178"/>
      <c r="K358" s="178"/>
    </row>
    <row r="359" spans="1:11" x14ac:dyDescent="0.3">
      <c r="A359" s="11" t="s">
        <v>400</v>
      </c>
      <c r="B359" s="11" t="s">
        <v>35</v>
      </c>
      <c r="C359" s="12">
        <v>41766</v>
      </c>
      <c r="D359" s="13">
        <v>7.38</v>
      </c>
      <c r="E359" s="13">
        <v>10.039999999999999</v>
      </c>
      <c r="F359" s="178">
        <v>2014</v>
      </c>
      <c r="G359" s="178"/>
      <c r="H359" s="178"/>
      <c r="I359" s="178"/>
      <c r="J359" s="178"/>
      <c r="K359" s="178"/>
    </row>
    <row r="360" spans="1:11" x14ac:dyDescent="0.3">
      <c r="A360" s="11" t="s">
        <v>401</v>
      </c>
      <c r="B360" s="11" t="s">
        <v>35</v>
      </c>
      <c r="C360" s="12">
        <v>41793</v>
      </c>
      <c r="D360" s="13">
        <v>10.55</v>
      </c>
      <c r="E360" s="13">
        <v>17.45</v>
      </c>
      <c r="F360" s="178">
        <v>2014</v>
      </c>
      <c r="G360" s="178"/>
      <c r="H360" s="178"/>
      <c r="I360" s="178"/>
      <c r="J360" s="178"/>
      <c r="K360" s="178"/>
    </row>
    <row r="361" spans="1:11" x14ac:dyDescent="0.3">
      <c r="A361" s="11" t="s">
        <v>402</v>
      </c>
      <c r="B361" s="11" t="s">
        <v>35</v>
      </c>
      <c r="C361" s="12">
        <v>41809</v>
      </c>
      <c r="D361" s="13">
        <v>12.87</v>
      </c>
      <c r="E361" s="13">
        <v>18.09</v>
      </c>
      <c r="F361" s="178">
        <v>2014</v>
      </c>
      <c r="G361" s="178"/>
      <c r="H361" s="178"/>
      <c r="I361" s="178"/>
      <c r="J361" s="178"/>
      <c r="K361" s="178"/>
    </row>
    <row r="362" spans="1:11" x14ac:dyDescent="0.3">
      <c r="A362" s="11" t="s">
        <v>403</v>
      </c>
      <c r="B362" s="11" t="s">
        <v>35</v>
      </c>
      <c r="C362" s="12">
        <v>41822</v>
      </c>
      <c r="D362" s="13">
        <v>14.33</v>
      </c>
      <c r="E362" s="13">
        <v>20.87</v>
      </c>
      <c r="F362" s="178">
        <v>2014</v>
      </c>
      <c r="G362" s="178"/>
      <c r="H362" s="178"/>
      <c r="I362" s="178"/>
      <c r="J362" s="178"/>
      <c r="K362" s="178"/>
    </row>
    <row r="363" spans="1:11" x14ac:dyDescent="0.3">
      <c r="A363" s="11" t="s">
        <v>404</v>
      </c>
      <c r="B363" s="11" t="s">
        <v>35</v>
      </c>
      <c r="C363" s="12">
        <v>41834</v>
      </c>
      <c r="D363" s="13">
        <v>16.760000000000002</v>
      </c>
      <c r="E363" s="13">
        <v>20.059999999999999</v>
      </c>
      <c r="F363" s="178">
        <v>2014</v>
      </c>
      <c r="G363" s="178"/>
      <c r="H363" s="178"/>
      <c r="I363" s="178"/>
      <c r="J363" s="178"/>
      <c r="K363" s="178"/>
    </row>
    <row r="364" spans="1:11" x14ac:dyDescent="0.3">
      <c r="A364" s="11" t="s">
        <v>405</v>
      </c>
      <c r="B364" s="11" t="s">
        <v>35</v>
      </c>
      <c r="C364" s="12">
        <v>41857</v>
      </c>
      <c r="D364" s="13">
        <v>19.53</v>
      </c>
      <c r="E364" s="13">
        <v>24.46</v>
      </c>
      <c r="F364" s="178">
        <v>2014</v>
      </c>
      <c r="G364" s="178"/>
      <c r="H364" s="178"/>
      <c r="I364" s="178"/>
      <c r="J364" s="178"/>
      <c r="K364" s="178"/>
    </row>
    <row r="365" spans="1:11" x14ac:dyDescent="0.3">
      <c r="A365" s="11" t="s">
        <v>406</v>
      </c>
      <c r="B365" s="11" t="s">
        <v>35</v>
      </c>
      <c r="C365" s="12">
        <v>41870</v>
      </c>
      <c r="D365" s="13">
        <v>21.3</v>
      </c>
      <c r="E365" s="13">
        <v>22.61</v>
      </c>
      <c r="F365" s="178">
        <v>2014</v>
      </c>
      <c r="G365" s="178"/>
      <c r="H365" s="178"/>
      <c r="I365" s="178"/>
      <c r="J365" s="178"/>
      <c r="K365" s="178"/>
    </row>
    <row r="366" spans="1:11" x14ac:dyDescent="0.3">
      <c r="A366" s="11" t="s">
        <v>407</v>
      </c>
      <c r="B366" s="11" t="s">
        <v>35</v>
      </c>
      <c r="C366" s="12">
        <v>41884</v>
      </c>
      <c r="D366" s="13">
        <v>21.64</v>
      </c>
      <c r="E366" s="13">
        <v>25.18</v>
      </c>
      <c r="F366" s="178">
        <v>2014</v>
      </c>
      <c r="G366" s="178"/>
      <c r="H366" s="178"/>
      <c r="I366" s="178"/>
      <c r="J366" s="178"/>
      <c r="K366" s="178"/>
    </row>
    <row r="367" spans="1:11" x14ac:dyDescent="0.3">
      <c r="A367" s="11" t="s">
        <v>408</v>
      </c>
      <c r="B367" s="11" t="s">
        <v>35</v>
      </c>
      <c r="C367" s="12">
        <v>41898</v>
      </c>
      <c r="D367" s="13">
        <v>21.91</v>
      </c>
      <c r="E367" s="13">
        <v>21.87</v>
      </c>
      <c r="F367" s="178">
        <v>2014</v>
      </c>
      <c r="G367" s="178"/>
      <c r="H367" s="178"/>
      <c r="I367" s="178"/>
      <c r="J367" s="178"/>
      <c r="K367" s="178"/>
    </row>
    <row r="368" spans="1:11" x14ac:dyDescent="0.3">
      <c r="A368" s="11" t="s">
        <v>409</v>
      </c>
      <c r="B368" s="11" t="s">
        <v>35</v>
      </c>
      <c r="C368" s="12">
        <v>41913</v>
      </c>
      <c r="D368" s="13">
        <v>20.67</v>
      </c>
      <c r="E368" s="13">
        <v>20.64</v>
      </c>
      <c r="F368" s="178">
        <v>2014</v>
      </c>
      <c r="G368" s="178"/>
      <c r="H368" s="178"/>
      <c r="I368" s="178"/>
      <c r="J368" s="178"/>
      <c r="K368" s="178"/>
    </row>
    <row r="369" spans="1:11" x14ac:dyDescent="0.3">
      <c r="A369" s="11" t="s">
        <v>410</v>
      </c>
      <c r="B369" s="11" t="s">
        <v>35</v>
      </c>
      <c r="C369" s="12">
        <v>41953</v>
      </c>
      <c r="D369" s="13">
        <v>14.26</v>
      </c>
      <c r="E369" s="13">
        <v>14.02</v>
      </c>
      <c r="F369" s="178">
        <v>2014</v>
      </c>
      <c r="G369" s="178"/>
      <c r="H369" s="178"/>
      <c r="I369" s="178"/>
      <c r="J369" s="178"/>
      <c r="K369" s="178"/>
    </row>
    <row r="370" spans="1:11" x14ac:dyDescent="0.3">
      <c r="A370" s="11" t="s">
        <v>411</v>
      </c>
      <c r="B370" s="11" t="s">
        <v>35</v>
      </c>
      <c r="C370" s="12">
        <v>41983</v>
      </c>
      <c r="D370" s="13">
        <v>7.63</v>
      </c>
      <c r="E370" s="13">
        <v>7.11</v>
      </c>
      <c r="F370" s="178">
        <v>2014</v>
      </c>
      <c r="G370" s="178"/>
      <c r="H370" s="178"/>
      <c r="I370" s="178"/>
      <c r="J370" s="178"/>
      <c r="K370" s="178"/>
    </row>
    <row r="371" spans="1:11" s="3" customFormat="1" x14ac:dyDescent="0.3">
      <c r="A371" s="15" t="s">
        <v>412</v>
      </c>
      <c r="B371" s="15" t="s">
        <v>35</v>
      </c>
      <c r="C371" s="16">
        <v>42018</v>
      </c>
      <c r="D371" s="17">
        <v>3.55</v>
      </c>
      <c r="E371" s="17">
        <v>2.92</v>
      </c>
      <c r="F371" s="179">
        <v>2015</v>
      </c>
      <c r="G371" s="179"/>
      <c r="H371" s="179"/>
      <c r="I371" s="179"/>
      <c r="J371" s="179"/>
      <c r="K371" s="179"/>
    </row>
    <row r="372" spans="1:11" x14ac:dyDescent="0.3">
      <c r="A372" s="11" t="s">
        <v>413</v>
      </c>
      <c r="B372" s="11" t="s">
        <v>35</v>
      </c>
      <c r="C372" s="12">
        <v>42045</v>
      </c>
      <c r="D372" s="13">
        <v>0.26</v>
      </c>
      <c r="E372" s="13">
        <v>0.27</v>
      </c>
      <c r="F372" s="178">
        <v>2015</v>
      </c>
      <c r="G372" s="178"/>
      <c r="H372" s="178"/>
      <c r="I372" s="178"/>
      <c r="J372" s="178"/>
      <c r="K372" s="178"/>
    </row>
    <row r="373" spans="1:11" x14ac:dyDescent="0.3">
      <c r="A373" s="11" t="s">
        <v>414</v>
      </c>
      <c r="B373" s="11" t="s">
        <v>35</v>
      </c>
      <c r="C373" s="12">
        <v>42073</v>
      </c>
      <c r="D373" s="13">
        <v>-1.1000000000000001</v>
      </c>
      <c r="E373" s="13">
        <v>-0.81</v>
      </c>
      <c r="F373" s="178">
        <v>2015</v>
      </c>
      <c r="G373" s="178"/>
      <c r="H373" s="178"/>
      <c r="I373" s="178"/>
      <c r="J373" s="178"/>
      <c r="K373" s="178"/>
    </row>
    <row r="374" spans="1:11" x14ac:dyDescent="0.3">
      <c r="A374" s="11" t="s">
        <v>415</v>
      </c>
      <c r="B374" s="11" t="s">
        <v>35</v>
      </c>
      <c r="C374" s="12">
        <v>42082</v>
      </c>
      <c r="D374" s="13">
        <v>-0.08</v>
      </c>
      <c r="E374" s="13">
        <v>0.73</v>
      </c>
      <c r="F374" s="178">
        <v>2015</v>
      </c>
      <c r="G374" s="178"/>
      <c r="H374" s="178"/>
      <c r="I374" s="178"/>
      <c r="J374" s="178"/>
      <c r="K374" s="178"/>
    </row>
    <row r="375" spans="1:11" x14ac:dyDescent="0.3">
      <c r="A375" s="11" t="s">
        <v>416</v>
      </c>
      <c r="B375" s="11" t="s">
        <v>35</v>
      </c>
      <c r="C375" s="12">
        <v>42095</v>
      </c>
      <c r="D375" s="13">
        <v>0.72</v>
      </c>
      <c r="E375" s="13">
        <v>1.81</v>
      </c>
      <c r="F375" s="178">
        <v>2015</v>
      </c>
      <c r="G375" s="178"/>
      <c r="H375" s="178"/>
      <c r="I375" s="178"/>
      <c r="J375" s="178"/>
      <c r="K375" s="178"/>
    </row>
    <row r="376" spans="1:11" x14ac:dyDescent="0.3">
      <c r="A376" s="11" t="s">
        <v>417</v>
      </c>
      <c r="B376" s="11" t="s">
        <v>35</v>
      </c>
      <c r="C376" s="12">
        <v>42125</v>
      </c>
      <c r="D376" s="13">
        <v>5.34</v>
      </c>
      <c r="E376" s="13">
        <v>7.42</v>
      </c>
      <c r="F376" s="178">
        <v>2015</v>
      </c>
      <c r="G376" s="178"/>
      <c r="H376" s="178"/>
      <c r="I376" s="178"/>
      <c r="J376" s="178"/>
      <c r="K376" s="178"/>
    </row>
    <row r="377" spans="1:11" x14ac:dyDescent="0.3">
      <c r="A377" s="11" t="s">
        <v>418</v>
      </c>
      <c r="B377" s="11" t="s">
        <v>35</v>
      </c>
      <c r="C377" s="12">
        <v>42153</v>
      </c>
      <c r="D377" s="13">
        <v>8.91</v>
      </c>
      <c r="E377" s="13">
        <v>15.62</v>
      </c>
      <c r="F377" s="178">
        <v>2015</v>
      </c>
      <c r="G377" s="178"/>
      <c r="H377" s="178"/>
      <c r="I377" s="178"/>
      <c r="J377" s="178"/>
      <c r="K377" s="178"/>
    </row>
    <row r="378" spans="1:11" x14ac:dyDescent="0.3">
      <c r="A378" s="11" t="s">
        <v>419</v>
      </c>
      <c r="B378" s="11" t="s">
        <v>35</v>
      </c>
      <c r="C378" s="12">
        <v>42174</v>
      </c>
      <c r="D378" s="13">
        <v>13.31</v>
      </c>
      <c r="E378" s="13">
        <v>16.82</v>
      </c>
      <c r="F378" s="178">
        <v>2015</v>
      </c>
      <c r="G378" s="178"/>
      <c r="H378" s="178"/>
      <c r="I378" s="178"/>
      <c r="J378" s="178"/>
      <c r="K378" s="178"/>
    </row>
    <row r="379" spans="1:11" x14ac:dyDescent="0.3">
      <c r="A379" s="11" t="s">
        <v>420</v>
      </c>
      <c r="B379" s="11" t="s">
        <v>35</v>
      </c>
      <c r="C379" s="12">
        <v>42192</v>
      </c>
      <c r="D379" s="13">
        <v>15.77</v>
      </c>
      <c r="E379" s="13">
        <v>19.309999999999999</v>
      </c>
      <c r="F379" s="178">
        <v>2015</v>
      </c>
      <c r="G379" s="178"/>
      <c r="H379" s="178"/>
      <c r="I379" s="178"/>
      <c r="J379" s="178"/>
      <c r="K379" s="178"/>
    </row>
    <row r="380" spans="1:11" x14ac:dyDescent="0.3">
      <c r="A380" s="11" t="s">
        <v>421</v>
      </c>
      <c r="B380" s="11" t="s">
        <v>35</v>
      </c>
      <c r="C380" s="12">
        <v>42205</v>
      </c>
      <c r="D380" s="13">
        <v>17.36</v>
      </c>
      <c r="E380" s="13">
        <v>20.32</v>
      </c>
      <c r="F380" s="178">
        <v>2015</v>
      </c>
      <c r="G380" s="178"/>
      <c r="H380" s="178"/>
      <c r="I380" s="178"/>
      <c r="J380" s="178"/>
      <c r="K380" s="178"/>
    </row>
    <row r="381" spans="1:11" x14ac:dyDescent="0.3">
      <c r="A381" s="11" t="s">
        <v>422</v>
      </c>
      <c r="B381" s="11" t="s">
        <v>35</v>
      </c>
      <c r="C381" s="12">
        <v>42220</v>
      </c>
      <c r="D381" s="13">
        <v>18.89</v>
      </c>
      <c r="E381" s="13">
        <v>22.1</v>
      </c>
      <c r="F381" s="178">
        <v>2015</v>
      </c>
      <c r="G381" s="178"/>
      <c r="H381" s="178"/>
      <c r="I381" s="178"/>
      <c r="J381" s="178"/>
      <c r="K381" s="178"/>
    </row>
    <row r="382" spans="1:11" x14ac:dyDescent="0.3">
      <c r="A382" s="11" t="s">
        <v>423</v>
      </c>
      <c r="B382" s="11" t="s">
        <v>35</v>
      </c>
      <c r="C382" s="12">
        <v>42233</v>
      </c>
      <c r="D382" s="13">
        <v>20.89</v>
      </c>
      <c r="E382" s="13">
        <v>24.18</v>
      </c>
      <c r="F382" s="178">
        <v>2015</v>
      </c>
      <c r="G382" s="178"/>
      <c r="H382" s="178"/>
      <c r="I382" s="178"/>
      <c r="J382" s="178"/>
      <c r="K382" s="178"/>
    </row>
    <row r="383" spans="1:11" x14ac:dyDescent="0.3">
      <c r="A383" s="11" t="s">
        <v>424</v>
      </c>
      <c r="B383" s="11" t="s">
        <v>35</v>
      </c>
      <c r="C383" s="12">
        <v>42248</v>
      </c>
      <c r="D383" s="13">
        <v>22.36</v>
      </c>
      <c r="E383" s="13">
        <v>24.11</v>
      </c>
      <c r="F383" s="178">
        <v>2015</v>
      </c>
      <c r="G383" s="178"/>
      <c r="H383" s="178"/>
      <c r="I383" s="178"/>
      <c r="J383" s="178"/>
      <c r="K383" s="178"/>
    </row>
    <row r="384" spans="1:11" x14ac:dyDescent="0.3">
      <c r="A384" s="11" t="s">
        <v>425</v>
      </c>
      <c r="B384" s="11" t="s">
        <v>35</v>
      </c>
      <c r="C384" s="12">
        <v>42263</v>
      </c>
      <c r="D384" s="13">
        <v>23.14</v>
      </c>
      <c r="E384" s="13">
        <v>23.16</v>
      </c>
      <c r="F384" s="178">
        <v>2015</v>
      </c>
      <c r="G384" s="178"/>
      <c r="H384" s="178"/>
      <c r="I384" s="178"/>
      <c r="J384" s="178"/>
      <c r="K384" s="178"/>
    </row>
    <row r="385" spans="1:11" x14ac:dyDescent="0.3">
      <c r="A385" s="11" t="s">
        <v>426</v>
      </c>
      <c r="B385" s="11" t="s">
        <v>35</v>
      </c>
      <c r="C385" s="12">
        <v>42285</v>
      </c>
      <c r="D385" s="13">
        <v>18.95</v>
      </c>
      <c r="E385" s="13">
        <v>19.2</v>
      </c>
      <c r="F385" s="178">
        <v>2015</v>
      </c>
      <c r="G385" s="178"/>
      <c r="H385" s="178"/>
      <c r="I385" s="178"/>
      <c r="J385" s="178"/>
      <c r="K385" s="178"/>
    </row>
    <row r="386" spans="1:11" x14ac:dyDescent="0.3">
      <c r="A386" s="11" t="s">
        <v>427</v>
      </c>
      <c r="B386" s="11" t="s">
        <v>35</v>
      </c>
      <c r="C386" s="12">
        <v>42317</v>
      </c>
      <c r="D386" s="13">
        <v>15.65</v>
      </c>
      <c r="E386" s="13">
        <v>15.47</v>
      </c>
      <c r="F386" s="178">
        <v>2015</v>
      </c>
      <c r="G386" s="178"/>
      <c r="H386" s="178"/>
      <c r="I386" s="178"/>
      <c r="J386" s="178"/>
      <c r="K386" s="178"/>
    </row>
    <row r="387" spans="1:11" x14ac:dyDescent="0.3">
      <c r="A387" s="11" t="s">
        <v>428</v>
      </c>
      <c r="B387" s="11" t="s">
        <v>35</v>
      </c>
      <c r="C387" s="12">
        <v>42338</v>
      </c>
      <c r="D387" s="13">
        <v>12.21</v>
      </c>
      <c r="E387" s="13">
        <v>12.18</v>
      </c>
      <c r="F387" s="178">
        <v>2015</v>
      </c>
      <c r="G387" s="178"/>
      <c r="H387" s="178"/>
      <c r="I387" s="178"/>
      <c r="J387" s="178"/>
      <c r="K387" s="178"/>
    </row>
    <row r="388" spans="1:11" s="3" customFormat="1" x14ac:dyDescent="0.3">
      <c r="A388" s="15" t="s">
        <v>429</v>
      </c>
      <c r="B388" s="15" t="s">
        <v>35</v>
      </c>
      <c r="C388" s="16">
        <v>42381</v>
      </c>
      <c r="D388" s="17">
        <v>7.05</v>
      </c>
      <c r="E388" s="17">
        <v>7</v>
      </c>
      <c r="F388" s="179">
        <v>2016</v>
      </c>
      <c r="G388" s="179"/>
      <c r="H388" s="179"/>
      <c r="I388" s="179"/>
      <c r="J388" s="179"/>
      <c r="K388" s="179"/>
    </row>
    <row r="389" spans="1:11" x14ac:dyDescent="0.3">
      <c r="A389" s="11" t="s">
        <v>430</v>
      </c>
      <c r="B389" s="11" t="s">
        <v>35</v>
      </c>
      <c r="C389" s="12">
        <v>42401</v>
      </c>
      <c r="D389" s="13">
        <v>4.13</v>
      </c>
      <c r="E389" s="13">
        <v>4.01</v>
      </c>
      <c r="F389" s="178">
        <v>2016</v>
      </c>
      <c r="G389" s="178"/>
      <c r="H389" s="178"/>
      <c r="I389" s="178"/>
      <c r="J389" s="178"/>
      <c r="K389" s="178"/>
    </row>
    <row r="390" spans="1:11" x14ac:dyDescent="0.3">
      <c r="A390" s="11" t="s">
        <v>431</v>
      </c>
      <c r="B390" s="11" t="s">
        <v>35</v>
      </c>
      <c r="C390" s="12">
        <v>42417</v>
      </c>
      <c r="D390" s="13">
        <v>2.57</v>
      </c>
      <c r="E390" s="13">
        <v>2.5499999999999998</v>
      </c>
      <c r="F390" s="178">
        <v>2016</v>
      </c>
      <c r="G390" s="178"/>
      <c r="H390" s="178"/>
      <c r="I390" s="178"/>
      <c r="J390" s="178"/>
      <c r="K390" s="178"/>
    </row>
    <row r="391" spans="1:11" x14ac:dyDescent="0.3">
      <c r="A391" s="11" t="s">
        <v>432</v>
      </c>
      <c r="B391" s="11" t="s">
        <v>35</v>
      </c>
      <c r="C391" s="12">
        <v>42437</v>
      </c>
      <c r="D391" s="13">
        <v>3.38</v>
      </c>
      <c r="E391" s="13">
        <v>4.0999999999999996</v>
      </c>
      <c r="F391" s="178">
        <v>2016</v>
      </c>
      <c r="G391" s="178"/>
      <c r="H391" s="178"/>
      <c r="I391" s="178"/>
      <c r="J391" s="178"/>
      <c r="K391" s="178"/>
    </row>
    <row r="392" spans="1:11" x14ac:dyDescent="0.3">
      <c r="A392" s="11" t="s">
        <v>433</v>
      </c>
      <c r="B392" s="11" t="s">
        <v>35</v>
      </c>
      <c r="C392" s="12">
        <v>42452</v>
      </c>
      <c r="D392" s="13">
        <v>4.9000000000000004</v>
      </c>
      <c r="E392" s="13">
        <v>5.83</v>
      </c>
      <c r="F392" s="178">
        <v>2016</v>
      </c>
      <c r="G392" s="178"/>
      <c r="H392" s="178"/>
      <c r="I392" s="178"/>
      <c r="J392" s="178"/>
      <c r="K392" s="178"/>
    </row>
    <row r="393" spans="1:11" x14ac:dyDescent="0.3">
      <c r="A393" s="11" t="s">
        <v>434</v>
      </c>
      <c r="B393" s="11" t="s">
        <v>35</v>
      </c>
      <c r="C393" s="12">
        <v>42466</v>
      </c>
      <c r="D393" s="13">
        <v>6.14</v>
      </c>
      <c r="E393" s="13">
        <v>6.22</v>
      </c>
      <c r="F393" s="178">
        <v>2016</v>
      </c>
      <c r="G393" s="178"/>
      <c r="H393" s="178"/>
      <c r="I393" s="178"/>
      <c r="J393" s="178"/>
      <c r="K393" s="178"/>
    </row>
    <row r="394" spans="1:11" x14ac:dyDescent="0.3">
      <c r="A394" s="11" t="s">
        <v>435</v>
      </c>
      <c r="B394" s="11" t="s">
        <v>35</v>
      </c>
      <c r="C394" s="12">
        <v>42502</v>
      </c>
      <c r="D394" s="13">
        <v>9.76</v>
      </c>
      <c r="E394" s="13">
        <v>12.55</v>
      </c>
      <c r="F394" s="178">
        <v>2016</v>
      </c>
      <c r="G394" s="178"/>
      <c r="H394" s="178"/>
      <c r="I394" s="178"/>
      <c r="J394" s="178"/>
      <c r="K394" s="178"/>
    </row>
    <row r="395" spans="1:11" x14ac:dyDescent="0.3">
      <c r="A395" s="11" t="s">
        <v>436</v>
      </c>
      <c r="B395" s="11" t="s">
        <v>35</v>
      </c>
      <c r="C395" s="12">
        <v>42531</v>
      </c>
      <c r="D395" s="13">
        <v>12.38</v>
      </c>
      <c r="E395" s="13">
        <v>16.86</v>
      </c>
      <c r="F395" s="178">
        <v>2016</v>
      </c>
      <c r="G395" s="178"/>
      <c r="H395" s="178"/>
      <c r="I395" s="178"/>
      <c r="J395" s="178"/>
      <c r="K395" s="178"/>
    </row>
    <row r="396" spans="1:11" x14ac:dyDescent="0.3">
      <c r="A396" s="11" t="s">
        <v>437</v>
      </c>
      <c r="B396" s="11" t="s">
        <v>35</v>
      </c>
      <c r="C396" s="12">
        <v>42541</v>
      </c>
      <c r="D396" s="13">
        <v>14.32</v>
      </c>
      <c r="E396" s="13">
        <v>17.11</v>
      </c>
      <c r="F396" s="178">
        <v>2016</v>
      </c>
      <c r="G396" s="178"/>
      <c r="H396" s="178"/>
      <c r="I396" s="178"/>
      <c r="J396" s="178"/>
      <c r="K396" s="178"/>
    </row>
    <row r="397" spans="1:11" x14ac:dyDescent="0.3">
      <c r="A397" s="11" t="s">
        <v>438</v>
      </c>
      <c r="B397" s="11" t="s">
        <v>35</v>
      </c>
      <c r="C397" s="12">
        <v>42557</v>
      </c>
      <c r="D397" s="13">
        <v>16.38</v>
      </c>
      <c r="E397" s="13">
        <v>19.7</v>
      </c>
      <c r="F397" s="178">
        <v>2016</v>
      </c>
      <c r="G397" s="178"/>
      <c r="H397" s="178"/>
      <c r="I397" s="178"/>
      <c r="J397" s="178"/>
      <c r="K397" s="178"/>
    </row>
    <row r="398" spans="1:11" x14ac:dyDescent="0.3">
      <c r="A398" s="11" t="s">
        <v>439</v>
      </c>
      <c r="B398" s="11" t="s">
        <v>35</v>
      </c>
      <c r="C398" s="12">
        <v>42570</v>
      </c>
      <c r="D398" s="13">
        <v>17.71</v>
      </c>
      <c r="E398" s="13">
        <v>22.7</v>
      </c>
      <c r="F398" s="178">
        <v>2016</v>
      </c>
      <c r="G398" s="178"/>
      <c r="H398" s="178"/>
      <c r="I398" s="178"/>
      <c r="J398" s="178"/>
      <c r="K398" s="178"/>
    </row>
    <row r="399" spans="1:11" x14ac:dyDescent="0.3">
      <c r="A399" s="11" t="s">
        <v>440</v>
      </c>
      <c r="B399" s="11" t="s">
        <v>35</v>
      </c>
      <c r="C399" s="12">
        <v>42586</v>
      </c>
      <c r="D399" s="13">
        <v>21.1</v>
      </c>
      <c r="E399" s="13">
        <v>22.13</v>
      </c>
      <c r="F399" s="178">
        <v>2016</v>
      </c>
      <c r="G399" s="178"/>
      <c r="H399" s="178"/>
      <c r="I399" s="178"/>
      <c r="J399" s="178"/>
      <c r="K399" s="178"/>
    </row>
    <row r="400" spans="1:11" x14ac:dyDescent="0.3">
      <c r="A400" s="11" t="s">
        <v>441</v>
      </c>
      <c r="B400" s="11" t="s">
        <v>35</v>
      </c>
      <c r="C400" s="12">
        <v>42600</v>
      </c>
      <c r="D400" s="14"/>
      <c r="E400" s="14"/>
      <c r="F400" s="14">
        <v>2016</v>
      </c>
      <c r="G400" s="14"/>
      <c r="H400" s="14"/>
      <c r="I400" s="14"/>
      <c r="J400" s="14"/>
      <c r="K400" s="14"/>
    </row>
    <row r="401" spans="1:11" x14ac:dyDescent="0.3">
      <c r="A401" s="11" t="s">
        <v>442</v>
      </c>
      <c r="B401" s="11" t="s">
        <v>35</v>
      </c>
      <c r="C401" s="12">
        <v>42612</v>
      </c>
      <c r="D401" s="13">
        <v>23.22</v>
      </c>
      <c r="E401" s="13">
        <v>24.91</v>
      </c>
      <c r="F401" s="178">
        <v>2016</v>
      </c>
      <c r="G401" s="178"/>
      <c r="H401" s="178"/>
      <c r="I401" s="178"/>
      <c r="J401" s="178"/>
      <c r="K401" s="178"/>
    </row>
    <row r="402" spans="1:11" x14ac:dyDescent="0.3">
      <c r="A402" s="11" t="s">
        <v>443</v>
      </c>
      <c r="B402" s="11" t="s">
        <v>35</v>
      </c>
      <c r="C402" s="12">
        <v>42626</v>
      </c>
      <c r="D402" s="13">
        <v>23.11</v>
      </c>
      <c r="E402" s="13">
        <v>23.49</v>
      </c>
      <c r="F402" s="178">
        <v>2016</v>
      </c>
      <c r="G402" s="178"/>
      <c r="H402" s="178"/>
      <c r="I402" s="178"/>
      <c r="J402" s="178"/>
      <c r="K402" s="178"/>
    </row>
    <row r="403" spans="1:11" x14ac:dyDescent="0.3">
      <c r="A403" s="11" t="s">
        <v>444</v>
      </c>
      <c r="B403" s="11" t="s">
        <v>35</v>
      </c>
      <c r="C403" s="12">
        <v>42648</v>
      </c>
      <c r="D403" s="13">
        <v>20.309999999999999</v>
      </c>
      <c r="E403" s="13">
        <v>20.3</v>
      </c>
      <c r="F403" s="178">
        <v>2016</v>
      </c>
      <c r="G403" s="178"/>
      <c r="H403" s="178"/>
      <c r="I403" s="178"/>
      <c r="J403" s="178"/>
      <c r="K403" s="178"/>
    </row>
    <row r="404" spans="1:11" x14ac:dyDescent="0.3">
      <c r="A404" s="11" t="s">
        <v>445</v>
      </c>
      <c r="B404" s="11" t="s">
        <v>35</v>
      </c>
      <c r="C404" s="12">
        <v>42683</v>
      </c>
      <c r="D404" s="13">
        <v>15.25</v>
      </c>
      <c r="E404" s="13">
        <v>15.06</v>
      </c>
      <c r="F404" s="178">
        <v>2016</v>
      </c>
      <c r="G404" s="178"/>
      <c r="H404" s="178"/>
      <c r="I404" s="178"/>
      <c r="J404" s="178"/>
      <c r="K404" s="178"/>
    </row>
    <row r="405" spans="1:11" x14ac:dyDescent="0.3">
      <c r="A405" s="11" t="s">
        <v>446</v>
      </c>
      <c r="B405" s="11" t="s">
        <v>35</v>
      </c>
      <c r="C405" s="12">
        <v>42709</v>
      </c>
      <c r="D405" s="13">
        <v>10.4</v>
      </c>
      <c r="E405" s="13">
        <v>10.119999999999999</v>
      </c>
      <c r="F405" s="178">
        <v>2016</v>
      </c>
      <c r="G405" s="178"/>
      <c r="H405" s="178"/>
      <c r="I405" s="178"/>
      <c r="J405" s="178"/>
      <c r="K405" s="178"/>
    </row>
    <row r="406" spans="1:11" s="3" customFormat="1" x14ac:dyDescent="0.3">
      <c r="A406" s="15" t="s">
        <v>447</v>
      </c>
      <c r="B406" s="15" t="s">
        <v>35</v>
      </c>
      <c r="C406" s="16">
        <v>42745</v>
      </c>
      <c r="D406" s="17">
        <v>4.51</v>
      </c>
      <c r="E406" s="17">
        <v>3.88</v>
      </c>
      <c r="F406" s="179">
        <v>2017</v>
      </c>
      <c r="G406" s="179"/>
      <c r="H406" s="179"/>
      <c r="I406" s="179"/>
      <c r="J406" s="179"/>
      <c r="K406" s="179"/>
    </row>
    <row r="407" spans="1:11" x14ac:dyDescent="0.3">
      <c r="A407" s="11" t="s">
        <v>448</v>
      </c>
      <c r="B407" s="11" t="s">
        <v>35</v>
      </c>
      <c r="C407" s="12">
        <v>42774</v>
      </c>
      <c r="D407" s="13">
        <v>3.43</v>
      </c>
      <c r="E407" s="13">
        <v>3.63</v>
      </c>
      <c r="F407" s="178">
        <v>2017</v>
      </c>
      <c r="G407" s="178"/>
      <c r="H407" s="178"/>
      <c r="I407" s="178"/>
      <c r="J407" s="178"/>
      <c r="K407" s="178"/>
    </row>
    <row r="408" spans="1:11" x14ac:dyDescent="0.3">
      <c r="A408" s="11" t="s">
        <v>449</v>
      </c>
      <c r="B408" s="11" t="s">
        <v>35</v>
      </c>
      <c r="C408" s="12">
        <v>42787</v>
      </c>
      <c r="D408" s="13">
        <v>2.92</v>
      </c>
      <c r="E408" s="13">
        <v>3.36</v>
      </c>
      <c r="F408" s="178">
        <v>2017</v>
      </c>
      <c r="G408" s="178"/>
      <c r="H408" s="178"/>
      <c r="I408" s="178"/>
      <c r="J408" s="178"/>
      <c r="K408" s="178"/>
    </row>
    <row r="409" spans="1:11" x14ac:dyDescent="0.3">
      <c r="A409" s="11" t="s">
        <v>450</v>
      </c>
      <c r="B409" s="11" t="s">
        <v>35</v>
      </c>
      <c r="C409" s="12">
        <v>42801</v>
      </c>
      <c r="D409" s="13">
        <v>3.38</v>
      </c>
      <c r="E409" s="13">
        <v>3.74</v>
      </c>
      <c r="F409" s="178">
        <v>2017</v>
      </c>
      <c r="G409" s="178"/>
      <c r="H409" s="178"/>
      <c r="I409" s="178"/>
      <c r="J409" s="178"/>
      <c r="K409" s="178"/>
    </row>
    <row r="410" spans="1:11" x14ac:dyDescent="0.3">
      <c r="A410" s="11" t="s">
        <v>451</v>
      </c>
      <c r="B410" s="11" t="s">
        <v>35</v>
      </c>
      <c r="C410" s="12">
        <v>42830</v>
      </c>
      <c r="D410" s="13">
        <v>3.91</v>
      </c>
      <c r="E410" s="13">
        <v>4.8</v>
      </c>
      <c r="F410" s="178">
        <v>2017</v>
      </c>
      <c r="G410" s="178"/>
      <c r="H410" s="178"/>
      <c r="I410" s="178"/>
      <c r="J410" s="178"/>
      <c r="K410" s="178"/>
    </row>
    <row r="411" spans="1:11" x14ac:dyDescent="0.3">
      <c r="A411" s="11" t="s">
        <v>452</v>
      </c>
      <c r="B411" s="11" t="s">
        <v>35</v>
      </c>
      <c r="C411" s="12">
        <v>42858</v>
      </c>
      <c r="D411" s="13">
        <v>8.2100000000000009</v>
      </c>
      <c r="E411" s="13">
        <v>10.43</v>
      </c>
      <c r="F411" s="178">
        <v>2017</v>
      </c>
      <c r="G411" s="178"/>
      <c r="H411" s="178"/>
      <c r="I411" s="178"/>
      <c r="J411" s="178"/>
      <c r="K411" s="178"/>
    </row>
    <row r="412" spans="1:11" x14ac:dyDescent="0.3">
      <c r="A412" s="11" t="s">
        <v>453</v>
      </c>
      <c r="B412" s="11" t="s">
        <v>35</v>
      </c>
      <c r="C412" s="12">
        <v>42892</v>
      </c>
      <c r="D412" s="13">
        <v>12.32</v>
      </c>
      <c r="E412" s="13">
        <v>14.06</v>
      </c>
      <c r="F412" s="178">
        <v>2017</v>
      </c>
      <c r="G412" s="178"/>
      <c r="H412" s="178"/>
      <c r="I412" s="178"/>
      <c r="J412" s="178"/>
      <c r="K412" s="178"/>
    </row>
    <row r="413" spans="1:11" x14ac:dyDescent="0.3">
      <c r="A413" s="11" t="s">
        <v>454</v>
      </c>
      <c r="B413" s="11" t="s">
        <v>35</v>
      </c>
      <c r="C413" s="12">
        <v>42906</v>
      </c>
      <c r="D413" s="13">
        <v>13.27</v>
      </c>
      <c r="E413" s="13">
        <v>19.36</v>
      </c>
      <c r="F413" s="178">
        <v>2017</v>
      </c>
      <c r="G413" s="178"/>
      <c r="H413" s="178"/>
      <c r="I413" s="178"/>
      <c r="J413" s="178"/>
      <c r="K413" s="178"/>
    </row>
    <row r="414" spans="1:11" x14ac:dyDescent="0.3">
      <c r="A414" s="11" t="s">
        <v>455</v>
      </c>
      <c r="B414" s="11" t="s">
        <v>35</v>
      </c>
      <c r="C414" s="12">
        <v>42922</v>
      </c>
      <c r="D414" s="13">
        <v>16.25</v>
      </c>
      <c r="E414" s="13">
        <v>20</v>
      </c>
      <c r="F414" s="178">
        <v>2017</v>
      </c>
      <c r="G414" s="178"/>
      <c r="H414" s="178"/>
      <c r="I414" s="178"/>
      <c r="J414" s="178"/>
      <c r="K414" s="178"/>
    </row>
    <row r="415" spans="1:11" x14ac:dyDescent="0.3">
      <c r="A415" s="11" t="s">
        <v>456</v>
      </c>
      <c r="B415" s="11" t="s">
        <v>35</v>
      </c>
      <c r="C415" s="12">
        <v>42934</v>
      </c>
      <c r="D415" s="13">
        <v>17.57</v>
      </c>
      <c r="E415" s="13">
        <v>23.57</v>
      </c>
      <c r="F415" s="178">
        <v>2017</v>
      </c>
      <c r="G415" s="178"/>
      <c r="H415" s="178"/>
      <c r="I415" s="178"/>
      <c r="J415" s="178"/>
      <c r="K415" s="178"/>
    </row>
    <row r="416" spans="1:11" x14ac:dyDescent="0.3">
      <c r="A416" s="11" t="s">
        <v>457</v>
      </c>
      <c r="B416" s="11" t="s">
        <v>35</v>
      </c>
      <c r="C416" s="12">
        <v>42948</v>
      </c>
      <c r="D416" s="13">
        <v>20.27</v>
      </c>
      <c r="E416" s="13">
        <v>23.74</v>
      </c>
      <c r="F416" s="178">
        <v>2017</v>
      </c>
      <c r="G416" s="178"/>
      <c r="H416" s="178"/>
      <c r="I416" s="178"/>
      <c r="J416" s="178"/>
      <c r="K416" s="178"/>
    </row>
    <row r="417" spans="1:11" x14ac:dyDescent="0.3">
      <c r="A417" s="11" t="s">
        <v>458</v>
      </c>
      <c r="B417" s="11" t="s">
        <v>35</v>
      </c>
      <c r="C417" s="12">
        <v>42962</v>
      </c>
      <c r="D417" s="13">
        <v>20.7</v>
      </c>
      <c r="E417" s="13">
        <v>23.11</v>
      </c>
      <c r="F417" s="178">
        <v>2017</v>
      </c>
      <c r="G417" s="178"/>
      <c r="H417" s="178"/>
      <c r="I417" s="178"/>
      <c r="J417" s="178"/>
      <c r="K417" s="178"/>
    </row>
    <row r="418" spans="1:11" x14ac:dyDescent="0.3">
      <c r="A418" s="11" t="s">
        <v>459</v>
      </c>
      <c r="B418" s="11" t="s">
        <v>35</v>
      </c>
      <c r="C418" s="12">
        <v>42975</v>
      </c>
      <c r="D418" s="13">
        <v>21.87</v>
      </c>
      <c r="E418" s="13">
        <v>22.44</v>
      </c>
      <c r="F418" s="178">
        <v>2017</v>
      </c>
      <c r="G418" s="178"/>
      <c r="H418" s="178"/>
      <c r="I418" s="178"/>
      <c r="J418" s="178"/>
      <c r="K418" s="178"/>
    </row>
    <row r="419" spans="1:11" x14ac:dyDescent="0.3">
      <c r="A419" s="11" t="s">
        <v>460</v>
      </c>
      <c r="B419" s="11" t="s">
        <v>35</v>
      </c>
      <c r="C419" s="12">
        <v>43018</v>
      </c>
      <c r="D419" s="13">
        <v>20.81</v>
      </c>
      <c r="E419" s="13">
        <v>21.78</v>
      </c>
      <c r="F419" s="178">
        <v>2017</v>
      </c>
      <c r="G419" s="178"/>
      <c r="H419" s="178"/>
      <c r="I419" s="178"/>
      <c r="J419" s="178"/>
      <c r="K419" s="178"/>
    </row>
    <row r="420" spans="1:11" x14ac:dyDescent="0.3">
      <c r="A420" s="11" t="s">
        <v>461</v>
      </c>
      <c r="B420" s="11" t="s">
        <v>35</v>
      </c>
      <c r="C420" s="12">
        <v>43052</v>
      </c>
      <c r="D420" s="13">
        <v>15.14</v>
      </c>
      <c r="E420" s="13">
        <v>15.05</v>
      </c>
      <c r="F420" s="178">
        <v>2017</v>
      </c>
      <c r="G420" s="178"/>
      <c r="H420" s="178"/>
      <c r="I420" s="178"/>
      <c r="J420" s="178"/>
      <c r="K420" s="178"/>
    </row>
    <row r="421" spans="1:11" x14ac:dyDescent="0.3">
      <c r="A421" s="11" t="s">
        <v>462</v>
      </c>
      <c r="B421" s="11" t="s">
        <v>35</v>
      </c>
      <c r="C421" s="12">
        <v>43069</v>
      </c>
      <c r="D421" s="13">
        <v>11.54</v>
      </c>
      <c r="E421" s="13">
        <v>10.82</v>
      </c>
      <c r="F421" s="178">
        <v>2017</v>
      </c>
      <c r="G421" s="178"/>
      <c r="H421" s="178"/>
      <c r="I421" s="178"/>
      <c r="J421" s="178"/>
      <c r="K421" s="178"/>
    </row>
    <row r="422" spans="1:11" s="3" customFormat="1" x14ac:dyDescent="0.3">
      <c r="A422" s="15" t="s">
        <v>463</v>
      </c>
      <c r="B422" s="15" t="s">
        <v>35</v>
      </c>
      <c r="C422" s="16">
        <v>43111</v>
      </c>
      <c r="D422" s="17">
        <v>1.95</v>
      </c>
      <c r="E422" s="17">
        <v>1.6</v>
      </c>
      <c r="F422" s="179">
        <v>2018</v>
      </c>
      <c r="G422" s="179"/>
      <c r="H422" s="179"/>
      <c r="I422" s="179"/>
      <c r="J422" s="179"/>
      <c r="K422" s="179"/>
    </row>
    <row r="423" spans="1:11" x14ac:dyDescent="0.3">
      <c r="A423" s="11" t="s">
        <v>464</v>
      </c>
      <c r="B423" s="11" t="s">
        <v>35</v>
      </c>
      <c r="C423" s="12">
        <v>43139</v>
      </c>
      <c r="D423" s="14"/>
      <c r="E423" s="14"/>
      <c r="F423" s="14">
        <v>2018</v>
      </c>
      <c r="G423" s="14"/>
      <c r="H423" s="14"/>
      <c r="I423" s="14"/>
      <c r="J423" s="14"/>
      <c r="K423" s="14"/>
    </row>
    <row r="424" spans="1:11" x14ac:dyDescent="0.3">
      <c r="A424" s="11" t="s">
        <v>465</v>
      </c>
      <c r="B424" s="11" t="s">
        <v>35</v>
      </c>
      <c r="C424" s="12">
        <v>43151</v>
      </c>
      <c r="D424" s="13">
        <v>1.52</v>
      </c>
      <c r="E424" s="13">
        <v>2.52</v>
      </c>
      <c r="F424" s="178">
        <v>2018</v>
      </c>
      <c r="G424" s="178"/>
      <c r="H424" s="178"/>
      <c r="I424" s="178"/>
      <c r="J424" s="178"/>
      <c r="K424" s="178"/>
    </row>
    <row r="425" spans="1:11" x14ac:dyDescent="0.3">
      <c r="A425" s="11" t="s">
        <v>466</v>
      </c>
      <c r="B425" s="11" t="s">
        <v>35</v>
      </c>
      <c r="C425" s="12">
        <v>43178</v>
      </c>
      <c r="D425" s="13">
        <v>2.98</v>
      </c>
      <c r="E425" s="13">
        <v>3.32</v>
      </c>
      <c r="F425" s="178">
        <v>2018</v>
      </c>
      <c r="G425" s="178"/>
      <c r="H425" s="178"/>
      <c r="I425" s="178"/>
      <c r="J425" s="178"/>
      <c r="K425" s="178"/>
    </row>
    <row r="426" spans="1:11" x14ac:dyDescent="0.3">
      <c r="A426" s="11" t="s">
        <v>467</v>
      </c>
      <c r="B426" s="11" t="s">
        <v>35</v>
      </c>
      <c r="C426" s="12">
        <v>43200</v>
      </c>
      <c r="D426" s="13">
        <v>3.93</v>
      </c>
      <c r="E426" s="13">
        <v>4.74</v>
      </c>
      <c r="F426" s="178">
        <v>2018</v>
      </c>
      <c r="G426" s="178"/>
      <c r="H426" s="178"/>
      <c r="I426" s="178"/>
      <c r="J426" s="178"/>
      <c r="K426" s="178"/>
    </row>
    <row r="427" spans="1:11" x14ac:dyDescent="0.3">
      <c r="A427" s="11" t="s">
        <v>468</v>
      </c>
      <c r="B427" s="11" t="s">
        <v>35</v>
      </c>
      <c r="C427" s="12">
        <v>43222</v>
      </c>
      <c r="D427" s="13">
        <v>6.03</v>
      </c>
      <c r="E427" s="13">
        <v>9</v>
      </c>
      <c r="F427" s="178">
        <v>2018</v>
      </c>
      <c r="G427" s="178"/>
      <c r="H427" s="178"/>
      <c r="I427" s="178"/>
      <c r="J427" s="178"/>
      <c r="K427" s="178"/>
    </row>
    <row r="428" spans="1:11" x14ac:dyDescent="0.3">
      <c r="A428" s="11" t="s">
        <v>469</v>
      </c>
      <c r="B428" s="11" t="s">
        <v>35</v>
      </c>
      <c r="C428" s="12">
        <v>43256</v>
      </c>
      <c r="D428" s="13">
        <v>10.88</v>
      </c>
      <c r="E428" s="13">
        <v>15.5</v>
      </c>
      <c r="F428" s="178">
        <v>2018</v>
      </c>
      <c r="G428" s="178"/>
      <c r="H428" s="178"/>
      <c r="I428" s="178"/>
      <c r="J428" s="178"/>
      <c r="K428" s="178"/>
    </row>
    <row r="429" spans="1:11" x14ac:dyDescent="0.3">
      <c r="A429" s="11" t="s">
        <v>470</v>
      </c>
      <c r="B429" s="11" t="s">
        <v>35</v>
      </c>
      <c r="C429" s="12">
        <v>43263</v>
      </c>
      <c r="D429" s="13">
        <v>11.43</v>
      </c>
      <c r="E429" s="13">
        <v>15.54</v>
      </c>
      <c r="F429" s="178">
        <v>2018</v>
      </c>
      <c r="G429" s="178"/>
      <c r="H429" s="178"/>
      <c r="I429" s="178"/>
      <c r="J429" s="178"/>
      <c r="K429" s="178"/>
    </row>
    <row r="430" spans="1:11" x14ac:dyDescent="0.3">
      <c r="A430" s="11" t="s">
        <v>471</v>
      </c>
      <c r="B430" s="11" t="s">
        <v>35</v>
      </c>
      <c r="C430" s="12">
        <v>43286</v>
      </c>
      <c r="D430" s="13">
        <v>14.72</v>
      </c>
      <c r="E430" s="13">
        <v>23.01</v>
      </c>
      <c r="F430" s="178">
        <v>2018</v>
      </c>
      <c r="G430" s="178"/>
      <c r="H430" s="178"/>
      <c r="I430" s="178"/>
      <c r="J430" s="178"/>
      <c r="K430" s="178"/>
    </row>
    <row r="431" spans="1:11" x14ac:dyDescent="0.3">
      <c r="A431" s="11" t="s">
        <v>472</v>
      </c>
      <c r="B431" s="11" t="s">
        <v>35</v>
      </c>
      <c r="C431" s="12">
        <v>43297</v>
      </c>
      <c r="D431" s="13">
        <v>16.690000000000001</v>
      </c>
      <c r="E431" s="13">
        <v>21.33</v>
      </c>
      <c r="F431" s="178">
        <v>2018</v>
      </c>
      <c r="G431" s="178"/>
      <c r="H431" s="178"/>
      <c r="I431" s="178"/>
      <c r="J431" s="178"/>
      <c r="K431" s="178"/>
    </row>
    <row r="432" spans="1:11" x14ac:dyDescent="0.3">
      <c r="A432" s="11" t="s">
        <v>473</v>
      </c>
      <c r="B432" s="11" t="s">
        <v>35</v>
      </c>
      <c r="C432" s="12">
        <v>43314</v>
      </c>
      <c r="D432" s="13">
        <v>19.38</v>
      </c>
      <c r="E432" s="13">
        <v>23.91</v>
      </c>
      <c r="F432" s="178">
        <v>2018</v>
      </c>
      <c r="G432" s="178"/>
      <c r="H432" s="178"/>
      <c r="I432" s="178"/>
      <c r="J432" s="178"/>
      <c r="K432" s="178"/>
    </row>
    <row r="433" spans="1:11" x14ac:dyDescent="0.3">
      <c r="A433" s="11" t="s">
        <v>474</v>
      </c>
      <c r="B433" s="11" t="s">
        <v>35</v>
      </c>
      <c r="C433" s="12">
        <v>43327</v>
      </c>
      <c r="D433" s="13">
        <v>21.18</v>
      </c>
      <c r="E433" s="13">
        <v>24.39</v>
      </c>
      <c r="F433" s="178">
        <v>2018</v>
      </c>
      <c r="G433" s="178"/>
      <c r="H433" s="178"/>
      <c r="I433" s="178"/>
      <c r="J433" s="178"/>
      <c r="K433" s="178"/>
    </row>
    <row r="434" spans="1:11" x14ac:dyDescent="0.3">
      <c r="A434" s="11" t="s">
        <v>475</v>
      </c>
      <c r="B434" s="11" t="s">
        <v>35</v>
      </c>
      <c r="C434" s="12">
        <v>43339</v>
      </c>
      <c r="D434" s="13">
        <v>22.04</v>
      </c>
      <c r="E434" s="13">
        <v>24.37</v>
      </c>
      <c r="F434" s="178">
        <v>2018</v>
      </c>
      <c r="G434" s="178"/>
      <c r="H434" s="178"/>
      <c r="I434" s="178"/>
      <c r="J434" s="178"/>
      <c r="K434" s="178"/>
    </row>
    <row r="435" spans="1:11" x14ac:dyDescent="0.3">
      <c r="A435" s="11" t="s">
        <v>476</v>
      </c>
      <c r="B435" s="11" t="s">
        <v>35</v>
      </c>
      <c r="C435" s="12">
        <v>43355</v>
      </c>
      <c r="D435" s="13">
        <v>22.61</v>
      </c>
      <c r="E435" s="13">
        <v>22.67</v>
      </c>
      <c r="F435" s="178">
        <v>2018</v>
      </c>
      <c r="G435" s="178"/>
      <c r="H435" s="178"/>
      <c r="I435" s="178"/>
      <c r="J435" s="178"/>
      <c r="K435" s="178"/>
    </row>
    <row r="436" spans="1:11" x14ac:dyDescent="0.3">
      <c r="A436" s="11" t="s">
        <v>477</v>
      </c>
      <c r="B436" s="11" t="s">
        <v>35</v>
      </c>
      <c r="C436" s="12">
        <v>43376</v>
      </c>
      <c r="D436" s="13">
        <v>21.55</v>
      </c>
      <c r="E436" s="13">
        <v>21.69</v>
      </c>
      <c r="F436" s="178">
        <v>2018</v>
      </c>
      <c r="G436" s="178"/>
      <c r="H436" s="178"/>
      <c r="I436" s="178"/>
      <c r="J436" s="178"/>
      <c r="K436" s="178"/>
    </row>
    <row r="437" spans="1:11" x14ac:dyDescent="0.3">
      <c r="A437" s="11" t="s">
        <v>478</v>
      </c>
      <c r="B437" s="11" t="s">
        <v>35</v>
      </c>
      <c r="C437" s="12">
        <v>43410</v>
      </c>
      <c r="D437" s="13">
        <v>14.85</v>
      </c>
      <c r="E437" s="13">
        <v>14.55</v>
      </c>
      <c r="F437" s="178">
        <v>2018</v>
      </c>
      <c r="G437" s="178"/>
      <c r="H437" s="178"/>
      <c r="I437" s="178"/>
      <c r="J437" s="178"/>
      <c r="K437" s="178"/>
    </row>
    <row r="438" spans="1:11" x14ac:dyDescent="0.3">
      <c r="A438" s="11" t="s">
        <v>479</v>
      </c>
      <c r="B438" s="11" t="s">
        <v>35</v>
      </c>
      <c r="C438" s="12">
        <v>43437</v>
      </c>
      <c r="D438" s="13">
        <v>8.65</v>
      </c>
      <c r="E438" s="13">
        <v>8.5</v>
      </c>
      <c r="F438" s="178">
        <v>2018</v>
      </c>
      <c r="G438" s="178"/>
      <c r="H438" s="178"/>
      <c r="I438" s="178"/>
      <c r="J438" s="178"/>
      <c r="K438" s="178"/>
    </row>
    <row r="439" spans="1:11" s="3" customFormat="1" x14ac:dyDescent="0.3">
      <c r="A439" s="15" t="s">
        <v>6</v>
      </c>
      <c r="B439" s="15" t="s">
        <v>35</v>
      </c>
      <c r="C439" s="16">
        <v>43472</v>
      </c>
      <c r="D439" s="17">
        <v>5.92</v>
      </c>
      <c r="E439" s="17">
        <v>5.19</v>
      </c>
      <c r="F439" s="179">
        <v>2019</v>
      </c>
      <c r="G439" s="179"/>
      <c r="H439" s="179"/>
      <c r="I439" s="179"/>
      <c r="J439" s="179"/>
      <c r="K439" s="179"/>
    </row>
    <row r="440" spans="1:11" x14ac:dyDescent="0.3">
      <c r="A440" s="11" t="s">
        <v>7</v>
      </c>
      <c r="B440" s="11" t="s">
        <v>35</v>
      </c>
      <c r="C440" s="12">
        <v>43503</v>
      </c>
      <c r="D440" s="13">
        <v>1.94</v>
      </c>
      <c r="E440" s="13">
        <v>1.98</v>
      </c>
      <c r="F440" s="178">
        <v>2019</v>
      </c>
      <c r="G440" s="178"/>
      <c r="H440" s="178"/>
      <c r="I440" s="178"/>
      <c r="J440" s="178"/>
      <c r="K440" s="178"/>
    </row>
    <row r="441" spans="1:11" x14ac:dyDescent="0.3">
      <c r="A441" s="11" t="s">
        <v>8</v>
      </c>
      <c r="B441" s="11" t="s">
        <v>35</v>
      </c>
      <c r="C441" s="12">
        <v>43517</v>
      </c>
      <c r="D441" s="13">
        <v>1.82</v>
      </c>
      <c r="E441" s="13">
        <v>1.93</v>
      </c>
      <c r="F441" s="178">
        <v>2019</v>
      </c>
      <c r="G441" s="178"/>
      <c r="H441" s="178"/>
      <c r="I441" s="178"/>
      <c r="J441" s="178"/>
      <c r="K441" s="178"/>
    </row>
    <row r="442" spans="1:11" x14ac:dyDescent="0.3">
      <c r="A442" s="11" t="s">
        <v>9</v>
      </c>
      <c r="B442" s="11" t="s">
        <v>35</v>
      </c>
      <c r="C442" s="12">
        <v>43529</v>
      </c>
      <c r="D442" s="13">
        <v>1.99</v>
      </c>
      <c r="E442" s="13">
        <v>1.99</v>
      </c>
      <c r="F442" s="178">
        <v>2019</v>
      </c>
      <c r="G442" s="178"/>
      <c r="H442" s="178"/>
      <c r="I442" s="178"/>
      <c r="J442" s="178"/>
      <c r="K442" s="178"/>
    </row>
    <row r="443" spans="1:11" x14ac:dyDescent="0.3">
      <c r="A443" s="11" t="s">
        <v>10</v>
      </c>
      <c r="B443" s="11" t="s">
        <v>35</v>
      </c>
      <c r="C443" s="12">
        <v>43558</v>
      </c>
      <c r="D443" s="13">
        <v>3.76</v>
      </c>
      <c r="E443" s="13">
        <v>4.8600000000000003</v>
      </c>
      <c r="F443" s="178">
        <v>2019</v>
      </c>
      <c r="G443" s="178"/>
      <c r="H443" s="178"/>
      <c r="I443" s="178"/>
      <c r="J443" s="178"/>
      <c r="K443" s="178"/>
    </row>
    <row r="444" spans="1:11" x14ac:dyDescent="0.3">
      <c r="A444" s="11" t="s">
        <v>11</v>
      </c>
      <c r="B444" s="11" t="s">
        <v>35</v>
      </c>
      <c r="C444" s="12">
        <v>43592</v>
      </c>
      <c r="D444" s="13">
        <v>8.84</v>
      </c>
      <c r="E444" s="13">
        <v>11</v>
      </c>
      <c r="F444" s="178">
        <v>2019</v>
      </c>
      <c r="G444" s="178"/>
      <c r="H444" s="178"/>
      <c r="I444" s="178"/>
      <c r="J444" s="178"/>
      <c r="K444" s="178"/>
    </row>
    <row r="445" spans="1:11" x14ac:dyDescent="0.3">
      <c r="A445" s="11" t="s">
        <v>12</v>
      </c>
      <c r="B445" s="11" t="s">
        <v>35</v>
      </c>
      <c r="C445" s="12">
        <v>43615</v>
      </c>
      <c r="D445" s="13">
        <v>10.95</v>
      </c>
      <c r="E445" s="13">
        <v>14.12</v>
      </c>
      <c r="F445" s="178">
        <v>2019</v>
      </c>
      <c r="G445" s="178"/>
      <c r="H445" s="178"/>
      <c r="I445" s="178"/>
      <c r="J445" s="178"/>
      <c r="K445" s="178"/>
    </row>
    <row r="446" spans="1:11" x14ac:dyDescent="0.3">
      <c r="A446" s="11" t="s">
        <v>13</v>
      </c>
      <c r="B446" s="11" t="s">
        <v>35</v>
      </c>
      <c r="C446" s="12">
        <v>43628</v>
      </c>
      <c r="D446" s="13">
        <v>13.05</v>
      </c>
      <c r="E446" s="13">
        <v>16.36</v>
      </c>
      <c r="F446" s="178">
        <v>2019</v>
      </c>
      <c r="G446" s="178"/>
      <c r="H446" s="178"/>
      <c r="I446" s="178"/>
      <c r="J446" s="178"/>
      <c r="K446" s="178"/>
    </row>
    <row r="447" spans="1:11" x14ac:dyDescent="0.3">
      <c r="A447" s="11" t="s">
        <v>14</v>
      </c>
      <c r="B447" s="11" t="s">
        <v>35</v>
      </c>
      <c r="C447" s="12">
        <v>43648</v>
      </c>
      <c r="D447" s="13">
        <v>15.6</v>
      </c>
      <c r="E447" s="13">
        <v>20.27</v>
      </c>
      <c r="F447" s="178">
        <v>2019</v>
      </c>
      <c r="G447" s="178"/>
      <c r="H447" s="178"/>
      <c r="I447" s="178"/>
      <c r="J447" s="178"/>
      <c r="K447" s="178"/>
    </row>
    <row r="448" spans="1:11" x14ac:dyDescent="0.3">
      <c r="A448" s="11" t="s">
        <v>15</v>
      </c>
      <c r="B448" s="11" t="s">
        <v>35</v>
      </c>
      <c r="C448" s="12">
        <v>43661</v>
      </c>
      <c r="D448" s="13">
        <v>16.97</v>
      </c>
      <c r="E448" s="13">
        <v>21.54</v>
      </c>
      <c r="F448" s="178">
        <v>2019</v>
      </c>
      <c r="G448" s="178"/>
      <c r="H448" s="178"/>
      <c r="I448" s="178"/>
      <c r="J448" s="178"/>
      <c r="K448" s="178"/>
    </row>
    <row r="449" spans="1:11" x14ac:dyDescent="0.3">
      <c r="A449" s="11" t="s">
        <v>16</v>
      </c>
      <c r="B449" s="11" t="s">
        <v>35</v>
      </c>
      <c r="C449" s="12">
        <v>43676</v>
      </c>
      <c r="D449" s="13">
        <v>18.41</v>
      </c>
      <c r="E449" s="13">
        <v>24.13</v>
      </c>
      <c r="F449" s="178">
        <v>2019</v>
      </c>
      <c r="G449" s="178"/>
      <c r="H449" s="178"/>
      <c r="I449" s="178"/>
      <c r="J449" s="178"/>
      <c r="K449" s="178"/>
    </row>
    <row r="450" spans="1:11" x14ac:dyDescent="0.3">
      <c r="A450" s="11" t="s">
        <v>17</v>
      </c>
      <c r="B450" s="11" t="s">
        <v>35</v>
      </c>
      <c r="C450" s="12">
        <v>43689</v>
      </c>
      <c r="D450" s="13">
        <v>20.75</v>
      </c>
      <c r="E450" s="13">
        <v>23.41</v>
      </c>
      <c r="F450" s="178">
        <v>2019</v>
      </c>
      <c r="G450" s="178"/>
      <c r="H450" s="178"/>
      <c r="I450" s="178"/>
      <c r="J450" s="178"/>
      <c r="K450" s="178"/>
    </row>
    <row r="451" spans="1:11" x14ac:dyDescent="0.3">
      <c r="A451" s="11" t="s">
        <v>18</v>
      </c>
      <c r="B451" s="11" t="s">
        <v>35</v>
      </c>
      <c r="C451" s="12">
        <v>43706</v>
      </c>
      <c r="D451" s="13">
        <v>21.69</v>
      </c>
      <c r="E451" s="13">
        <v>22.2</v>
      </c>
      <c r="F451" s="178">
        <v>2019</v>
      </c>
      <c r="G451" s="178"/>
      <c r="H451" s="178"/>
      <c r="I451" s="178"/>
      <c r="J451" s="178"/>
      <c r="K451" s="178"/>
    </row>
    <row r="452" spans="1:11" x14ac:dyDescent="0.3">
      <c r="A452" s="11" t="s">
        <v>19</v>
      </c>
      <c r="B452" s="11" t="s">
        <v>35</v>
      </c>
      <c r="C452" s="12">
        <v>43718</v>
      </c>
      <c r="D452" s="13">
        <v>21.95</v>
      </c>
      <c r="E452" s="13">
        <v>22.08</v>
      </c>
      <c r="F452" s="178">
        <v>2019</v>
      </c>
      <c r="G452" s="178"/>
      <c r="H452" s="178"/>
      <c r="I452" s="178"/>
      <c r="J452" s="178"/>
      <c r="K452" s="178"/>
    </row>
    <row r="453" spans="1:11" x14ac:dyDescent="0.3">
      <c r="A453" s="11" t="s">
        <v>39</v>
      </c>
      <c r="B453" s="11" t="s">
        <v>35</v>
      </c>
      <c r="C453" s="12">
        <v>43739</v>
      </c>
      <c r="D453" s="13">
        <v>21.24</v>
      </c>
      <c r="E453" s="13">
        <v>21.46</v>
      </c>
      <c r="F453" s="178">
        <v>2019</v>
      </c>
      <c r="G453" s="178"/>
      <c r="H453" s="178"/>
      <c r="I453" s="178"/>
      <c r="J453" s="178"/>
      <c r="K453" s="178"/>
    </row>
    <row r="454" spans="1:11" x14ac:dyDescent="0.3">
      <c r="A454" s="33" t="s">
        <v>40</v>
      </c>
      <c r="B454" s="33" t="s">
        <v>35</v>
      </c>
      <c r="C454" s="34">
        <v>43774</v>
      </c>
      <c r="D454" s="35">
        <v>15.8</v>
      </c>
      <c r="E454" s="35">
        <v>15.45</v>
      </c>
      <c r="F454" s="178">
        <v>2019</v>
      </c>
      <c r="G454" s="178"/>
      <c r="H454" s="178"/>
      <c r="I454" s="178"/>
      <c r="J454" s="178"/>
      <c r="K454" s="178"/>
    </row>
    <row r="455" spans="1:11" x14ac:dyDescent="0.3">
      <c r="A455" s="33" t="s">
        <v>41</v>
      </c>
      <c r="B455" s="33" t="s">
        <v>35</v>
      </c>
      <c r="C455" s="34">
        <v>43804</v>
      </c>
      <c r="D455" s="36">
        <v>8.4600000000000009</v>
      </c>
      <c r="E455" s="36">
        <v>8.44</v>
      </c>
      <c r="F455" s="180">
        <v>2019</v>
      </c>
      <c r="G455" s="180"/>
      <c r="H455" s="180"/>
      <c r="I455" s="180"/>
      <c r="J455" s="180"/>
      <c r="K455" s="180"/>
    </row>
    <row r="456" spans="1:11" x14ac:dyDescent="0.3">
      <c r="A456" s="37" t="s">
        <v>502</v>
      </c>
      <c r="B456" s="37" t="s">
        <v>35</v>
      </c>
      <c r="C456" s="38">
        <v>43839</v>
      </c>
      <c r="D456" s="39">
        <v>4.9000000000000004</v>
      </c>
      <c r="E456" s="39">
        <v>4.8899999999999997</v>
      </c>
      <c r="F456" s="181">
        <v>2020</v>
      </c>
      <c r="G456" s="181"/>
      <c r="H456" s="181"/>
      <c r="I456" s="181"/>
      <c r="J456" s="181"/>
      <c r="K456" s="181"/>
    </row>
    <row r="457" spans="1:11" x14ac:dyDescent="0.3">
      <c r="A457" s="37" t="s">
        <v>503</v>
      </c>
      <c r="B457" s="37" t="s">
        <v>35</v>
      </c>
      <c r="C457" s="38">
        <v>43864</v>
      </c>
      <c r="D457" s="40"/>
      <c r="E457" s="40"/>
      <c r="F457" s="40">
        <v>2020</v>
      </c>
      <c r="G457" s="40"/>
      <c r="H457" s="40"/>
      <c r="I457" s="40"/>
      <c r="J457" s="40"/>
      <c r="K457" s="40"/>
    </row>
    <row r="458" spans="1:11" x14ac:dyDescent="0.3">
      <c r="A458" s="37" t="s">
        <v>504</v>
      </c>
      <c r="B458" s="37" t="s">
        <v>35</v>
      </c>
      <c r="C458" s="38">
        <v>43900</v>
      </c>
      <c r="D458" s="39">
        <v>4.1900000000000004</v>
      </c>
      <c r="E458" s="39">
        <v>4.51</v>
      </c>
      <c r="F458" s="181">
        <v>2020</v>
      </c>
      <c r="G458" s="181"/>
      <c r="H458" s="181"/>
      <c r="I458" s="181"/>
      <c r="J458" s="181"/>
      <c r="K458" s="181"/>
    </row>
    <row r="459" spans="1:11" x14ac:dyDescent="0.3">
      <c r="A459" s="37" t="s">
        <v>510</v>
      </c>
      <c r="B459" s="37" t="s">
        <v>35</v>
      </c>
      <c r="C459" s="38">
        <v>43999</v>
      </c>
      <c r="D459" s="39">
        <v>13.03</v>
      </c>
      <c r="E459" s="39">
        <v>16.989999999999998</v>
      </c>
      <c r="F459" s="181">
        <v>2020</v>
      </c>
      <c r="G459" s="181"/>
      <c r="H459" s="181"/>
      <c r="I459" s="181"/>
      <c r="J459" s="181"/>
      <c r="K459" s="181"/>
    </row>
    <row r="460" spans="1:11" x14ac:dyDescent="0.3">
      <c r="A460" s="37" t="s">
        <v>505</v>
      </c>
      <c r="B460" s="37" t="s">
        <v>35</v>
      </c>
      <c r="C460" s="38">
        <v>44019</v>
      </c>
      <c r="D460" s="39">
        <v>15.91</v>
      </c>
      <c r="E460" s="39">
        <v>19.59</v>
      </c>
      <c r="F460" s="181">
        <v>2020</v>
      </c>
      <c r="G460" s="181"/>
      <c r="H460" s="181"/>
      <c r="I460" s="181"/>
      <c r="J460" s="181"/>
      <c r="K460" s="181"/>
    </row>
    <row r="461" spans="1:11" x14ac:dyDescent="0.3">
      <c r="A461" s="37" t="s">
        <v>511</v>
      </c>
      <c r="B461" s="37" t="s">
        <v>35</v>
      </c>
      <c r="C461" s="38">
        <v>44032</v>
      </c>
      <c r="D461" s="39">
        <v>17.64</v>
      </c>
      <c r="E461" s="39">
        <v>23.35</v>
      </c>
      <c r="F461" s="181">
        <v>2020</v>
      </c>
      <c r="G461" s="181"/>
      <c r="H461" s="181"/>
      <c r="I461" s="181"/>
      <c r="J461" s="181"/>
      <c r="K461" s="181"/>
    </row>
    <row r="462" spans="1:11" x14ac:dyDescent="0.3">
      <c r="A462" s="37" t="s">
        <v>506</v>
      </c>
      <c r="B462" s="37" t="s">
        <v>35</v>
      </c>
      <c r="C462" s="38">
        <v>44055</v>
      </c>
      <c r="D462" s="39">
        <v>21.12</v>
      </c>
      <c r="E462" s="39">
        <v>25.66</v>
      </c>
      <c r="F462" s="181">
        <v>2020</v>
      </c>
      <c r="G462" s="181"/>
      <c r="H462" s="181"/>
      <c r="I462" s="181"/>
      <c r="J462" s="181"/>
      <c r="K462" s="181"/>
    </row>
    <row r="463" spans="1:11" x14ac:dyDescent="0.3">
      <c r="A463" s="37" t="s">
        <v>512</v>
      </c>
      <c r="B463" s="37" t="s">
        <v>35</v>
      </c>
      <c r="C463" s="38">
        <v>44075</v>
      </c>
      <c r="D463" s="40"/>
      <c r="E463" s="40"/>
      <c r="F463" s="40">
        <v>2020</v>
      </c>
      <c r="G463" s="40"/>
      <c r="H463" s="40"/>
      <c r="I463" s="40"/>
      <c r="J463" s="40"/>
      <c r="K463" s="40"/>
    </row>
    <row r="464" spans="1:11" x14ac:dyDescent="0.3">
      <c r="A464" s="37" t="s">
        <v>507</v>
      </c>
      <c r="B464" s="37" t="s">
        <v>35</v>
      </c>
      <c r="C464" s="38">
        <v>44083</v>
      </c>
      <c r="D464" s="39">
        <v>23.04</v>
      </c>
      <c r="E464" s="39">
        <v>24.06</v>
      </c>
      <c r="F464" s="181">
        <v>2020</v>
      </c>
      <c r="G464" s="181"/>
      <c r="H464" s="181"/>
      <c r="I464" s="181"/>
      <c r="J464" s="181"/>
      <c r="K464" s="181"/>
    </row>
    <row r="465" spans="1:11" x14ac:dyDescent="0.3">
      <c r="A465" s="37" t="s">
        <v>508</v>
      </c>
      <c r="B465" s="37" t="s">
        <v>35</v>
      </c>
      <c r="C465" s="38">
        <v>44118</v>
      </c>
      <c r="D465" s="39">
        <v>18.68</v>
      </c>
      <c r="E465" s="39">
        <v>18.68</v>
      </c>
      <c r="F465" s="181">
        <v>2020</v>
      </c>
      <c r="G465" s="181"/>
      <c r="H465" s="181"/>
      <c r="I465" s="181"/>
      <c r="J465" s="181"/>
      <c r="K465" s="181"/>
    </row>
    <row r="466" spans="1:11" x14ac:dyDescent="0.3">
      <c r="A466" s="37" t="s">
        <v>509</v>
      </c>
      <c r="B466" s="37" t="s">
        <v>35</v>
      </c>
      <c r="C466" s="38">
        <v>44139</v>
      </c>
      <c r="D466" s="39">
        <v>14.89</v>
      </c>
      <c r="E466" s="39">
        <v>14.49</v>
      </c>
      <c r="F466" s="181">
        <v>2020</v>
      </c>
      <c r="G466" s="181"/>
      <c r="H466" s="181"/>
      <c r="I466" s="181"/>
      <c r="J466" s="181"/>
      <c r="K466" s="181"/>
    </row>
    <row r="467" spans="1:11" x14ac:dyDescent="0.3">
      <c r="B467" s="49" t="s">
        <v>35</v>
      </c>
      <c r="C467" s="50">
        <v>44265</v>
      </c>
      <c r="D467" s="51">
        <v>2.27</v>
      </c>
      <c r="E467" s="51">
        <v>3.06</v>
      </c>
      <c r="F467" s="158">
        <v>2021</v>
      </c>
      <c r="G467" s="158"/>
      <c r="H467" s="158"/>
      <c r="I467" s="158"/>
      <c r="J467" s="158"/>
      <c r="K467" s="158"/>
    </row>
    <row r="468" spans="1:11" x14ac:dyDescent="0.3">
      <c r="B468" s="49" t="s">
        <v>35</v>
      </c>
      <c r="C468" s="50">
        <v>44293</v>
      </c>
      <c r="D468" s="51">
        <v>4.83</v>
      </c>
      <c r="E468" s="51">
        <v>6.41</v>
      </c>
      <c r="F468" s="158">
        <v>2021</v>
      </c>
      <c r="G468" s="158"/>
      <c r="H468" s="158"/>
      <c r="I468" s="158"/>
      <c r="J468" s="158"/>
      <c r="K468" s="158"/>
    </row>
    <row r="469" spans="1:11" x14ac:dyDescent="0.3">
      <c r="B469" s="49" t="s">
        <v>35</v>
      </c>
      <c r="C469" s="50">
        <v>44321</v>
      </c>
      <c r="D469" s="51">
        <v>8.9</v>
      </c>
      <c r="E469" s="51">
        <v>10.199999999999999</v>
      </c>
      <c r="F469" s="158">
        <v>2021</v>
      </c>
      <c r="G469" s="158"/>
      <c r="H469" s="158"/>
      <c r="I469" s="158"/>
      <c r="J469" s="158"/>
      <c r="K469" s="158"/>
    </row>
    <row r="470" spans="1:11" x14ac:dyDescent="0.3">
      <c r="B470" s="49" t="s">
        <v>35</v>
      </c>
      <c r="C470" s="50">
        <v>44355</v>
      </c>
      <c r="D470" s="51">
        <v>12.38</v>
      </c>
      <c r="E470" s="51">
        <v>17.690000000000001</v>
      </c>
      <c r="F470" s="158">
        <v>2021</v>
      </c>
      <c r="G470" s="158"/>
      <c r="H470" s="158"/>
      <c r="I470" s="158"/>
      <c r="J470" s="158"/>
      <c r="K470" s="158"/>
    </row>
    <row r="471" spans="1:11" x14ac:dyDescent="0.3">
      <c r="B471" s="49" t="s">
        <v>35</v>
      </c>
      <c r="C471" s="50">
        <v>44368</v>
      </c>
      <c r="D471" s="51">
        <v>13.62</v>
      </c>
      <c r="E471" s="51">
        <v>17.940000000000001</v>
      </c>
      <c r="F471" s="158">
        <v>2021</v>
      </c>
      <c r="G471" s="158"/>
      <c r="H471" s="158"/>
      <c r="I471" s="158"/>
      <c r="J471" s="158"/>
      <c r="K471" s="158"/>
    </row>
    <row r="472" spans="1:11" x14ac:dyDescent="0.3">
      <c r="B472" s="49" t="s">
        <v>35</v>
      </c>
      <c r="C472" s="50">
        <v>44389</v>
      </c>
      <c r="D472" s="51">
        <v>16.77</v>
      </c>
      <c r="E472" s="51">
        <v>22.13</v>
      </c>
      <c r="F472" s="158">
        <v>2021</v>
      </c>
      <c r="G472" s="158"/>
      <c r="H472" s="158"/>
      <c r="I472" s="158"/>
      <c r="J472" s="158"/>
      <c r="K472" s="158"/>
    </row>
    <row r="473" spans="1:11" x14ac:dyDescent="0.3">
      <c r="B473" s="49" t="s">
        <v>35</v>
      </c>
      <c r="C473" s="50">
        <v>44396</v>
      </c>
      <c r="D473" s="51">
        <v>17.489999999999998</v>
      </c>
      <c r="E473" s="51">
        <v>23.61</v>
      </c>
      <c r="F473" s="158">
        <v>2021</v>
      </c>
      <c r="G473" s="158"/>
      <c r="H473" s="158"/>
      <c r="I473" s="158"/>
      <c r="J473" s="158"/>
      <c r="K473" s="158"/>
    </row>
    <row r="474" spans="1:11" x14ac:dyDescent="0.3">
      <c r="B474" s="49" t="s">
        <v>35</v>
      </c>
      <c r="C474" s="50">
        <v>44411</v>
      </c>
      <c r="D474" s="51">
        <v>19.77</v>
      </c>
      <c r="E474" s="51">
        <v>22.11</v>
      </c>
      <c r="F474" s="158">
        <v>2021</v>
      </c>
      <c r="G474" s="158"/>
      <c r="H474" s="158"/>
      <c r="I474" s="158"/>
      <c r="J474" s="158"/>
      <c r="K474" s="158"/>
    </row>
    <row r="475" spans="1:11" x14ac:dyDescent="0.3">
      <c r="B475" s="49" t="s">
        <v>35</v>
      </c>
      <c r="C475" s="50">
        <v>44424</v>
      </c>
      <c r="D475" s="51">
        <v>20.49</v>
      </c>
      <c r="E475" s="51">
        <v>23.47</v>
      </c>
      <c r="F475" s="158">
        <v>2021</v>
      </c>
      <c r="G475" s="158"/>
      <c r="H475" s="158"/>
      <c r="I475" s="158"/>
      <c r="J475" s="158"/>
      <c r="K475" s="158"/>
    </row>
    <row r="476" spans="1:11" x14ac:dyDescent="0.3">
      <c r="B476" s="49" t="s">
        <v>35</v>
      </c>
      <c r="C476" s="50">
        <v>44439</v>
      </c>
      <c r="D476" s="51">
        <v>21.96</v>
      </c>
      <c r="E476" s="51">
        <v>24.64</v>
      </c>
      <c r="F476" s="158">
        <v>2021</v>
      </c>
      <c r="G476" s="158"/>
      <c r="H476" s="158"/>
      <c r="I476" s="158"/>
      <c r="J476" s="158"/>
      <c r="K476" s="158"/>
    </row>
    <row r="477" spans="1:11" x14ac:dyDescent="0.3">
      <c r="B477" s="49" t="s">
        <v>35</v>
      </c>
      <c r="C477" s="50">
        <v>44453</v>
      </c>
      <c r="D477" s="51">
        <v>22.47</v>
      </c>
      <c r="E477" s="51">
        <v>22.69</v>
      </c>
      <c r="F477" s="158">
        <v>2021</v>
      </c>
      <c r="G477" s="158"/>
      <c r="H477" s="158"/>
      <c r="I477" s="158"/>
      <c r="J477" s="158"/>
      <c r="K477" s="158"/>
    </row>
    <row r="478" spans="1:11" x14ac:dyDescent="0.3">
      <c r="B478" s="49" t="s">
        <v>35</v>
      </c>
      <c r="C478" s="50">
        <v>44474</v>
      </c>
      <c r="D478" s="51">
        <v>21.3</v>
      </c>
      <c r="E478" s="51">
        <v>21.28</v>
      </c>
      <c r="F478" s="158">
        <v>2021</v>
      </c>
      <c r="G478" s="158"/>
      <c r="H478" s="158"/>
      <c r="I478" s="158"/>
      <c r="J478" s="158"/>
      <c r="K478" s="158"/>
    </row>
    <row r="479" spans="1:11" x14ac:dyDescent="0.3">
      <c r="B479" s="49" t="s">
        <v>35</v>
      </c>
      <c r="C479" s="50">
        <v>44508</v>
      </c>
      <c r="D479" s="51">
        <v>16.29</v>
      </c>
      <c r="E479" s="51">
        <v>15.87</v>
      </c>
      <c r="F479" s="158">
        <v>2021</v>
      </c>
      <c r="G479" s="158"/>
      <c r="H479" s="158"/>
      <c r="I479" s="158"/>
      <c r="J479" s="158"/>
      <c r="K479" s="158"/>
    </row>
    <row r="480" spans="1:11" x14ac:dyDescent="0.3">
      <c r="B480" s="49" t="s">
        <v>35</v>
      </c>
      <c r="C480" s="50">
        <v>44537</v>
      </c>
      <c r="D480" s="51">
        <v>10.51</v>
      </c>
      <c r="E480" s="51">
        <v>10.29</v>
      </c>
      <c r="F480" s="158">
        <v>2021</v>
      </c>
      <c r="G480" s="158"/>
      <c r="H480" s="158"/>
      <c r="I480" s="158"/>
      <c r="J480" s="158"/>
      <c r="K480" s="158"/>
    </row>
    <row r="481" spans="1:11" x14ac:dyDescent="0.3">
      <c r="A481" s="37" t="s">
        <v>539</v>
      </c>
      <c r="B481" s="37" t="s">
        <v>35</v>
      </c>
      <c r="C481" s="38">
        <v>44594</v>
      </c>
      <c r="D481" s="39">
        <v>2.5</v>
      </c>
      <c r="E481" s="39">
        <v>2.34</v>
      </c>
      <c r="F481" s="181">
        <v>2022</v>
      </c>
      <c r="G481" s="181"/>
      <c r="H481" s="181"/>
      <c r="I481" s="181"/>
      <c r="J481" s="181"/>
      <c r="K481" s="181"/>
    </row>
    <row r="482" spans="1:11" x14ac:dyDescent="0.3">
      <c r="A482" s="37" t="s">
        <v>540</v>
      </c>
      <c r="B482" s="37" t="s">
        <v>35</v>
      </c>
      <c r="C482" s="38">
        <v>44607</v>
      </c>
      <c r="D482" s="39">
        <v>2.5299999999999998</v>
      </c>
      <c r="E482" s="39">
        <v>2.2000000000000002</v>
      </c>
      <c r="F482" s="181">
        <v>2022</v>
      </c>
      <c r="G482" s="181"/>
      <c r="H482" s="181"/>
      <c r="I482" s="181"/>
      <c r="J482" s="181"/>
      <c r="K482" s="181"/>
    </row>
    <row r="483" spans="1:11" x14ac:dyDescent="0.3">
      <c r="A483" s="37" t="s">
        <v>541</v>
      </c>
      <c r="B483" s="37" t="s">
        <v>35</v>
      </c>
      <c r="C483" s="38">
        <v>44623</v>
      </c>
      <c r="D483" s="39">
        <v>2.86</v>
      </c>
      <c r="E483" s="39">
        <v>3.02</v>
      </c>
      <c r="F483" s="181">
        <v>2022</v>
      </c>
      <c r="G483" s="181"/>
      <c r="H483" s="181"/>
      <c r="I483" s="181"/>
      <c r="J483" s="181"/>
      <c r="K483" s="181"/>
    </row>
    <row r="484" spans="1:11" x14ac:dyDescent="0.3">
      <c r="A484" s="37" t="s">
        <v>542</v>
      </c>
      <c r="B484" s="37" t="s">
        <v>35</v>
      </c>
      <c r="C484" s="38">
        <v>44656</v>
      </c>
      <c r="D484" s="39">
        <v>4.9400000000000004</v>
      </c>
      <c r="E484" s="39">
        <v>5.85</v>
      </c>
      <c r="F484" s="181">
        <v>2022</v>
      </c>
      <c r="G484" s="181"/>
      <c r="H484" s="181"/>
      <c r="I484" s="181"/>
      <c r="J484" s="181"/>
      <c r="K484" s="181"/>
    </row>
    <row r="485" spans="1:11" x14ac:dyDescent="0.3">
      <c r="A485" s="37" t="s">
        <v>543</v>
      </c>
      <c r="B485" s="37" t="s">
        <v>35</v>
      </c>
      <c r="C485" s="38">
        <v>44686</v>
      </c>
      <c r="D485" s="39">
        <v>8.4700000000000006</v>
      </c>
      <c r="E485" s="39">
        <v>9.5299999999999994</v>
      </c>
      <c r="F485" s="181">
        <v>2022</v>
      </c>
      <c r="G485" s="181"/>
      <c r="H485" s="181"/>
      <c r="I485" s="181"/>
      <c r="J485" s="181"/>
      <c r="K485" s="181"/>
    </row>
    <row r="486" spans="1:11" x14ac:dyDescent="0.3">
      <c r="A486" s="37" t="s">
        <v>544</v>
      </c>
      <c r="B486" s="37" t="s">
        <v>35</v>
      </c>
      <c r="C486" s="38">
        <v>44715</v>
      </c>
      <c r="D486" s="39">
        <v>11.65</v>
      </c>
      <c r="E486" s="39">
        <v>16.46</v>
      </c>
      <c r="F486" s="181">
        <v>2022</v>
      </c>
      <c r="G486" s="181"/>
      <c r="H486" s="181"/>
      <c r="I486" s="181"/>
      <c r="J486" s="181"/>
      <c r="K486" s="181"/>
    </row>
    <row r="487" spans="1:11" x14ac:dyDescent="0.3">
      <c r="A487" s="37" t="s">
        <v>545</v>
      </c>
      <c r="B487" s="37" t="s">
        <v>35</v>
      </c>
      <c r="C487" s="38">
        <v>44726</v>
      </c>
      <c r="D487" s="39">
        <v>13.34</v>
      </c>
      <c r="E487" s="39">
        <v>16.690000000000001</v>
      </c>
      <c r="F487" s="181">
        <v>2022</v>
      </c>
      <c r="G487" s="181"/>
      <c r="H487" s="181"/>
      <c r="I487" s="181"/>
      <c r="J487" s="181"/>
      <c r="K487" s="181"/>
    </row>
    <row r="488" spans="1:11" x14ac:dyDescent="0.3">
      <c r="A488" s="37" t="s">
        <v>546</v>
      </c>
      <c r="B488" s="37" t="s">
        <v>35</v>
      </c>
      <c r="C488" s="38">
        <v>44749</v>
      </c>
      <c r="D488" s="39">
        <v>16.14</v>
      </c>
      <c r="E488" s="39">
        <v>19.52</v>
      </c>
      <c r="F488" s="181">
        <v>2022</v>
      </c>
      <c r="G488" s="181"/>
      <c r="H488" s="181"/>
      <c r="I488" s="181"/>
      <c r="J488" s="181"/>
      <c r="K488" s="181"/>
    </row>
    <row r="489" spans="1:11" x14ac:dyDescent="0.3">
      <c r="A489" s="37" t="s">
        <v>547</v>
      </c>
      <c r="B489" s="37" t="s">
        <v>35</v>
      </c>
      <c r="C489" s="38">
        <v>44761</v>
      </c>
      <c r="D489" s="39">
        <v>18.16</v>
      </c>
      <c r="E489" s="39">
        <v>22.23</v>
      </c>
      <c r="F489" s="181">
        <v>2022</v>
      </c>
      <c r="G489" s="181"/>
      <c r="H489" s="181"/>
      <c r="I489" s="181"/>
      <c r="J489" s="181"/>
      <c r="K489" s="181"/>
    </row>
    <row r="490" spans="1:11" x14ac:dyDescent="0.3">
      <c r="A490" s="37" t="s">
        <v>548</v>
      </c>
      <c r="B490" s="37" t="s">
        <v>35</v>
      </c>
      <c r="C490" s="38">
        <v>44775</v>
      </c>
      <c r="D490" s="39">
        <v>19.260000000000002</v>
      </c>
      <c r="E490" s="39">
        <v>21.91</v>
      </c>
      <c r="F490" s="181">
        <v>2022</v>
      </c>
      <c r="G490" s="181"/>
      <c r="H490" s="181"/>
      <c r="I490" s="181"/>
      <c r="J490" s="181"/>
      <c r="K490" s="181"/>
    </row>
    <row r="491" spans="1:11" x14ac:dyDescent="0.3">
      <c r="A491" s="37" t="s">
        <v>549</v>
      </c>
      <c r="B491" s="37" t="s">
        <v>35</v>
      </c>
      <c r="C491" s="38">
        <v>44790</v>
      </c>
      <c r="D491" s="39">
        <v>21.73</v>
      </c>
      <c r="E491" s="39">
        <v>23.18</v>
      </c>
      <c r="F491" s="181">
        <v>2022</v>
      </c>
      <c r="G491" s="181"/>
      <c r="H491" s="181"/>
      <c r="I491" s="181"/>
      <c r="J491" s="181"/>
      <c r="K491" s="181"/>
    </row>
    <row r="492" spans="1:11" x14ac:dyDescent="0.3">
      <c r="A492" s="37" t="s">
        <v>550</v>
      </c>
      <c r="B492" s="37" t="s">
        <v>35</v>
      </c>
      <c r="C492" s="38">
        <v>44805</v>
      </c>
      <c r="D492" s="39">
        <v>22.43</v>
      </c>
      <c r="E492" s="39">
        <v>24.42</v>
      </c>
      <c r="F492" s="181">
        <v>2022</v>
      </c>
      <c r="G492" s="181"/>
      <c r="H492" s="181"/>
      <c r="I492" s="181"/>
      <c r="J492" s="181"/>
      <c r="K492" s="181"/>
    </row>
    <row r="493" spans="1:11" x14ac:dyDescent="0.3">
      <c r="A493" s="37" t="s">
        <v>551</v>
      </c>
      <c r="B493" s="37" t="s">
        <v>35</v>
      </c>
      <c r="C493" s="38">
        <v>44817</v>
      </c>
      <c r="D493" s="39">
        <v>23.13</v>
      </c>
      <c r="E493" s="39">
        <v>23.28</v>
      </c>
      <c r="F493" s="181">
        <v>2022</v>
      </c>
      <c r="G493" s="181"/>
      <c r="H493" s="181"/>
      <c r="I493" s="181"/>
      <c r="J493" s="181"/>
      <c r="K493" s="181"/>
    </row>
    <row r="494" spans="1:11" x14ac:dyDescent="0.3">
      <c r="A494" s="37" t="s">
        <v>552</v>
      </c>
      <c r="B494" s="37" t="s">
        <v>35</v>
      </c>
      <c r="C494" s="38">
        <v>44845</v>
      </c>
      <c r="D494" s="39">
        <v>18.25</v>
      </c>
      <c r="E494" s="39">
        <v>18.239999999999998</v>
      </c>
      <c r="F494" s="181">
        <v>2022</v>
      </c>
      <c r="G494" s="181"/>
      <c r="H494" s="181"/>
      <c r="I494" s="181"/>
      <c r="J494" s="181"/>
      <c r="K494" s="181"/>
    </row>
    <row r="495" spans="1:11" x14ac:dyDescent="0.3">
      <c r="A495" s="37" t="s">
        <v>553</v>
      </c>
      <c r="B495" s="37" t="s">
        <v>35</v>
      </c>
      <c r="C495" s="38">
        <v>44874</v>
      </c>
      <c r="D495" s="39">
        <v>15.99</v>
      </c>
      <c r="E495" s="39">
        <v>15.97</v>
      </c>
      <c r="F495" s="181">
        <v>2022</v>
      </c>
      <c r="G495" s="181"/>
      <c r="H495" s="181"/>
      <c r="I495" s="181"/>
      <c r="J495" s="181"/>
      <c r="K495" s="181"/>
    </row>
    <row r="496" spans="1:11" x14ac:dyDescent="0.3">
      <c r="A496" s="37" t="s">
        <v>556</v>
      </c>
      <c r="B496" s="37" t="s">
        <v>35</v>
      </c>
      <c r="C496" s="38">
        <v>44900</v>
      </c>
      <c r="D496" s="39">
        <v>10.71</v>
      </c>
      <c r="E496" s="39">
        <v>10.47</v>
      </c>
      <c r="F496" s="181">
        <v>2022</v>
      </c>
      <c r="G496" s="181"/>
      <c r="H496" s="181"/>
      <c r="I496" s="181"/>
      <c r="J496" s="181"/>
      <c r="K496" s="181"/>
    </row>
    <row r="497" spans="1:11" x14ac:dyDescent="0.3">
      <c r="A497" s="11" t="s">
        <v>557</v>
      </c>
      <c r="B497" s="11" t="s">
        <v>35</v>
      </c>
      <c r="C497" s="12">
        <v>44931</v>
      </c>
      <c r="D497" s="13">
        <v>5.69</v>
      </c>
      <c r="E497" s="13">
        <v>5.47</v>
      </c>
      <c r="F497" s="178">
        <v>2023</v>
      </c>
      <c r="G497" s="178"/>
      <c r="H497" s="178"/>
      <c r="I497" s="178"/>
      <c r="J497" s="178"/>
      <c r="K497" s="178"/>
    </row>
    <row r="498" spans="1:11" x14ac:dyDescent="0.3">
      <c r="A498" s="11" t="s">
        <v>558</v>
      </c>
      <c r="B498" s="11" t="s">
        <v>35</v>
      </c>
      <c r="C498" s="12">
        <v>44964</v>
      </c>
      <c r="D498" s="13">
        <v>4.09</v>
      </c>
      <c r="E498" s="13">
        <v>3.98</v>
      </c>
      <c r="F498" s="178">
        <v>2023</v>
      </c>
      <c r="G498" s="178"/>
      <c r="H498" s="178"/>
      <c r="I498" s="178"/>
      <c r="J498" s="178"/>
      <c r="K498" s="178"/>
    </row>
    <row r="499" spans="1:11" x14ac:dyDescent="0.3">
      <c r="A499" s="11" t="s">
        <v>559</v>
      </c>
      <c r="B499" s="11" t="s">
        <v>35</v>
      </c>
      <c r="C499" s="12">
        <v>45034</v>
      </c>
      <c r="D499" s="13">
        <v>7.08</v>
      </c>
      <c r="E499" s="13">
        <v>8.65</v>
      </c>
      <c r="F499" s="178">
        <v>2023</v>
      </c>
      <c r="G499" s="178"/>
      <c r="H499" s="178"/>
      <c r="I499" s="178"/>
      <c r="J499" s="178"/>
      <c r="K499" s="178"/>
    </row>
    <row r="500" spans="1:11" x14ac:dyDescent="0.3">
      <c r="A500" s="11" t="s">
        <v>560</v>
      </c>
      <c r="B500" s="11" t="s">
        <v>35</v>
      </c>
      <c r="C500" s="12">
        <v>45050</v>
      </c>
      <c r="D500" s="13">
        <v>9.82</v>
      </c>
      <c r="E500" s="13">
        <v>11.01</v>
      </c>
      <c r="F500" s="178">
        <v>2023</v>
      </c>
      <c r="G500" s="178"/>
      <c r="H500" s="178"/>
      <c r="I500" s="178"/>
      <c r="J500" s="178"/>
      <c r="K500" s="178"/>
    </row>
    <row r="501" spans="1:11" x14ac:dyDescent="0.3">
      <c r="A501" s="11" t="s">
        <v>561</v>
      </c>
      <c r="B501" s="11" t="s">
        <v>35</v>
      </c>
      <c r="C501" s="12">
        <v>45078</v>
      </c>
      <c r="D501" s="13">
        <v>12.46</v>
      </c>
      <c r="E501" s="13">
        <v>14.73</v>
      </c>
      <c r="F501" s="178">
        <v>2023</v>
      </c>
      <c r="G501" s="178"/>
      <c r="H501" s="178"/>
      <c r="I501" s="178"/>
      <c r="J501" s="178"/>
      <c r="K501" s="178"/>
    </row>
    <row r="502" spans="1:11" x14ac:dyDescent="0.3">
      <c r="A502" s="11" t="s">
        <v>562</v>
      </c>
      <c r="B502" s="11" t="s">
        <v>35</v>
      </c>
      <c r="C502" s="12">
        <v>45100</v>
      </c>
      <c r="D502" s="13">
        <v>15.76</v>
      </c>
      <c r="E502" s="13">
        <v>17.36</v>
      </c>
      <c r="F502" s="178">
        <v>2023</v>
      </c>
      <c r="G502" s="178"/>
      <c r="H502" s="178"/>
      <c r="I502" s="178"/>
      <c r="J502" s="178"/>
      <c r="K502" s="178"/>
    </row>
    <row r="503" spans="1:11" x14ac:dyDescent="0.3">
      <c r="A503" s="11" t="s">
        <v>563</v>
      </c>
      <c r="B503" s="11" t="s">
        <v>35</v>
      </c>
      <c r="C503" s="12">
        <v>45117</v>
      </c>
      <c r="D503" s="13">
        <v>16.91</v>
      </c>
      <c r="E503" s="13">
        <v>22.67</v>
      </c>
      <c r="F503" s="178">
        <v>2023</v>
      </c>
      <c r="G503" s="178"/>
      <c r="H503" s="178"/>
      <c r="I503" s="178"/>
      <c r="J503" s="178"/>
      <c r="K503" s="178"/>
    </row>
    <row r="504" spans="1:11" x14ac:dyDescent="0.3">
      <c r="A504" s="11" t="s">
        <v>564</v>
      </c>
      <c r="B504" s="11" t="s">
        <v>35</v>
      </c>
      <c r="C504" s="12">
        <v>45124</v>
      </c>
      <c r="D504" s="13">
        <v>17.64</v>
      </c>
      <c r="E504" s="13">
        <v>21.84</v>
      </c>
      <c r="F504" s="178">
        <v>2023</v>
      </c>
      <c r="G504" s="178"/>
      <c r="H504" s="178"/>
      <c r="I504" s="178"/>
      <c r="J504" s="178"/>
      <c r="K504" s="178"/>
    </row>
    <row r="505" spans="1:11" x14ac:dyDescent="0.3">
      <c r="A505" s="11" t="s">
        <v>565</v>
      </c>
      <c r="B505" s="11" t="s">
        <v>35</v>
      </c>
      <c r="C505" s="12">
        <v>45140</v>
      </c>
      <c r="D505" s="13">
        <v>19.940000000000001</v>
      </c>
      <c r="E505" s="13">
        <v>22.87</v>
      </c>
      <c r="F505" s="178">
        <v>2023</v>
      </c>
      <c r="G505" s="178"/>
      <c r="H505" s="178"/>
      <c r="I505" s="178"/>
      <c r="J505" s="178"/>
      <c r="K505" s="178"/>
    </row>
    <row r="506" spans="1:11" x14ac:dyDescent="0.3">
      <c r="A506" s="11" t="s">
        <v>566</v>
      </c>
      <c r="B506" s="11" t="s">
        <v>35</v>
      </c>
      <c r="C506" s="12">
        <v>45152</v>
      </c>
      <c r="D506" s="13">
        <v>20.75</v>
      </c>
      <c r="E506" s="13">
        <v>22.55</v>
      </c>
      <c r="F506" s="178">
        <v>2023</v>
      </c>
      <c r="G506" s="178"/>
      <c r="H506" s="178"/>
      <c r="I506" s="178"/>
      <c r="J506" s="178"/>
      <c r="K506" s="178"/>
    </row>
    <row r="507" spans="1:11" x14ac:dyDescent="0.3">
      <c r="A507" s="11" t="s">
        <v>567</v>
      </c>
      <c r="B507" s="11" t="s">
        <v>35</v>
      </c>
      <c r="C507" s="12">
        <v>45176</v>
      </c>
      <c r="D507" s="13">
        <v>22.05</v>
      </c>
      <c r="E507" s="13">
        <v>24.5</v>
      </c>
      <c r="F507" s="178">
        <v>2023</v>
      </c>
      <c r="G507" s="178"/>
      <c r="H507" s="178"/>
      <c r="I507" s="178"/>
      <c r="J507" s="178"/>
      <c r="K507" s="178"/>
    </row>
    <row r="508" spans="1:11" x14ac:dyDescent="0.3">
      <c r="A508" s="11" t="s">
        <v>568</v>
      </c>
      <c r="B508" s="11" t="s">
        <v>35</v>
      </c>
      <c r="C508" s="12">
        <v>45209</v>
      </c>
      <c r="D508" s="13">
        <v>19.38</v>
      </c>
      <c r="E508" s="13">
        <v>18.75</v>
      </c>
      <c r="F508" s="178">
        <v>2023</v>
      </c>
      <c r="G508" s="178"/>
      <c r="H508" s="178"/>
      <c r="I508" s="178"/>
      <c r="J508" s="178"/>
      <c r="K508" s="178"/>
    </row>
    <row r="509" spans="1:11" x14ac:dyDescent="0.3">
      <c r="A509" s="11" t="s">
        <v>569</v>
      </c>
      <c r="B509" s="11" t="s">
        <v>35</v>
      </c>
      <c r="C509" s="12">
        <v>45238</v>
      </c>
      <c r="D509" s="13">
        <v>15.58</v>
      </c>
      <c r="E509" s="13">
        <v>15.25</v>
      </c>
      <c r="F509" s="178">
        <v>2023</v>
      </c>
      <c r="G509" s="178"/>
      <c r="H509" s="178"/>
      <c r="I509" s="178"/>
      <c r="J509" s="178"/>
      <c r="K509" s="178"/>
    </row>
    <row r="510" spans="1:11" x14ac:dyDescent="0.3">
      <c r="A510" s="11" t="s">
        <v>570</v>
      </c>
      <c r="B510" s="11" t="s">
        <v>35</v>
      </c>
      <c r="C510" s="12">
        <v>45266</v>
      </c>
      <c r="D510" s="13">
        <v>10.29</v>
      </c>
      <c r="E510" s="13">
        <v>9.65</v>
      </c>
      <c r="F510" s="178">
        <v>2023</v>
      </c>
      <c r="G510" s="178"/>
      <c r="H510" s="178"/>
      <c r="I510" s="178"/>
      <c r="J510" s="178"/>
      <c r="K510" s="178"/>
    </row>
    <row r="511" spans="1:11" x14ac:dyDescent="0.3">
      <c r="A511" s="11" t="s">
        <v>571</v>
      </c>
      <c r="B511" s="11" t="s">
        <v>35</v>
      </c>
      <c r="C511" s="12">
        <v>45299</v>
      </c>
      <c r="D511" s="13">
        <v>6.68</v>
      </c>
      <c r="E511" s="13">
        <v>6.71</v>
      </c>
      <c r="F511" s="178">
        <v>2024</v>
      </c>
      <c r="G511" s="178"/>
      <c r="H511" s="178"/>
      <c r="I511" s="178"/>
      <c r="J511" s="178"/>
      <c r="K511" s="178"/>
    </row>
    <row r="512" spans="1:11" x14ac:dyDescent="0.3">
      <c r="A512" s="11" t="s">
        <v>572</v>
      </c>
      <c r="B512" s="11" t="s">
        <v>35</v>
      </c>
      <c r="C512" s="12">
        <v>45328</v>
      </c>
      <c r="D512" s="13">
        <v>4.2699999999999996</v>
      </c>
      <c r="E512" s="13">
        <v>3.96</v>
      </c>
      <c r="F512" s="178">
        <v>2024</v>
      </c>
      <c r="G512" s="178"/>
      <c r="H512" s="178"/>
      <c r="I512" s="178"/>
      <c r="J512" s="178"/>
      <c r="K512" s="178"/>
    </row>
    <row r="513" spans="1:11" x14ac:dyDescent="0.3">
      <c r="A513" s="11" t="s">
        <v>573</v>
      </c>
      <c r="B513" s="11" t="s">
        <v>35</v>
      </c>
      <c r="C513" s="12">
        <v>45344</v>
      </c>
      <c r="D513" s="13">
        <v>3.73</v>
      </c>
      <c r="E513" s="13">
        <v>3.7</v>
      </c>
      <c r="F513" s="178">
        <v>2024</v>
      </c>
      <c r="G513" s="178"/>
      <c r="H513" s="178"/>
      <c r="I513" s="178"/>
      <c r="J513" s="178"/>
      <c r="K513" s="178"/>
    </row>
    <row r="514" spans="1:11" x14ac:dyDescent="0.3">
      <c r="A514" s="11" t="s">
        <v>574</v>
      </c>
      <c r="B514" s="11" t="s">
        <v>35</v>
      </c>
      <c r="C514" s="12">
        <v>45357</v>
      </c>
      <c r="D514" s="13">
        <v>4.17</v>
      </c>
      <c r="E514" s="13">
        <v>4.79</v>
      </c>
      <c r="F514" s="178">
        <v>2024</v>
      </c>
      <c r="G514" s="178"/>
      <c r="H514" s="178"/>
      <c r="I514" s="178"/>
      <c r="J514" s="178"/>
      <c r="K514" s="178"/>
    </row>
    <row r="515" spans="1:11" x14ac:dyDescent="0.3">
      <c r="A515" s="11" t="s">
        <v>575</v>
      </c>
      <c r="B515" s="11" t="s">
        <v>35</v>
      </c>
      <c r="C515" s="12">
        <v>45369</v>
      </c>
      <c r="D515" s="13">
        <v>5.14</v>
      </c>
      <c r="E515" s="13">
        <v>6.45</v>
      </c>
      <c r="F515" s="178">
        <v>2024</v>
      </c>
      <c r="G515" s="178"/>
      <c r="H515" s="178"/>
      <c r="I515" s="178"/>
      <c r="J515" s="178"/>
      <c r="K515" s="178"/>
    </row>
    <row r="516" spans="1:11" x14ac:dyDescent="0.3">
      <c r="A516" s="11" t="s">
        <v>576</v>
      </c>
      <c r="B516" s="11" t="s">
        <v>35</v>
      </c>
      <c r="C516" s="12">
        <v>45390</v>
      </c>
      <c r="D516" s="13">
        <v>6.21</v>
      </c>
      <c r="E516" s="13">
        <v>6.65</v>
      </c>
      <c r="F516" s="178">
        <v>2024</v>
      </c>
      <c r="G516" s="178"/>
      <c r="H516" s="178"/>
      <c r="I516" s="178"/>
      <c r="J516" s="178"/>
      <c r="K516" s="178"/>
    </row>
    <row r="517" spans="1:11" x14ac:dyDescent="0.3">
      <c r="A517" s="11" t="s">
        <v>577</v>
      </c>
      <c r="B517" s="11" t="s">
        <v>35</v>
      </c>
      <c r="C517" s="12">
        <v>45415</v>
      </c>
      <c r="D517" s="13">
        <v>8.91</v>
      </c>
      <c r="E517" s="13">
        <v>12.29</v>
      </c>
      <c r="F517" s="178">
        <v>2024</v>
      </c>
      <c r="G517" s="178"/>
      <c r="H517" s="178"/>
      <c r="I517" s="178"/>
      <c r="J517" s="178"/>
      <c r="K517" s="178"/>
    </row>
    <row r="518" spans="1:11" x14ac:dyDescent="0.3">
      <c r="A518" s="11" t="s">
        <v>578</v>
      </c>
      <c r="B518" s="11" t="s">
        <v>35</v>
      </c>
      <c r="C518" s="12">
        <v>45447</v>
      </c>
      <c r="D518" s="13">
        <v>11.84</v>
      </c>
      <c r="E518" s="13">
        <v>16.2</v>
      </c>
      <c r="F518" s="178">
        <v>2024</v>
      </c>
      <c r="G518" s="178"/>
      <c r="H518" s="178"/>
      <c r="I518" s="178"/>
      <c r="J518" s="178"/>
      <c r="K518" s="178"/>
    </row>
    <row r="519" spans="1:11" x14ac:dyDescent="0.3">
      <c r="A519" s="11" t="s">
        <v>579</v>
      </c>
      <c r="B519" s="11" t="s">
        <v>35</v>
      </c>
      <c r="C519" s="12">
        <v>45460</v>
      </c>
      <c r="D519" s="13">
        <v>13.95</v>
      </c>
      <c r="E519" s="13">
        <v>16.91</v>
      </c>
      <c r="F519" s="178">
        <v>2024</v>
      </c>
      <c r="G519" s="178"/>
      <c r="H519" s="178"/>
      <c r="I519" s="178"/>
      <c r="J519" s="178"/>
      <c r="K519" s="178"/>
    </row>
    <row r="520" spans="1:11" x14ac:dyDescent="0.3">
      <c r="A520" s="11" t="s">
        <v>580</v>
      </c>
      <c r="B520" s="11" t="s">
        <v>35</v>
      </c>
      <c r="C520" s="12">
        <v>45475</v>
      </c>
      <c r="D520" s="13">
        <v>16.55</v>
      </c>
      <c r="E520" s="13">
        <v>21.01</v>
      </c>
      <c r="F520" s="178">
        <v>2024</v>
      </c>
      <c r="G520" s="178"/>
      <c r="H520" s="178"/>
      <c r="I520" s="178"/>
      <c r="J520" s="178"/>
      <c r="K520" s="178"/>
    </row>
    <row r="521" spans="1:11" x14ac:dyDescent="0.3">
      <c r="A521" s="11" t="s">
        <v>581</v>
      </c>
      <c r="B521" s="11" t="s">
        <v>35</v>
      </c>
      <c r="C521" s="12">
        <v>45489</v>
      </c>
      <c r="D521" s="13">
        <v>18.09</v>
      </c>
      <c r="E521" s="13">
        <v>22.13</v>
      </c>
      <c r="F521" s="178">
        <v>2024</v>
      </c>
      <c r="G521" s="178"/>
      <c r="H521" s="178"/>
      <c r="I521" s="178"/>
      <c r="J521" s="178"/>
      <c r="K521" s="178"/>
    </row>
    <row r="522" spans="1:11" x14ac:dyDescent="0.3">
      <c r="A522" s="11" t="s">
        <v>582</v>
      </c>
      <c r="B522" s="11" t="s">
        <v>35</v>
      </c>
      <c r="C522" s="12">
        <v>45504</v>
      </c>
      <c r="D522" s="13">
        <v>19.350000000000001</v>
      </c>
      <c r="E522" s="13">
        <v>23.64</v>
      </c>
      <c r="F522" s="178">
        <v>2024</v>
      </c>
      <c r="G522" s="178"/>
      <c r="H522" s="178"/>
      <c r="I522" s="178"/>
      <c r="J522" s="178"/>
      <c r="K522" s="178"/>
    </row>
    <row r="523" spans="1:11" x14ac:dyDescent="0.3">
      <c r="A523" s="11" t="s">
        <v>583</v>
      </c>
      <c r="B523" s="11" t="s">
        <v>35</v>
      </c>
      <c r="C523" s="12">
        <v>45516</v>
      </c>
      <c r="D523" s="13">
        <v>20.190000000000001</v>
      </c>
      <c r="E523" s="13">
        <v>23.59</v>
      </c>
      <c r="F523" s="178">
        <v>2024</v>
      </c>
      <c r="G523" s="178"/>
      <c r="H523" s="178"/>
      <c r="I523" s="178"/>
      <c r="J523" s="178"/>
      <c r="K523" s="178"/>
    </row>
    <row r="524" spans="1:11" x14ac:dyDescent="0.3">
      <c r="A524" s="11" t="s">
        <v>584</v>
      </c>
      <c r="B524" s="11" t="s">
        <v>35</v>
      </c>
      <c r="C524" s="12">
        <v>45531</v>
      </c>
      <c r="D524" s="13">
        <v>21.49</v>
      </c>
      <c r="E524" s="13">
        <v>23.58</v>
      </c>
      <c r="F524" s="178">
        <v>2024</v>
      </c>
      <c r="G524" s="178"/>
      <c r="H524" s="178"/>
      <c r="I524" s="178"/>
      <c r="J524" s="178"/>
      <c r="K524" s="178"/>
    </row>
    <row r="525" spans="1:11" x14ac:dyDescent="0.3">
      <c r="A525" s="33" t="s">
        <v>585</v>
      </c>
      <c r="B525" s="33" t="s">
        <v>35</v>
      </c>
      <c r="C525" s="34">
        <v>45568</v>
      </c>
      <c r="D525" s="35">
        <v>20.55</v>
      </c>
      <c r="E525" s="35">
        <v>20.74</v>
      </c>
      <c r="F525" s="178">
        <v>2024</v>
      </c>
      <c r="G525" s="178"/>
      <c r="H525" s="178"/>
      <c r="I525" s="178"/>
      <c r="J525" s="178"/>
      <c r="K525" s="178"/>
    </row>
    <row r="526" spans="1:11" x14ac:dyDescent="0.3">
      <c r="A526" s="160" t="s">
        <v>601</v>
      </c>
      <c r="B526" s="33" t="s">
        <v>35</v>
      </c>
      <c r="C526" s="34">
        <v>45687</v>
      </c>
      <c r="D526">
        <v>2.04</v>
      </c>
      <c r="E526">
        <v>1.95</v>
      </c>
      <c r="F526" s="203">
        <v>2025</v>
      </c>
    </row>
    <row r="527" spans="1:11" x14ac:dyDescent="0.3">
      <c r="A527" s="160" t="s">
        <v>593</v>
      </c>
      <c r="B527" s="33" t="s">
        <v>35</v>
      </c>
      <c r="C527" s="34">
        <v>45727</v>
      </c>
      <c r="D527">
        <v>2.35</v>
      </c>
      <c r="E527">
        <v>2.89</v>
      </c>
      <c r="F527" s="203">
        <v>2025</v>
      </c>
    </row>
    <row r="528" spans="1:11" x14ac:dyDescent="0.3">
      <c r="A528" s="160" t="s">
        <v>594</v>
      </c>
      <c r="B528" s="33" t="s">
        <v>35</v>
      </c>
      <c r="C528" s="34">
        <v>45748</v>
      </c>
      <c r="D528">
        <v>5.54</v>
      </c>
      <c r="E528">
        <v>5.93</v>
      </c>
      <c r="F528" s="203">
        <v>2025</v>
      </c>
    </row>
    <row r="529" spans="1:6" x14ac:dyDescent="0.3">
      <c r="A529" s="160" t="s">
        <v>595</v>
      </c>
      <c r="B529" s="33" t="s">
        <v>35</v>
      </c>
      <c r="C529" s="34">
        <v>45783</v>
      </c>
      <c r="D529">
        <v>9.4700000000000006</v>
      </c>
      <c r="E529">
        <v>11.41</v>
      </c>
      <c r="F529" s="203">
        <v>2025</v>
      </c>
    </row>
    <row r="530" spans="1:6" x14ac:dyDescent="0.3">
      <c r="A530" s="160" t="s">
        <v>596</v>
      </c>
      <c r="B530" s="33" t="s">
        <v>35</v>
      </c>
      <c r="C530" s="34">
        <v>45811</v>
      </c>
      <c r="D530">
        <v>12.5</v>
      </c>
      <c r="E530">
        <v>15.32</v>
      </c>
      <c r="F530" s="203">
        <v>2025</v>
      </c>
    </row>
    <row r="531" spans="1:6" x14ac:dyDescent="0.3">
      <c r="A531" s="160" t="s">
        <v>597</v>
      </c>
      <c r="B531" s="33" t="s">
        <v>35</v>
      </c>
      <c r="C531" s="34">
        <v>45839</v>
      </c>
      <c r="D531">
        <v>15.48</v>
      </c>
      <c r="E531">
        <v>21.51</v>
      </c>
      <c r="F531" s="203">
        <v>2025</v>
      </c>
    </row>
    <row r="532" spans="1:6" x14ac:dyDescent="0.3">
      <c r="A532" s="160" t="s">
        <v>598</v>
      </c>
      <c r="B532" s="33" t="s">
        <v>35</v>
      </c>
      <c r="C532" s="34">
        <v>45852</v>
      </c>
      <c r="D532">
        <v>16.920000000000002</v>
      </c>
      <c r="E532">
        <v>22.76</v>
      </c>
      <c r="F532" s="203">
        <v>2025</v>
      </c>
    </row>
    <row r="533" spans="1:6" x14ac:dyDescent="0.3">
      <c r="A533" s="160" t="s">
        <v>599</v>
      </c>
      <c r="B533" s="33" t="s">
        <v>35</v>
      </c>
      <c r="C533" s="34">
        <v>45868</v>
      </c>
      <c r="D533">
        <v>19.14</v>
      </c>
      <c r="E533">
        <v>23.21</v>
      </c>
      <c r="F533" s="203">
        <v>2025</v>
      </c>
    </row>
    <row r="534" spans="1:6" x14ac:dyDescent="0.3">
      <c r="A534" s="160" t="s">
        <v>600</v>
      </c>
      <c r="B534" s="33" t="s">
        <v>35</v>
      </c>
      <c r="C534" s="34">
        <v>45880</v>
      </c>
      <c r="D534">
        <v>20.29</v>
      </c>
      <c r="E534">
        <v>23.5</v>
      </c>
      <c r="F534" s="203">
        <v>2025</v>
      </c>
    </row>
    <row r="535" spans="1:6" x14ac:dyDescent="0.3">
      <c r="A535" s="205" t="s">
        <v>603</v>
      </c>
      <c r="B535" s="33" t="s">
        <v>35</v>
      </c>
      <c r="C535" s="34">
        <v>45896</v>
      </c>
      <c r="D535">
        <v>21.65</v>
      </c>
      <c r="E535">
        <v>22.74</v>
      </c>
      <c r="F535" s="203">
        <v>2025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66"/>
  <sheetViews>
    <sheetView workbookViewId="0">
      <pane ySplit="1" topLeftCell="A446" activePane="bottomLeft" state="frozen"/>
      <selection pane="bottomLeft" activeCell="F458" sqref="F458:F466"/>
    </sheetView>
  </sheetViews>
  <sheetFormatPr defaultRowHeight="15" customHeight="1" x14ac:dyDescent="0.3"/>
  <cols>
    <col min="1" max="1" width="10.44140625" bestFit="1" customWidth="1"/>
    <col min="2" max="2" width="10.6640625" bestFit="1" customWidth="1"/>
    <col min="3" max="3" width="13.109375" bestFit="1" customWidth="1"/>
    <col min="4" max="4" width="7.44140625" bestFit="1" customWidth="1"/>
    <col min="5" max="5" width="7.5546875" bestFit="1" customWidth="1"/>
    <col min="9" max="9" width="12.5546875" bestFit="1" customWidth="1"/>
    <col min="10" max="10" width="16.88671875" bestFit="1" customWidth="1"/>
    <col min="11" max="11" width="17" bestFit="1" customWidth="1"/>
    <col min="12" max="12" width="20.44140625" bestFit="1" customWidth="1"/>
  </cols>
  <sheetData>
    <row r="1" spans="1:17" ht="15" customHeight="1" x14ac:dyDescent="0.3">
      <c r="A1" s="41" t="s">
        <v>1</v>
      </c>
      <c r="B1" s="41" t="s">
        <v>3</v>
      </c>
      <c r="C1" s="41" t="s">
        <v>2</v>
      </c>
      <c r="D1" s="41" t="s">
        <v>4</v>
      </c>
      <c r="E1" s="41" t="s">
        <v>5</v>
      </c>
      <c r="F1" s="48" t="s">
        <v>521</v>
      </c>
      <c r="I1" s="47" t="s">
        <v>515</v>
      </c>
      <c r="J1" t="s">
        <v>519</v>
      </c>
      <c r="K1" t="s">
        <v>518</v>
      </c>
      <c r="L1" t="s">
        <v>520</v>
      </c>
      <c r="N1" t="s">
        <v>515</v>
      </c>
      <c r="O1" t="s">
        <v>519</v>
      </c>
      <c r="P1" t="s">
        <v>518</v>
      </c>
      <c r="Q1" t="s">
        <v>520</v>
      </c>
    </row>
    <row r="2" spans="1:17" ht="15" customHeight="1" x14ac:dyDescent="0.3">
      <c r="A2" s="42" t="s">
        <v>79</v>
      </c>
      <c r="B2" s="43">
        <v>34507</v>
      </c>
      <c r="C2" s="42" t="s">
        <v>28</v>
      </c>
      <c r="D2" s="44">
        <v>16.39</v>
      </c>
      <c r="E2" s="45"/>
      <c r="F2">
        <v>1994</v>
      </c>
      <c r="I2" s="9">
        <v>1994</v>
      </c>
      <c r="J2">
        <v>19.252857142857145</v>
      </c>
      <c r="K2">
        <v>9.7899999999999991</v>
      </c>
      <c r="L2">
        <v>7</v>
      </c>
      <c r="N2">
        <v>1995</v>
      </c>
      <c r="O2">
        <v>13.980106666666666</v>
      </c>
      <c r="P2">
        <v>10.939418181818182</v>
      </c>
      <c r="Q2">
        <v>15</v>
      </c>
    </row>
    <row r="3" spans="1:17" ht="15" customHeight="1" x14ac:dyDescent="0.3">
      <c r="A3" s="42" t="s">
        <v>80</v>
      </c>
      <c r="B3" s="43">
        <v>34521</v>
      </c>
      <c r="C3" s="42" t="s">
        <v>28</v>
      </c>
      <c r="D3" s="44">
        <v>22.7</v>
      </c>
      <c r="E3" s="45"/>
      <c r="F3">
        <v>1994</v>
      </c>
      <c r="I3" s="9">
        <v>1995</v>
      </c>
      <c r="J3">
        <v>13.980106666666666</v>
      </c>
      <c r="K3">
        <v>10.939418181818182</v>
      </c>
      <c r="L3">
        <v>15</v>
      </c>
      <c r="N3">
        <v>1996</v>
      </c>
      <c r="O3">
        <v>14.160769230769231</v>
      </c>
      <c r="P3">
        <v>12.407272727272726</v>
      </c>
      <c r="Q3">
        <v>14</v>
      </c>
    </row>
    <row r="4" spans="1:17" ht="15" customHeight="1" x14ac:dyDescent="0.3">
      <c r="A4" s="42" t="s">
        <v>81</v>
      </c>
      <c r="B4" s="43">
        <v>34535</v>
      </c>
      <c r="C4" s="42" t="s">
        <v>28</v>
      </c>
      <c r="D4" s="44">
        <v>21.28</v>
      </c>
      <c r="E4" s="45"/>
      <c r="F4">
        <v>1994</v>
      </c>
      <c r="I4" s="9">
        <v>1996</v>
      </c>
      <c r="J4">
        <v>14.160769230769231</v>
      </c>
      <c r="K4">
        <v>12.407272727272726</v>
      </c>
      <c r="L4">
        <v>14</v>
      </c>
      <c r="N4">
        <v>1997</v>
      </c>
      <c r="O4">
        <v>13.790000000000001</v>
      </c>
      <c r="P4">
        <v>12.334166666666667</v>
      </c>
      <c r="Q4">
        <v>15</v>
      </c>
    </row>
    <row r="5" spans="1:17" ht="15" customHeight="1" x14ac:dyDescent="0.3">
      <c r="A5" s="42" t="s">
        <v>82</v>
      </c>
      <c r="B5" s="43">
        <v>34549</v>
      </c>
      <c r="C5" s="42" t="s">
        <v>28</v>
      </c>
      <c r="D5" s="44">
        <v>22.7</v>
      </c>
      <c r="E5" s="45"/>
      <c r="F5">
        <v>1994</v>
      </c>
      <c r="I5" s="9">
        <v>1997</v>
      </c>
      <c r="J5">
        <v>13.790000000000001</v>
      </c>
      <c r="K5">
        <v>12.334166666666667</v>
      </c>
      <c r="L5">
        <v>15</v>
      </c>
      <c r="N5">
        <v>1998</v>
      </c>
      <c r="O5">
        <v>15.07625</v>
      </c>
      <c r="P5">
        <v>12.317500000000001</v>
      </c>
      <c r="Q5">
        <v>16</v>
      </c>
    </row>
    <row r="6" spans="1:17" ht="15" customHeight="1" x14ac:dyDescent="0.3">
      <c r="A6" s="42" t="s">
        <v>83</v>
      </c>
      <c r="B6" s="43">
        <v>34562</v>
      </c>
      <c r="C6" s="42" t="s">
        <v>28</v>
      </c>
      <c r="D6" s="44">
        <v>20.69</v>
      </c>
      <c r="E6" s="45"/>
      <c r="F6">
        <v>1994</v>
      </c>
      <c r="I6" s="9">
        <v>1998</v>
      </c>
      <c r="J6">
        <v>15.07625</v>
      </c>
      <c r="K6">
        <v>12.317500000000001</v>
      </c>
      <c r="L6">
        <v>16</v>
      </c>
      <c r="N6">
        <v>1999</v>
      </c>
      <c r="O6">
        <v>14.30533333333333</v>
      </c>
      <c r="P6">
        <v>13.787999999999998</v>
      </c>
      <c r="Q6">
        <v>15</v>
      </c>
    </row>
    <row r="7" spans="1:17" ht="15" customHeight="1" x14ac:dyDescent="0.3">
      <c r="A7" s="42" t="s">
        <v>84</v>
      </c>
      <c r="B7" s="43">
        <v>34577</v>
      </c>
      <c r="C7" s="42" t="s">
        <v>28</v>
      </c>
      <c r="D7" s="44">
        <v>21.49</v>
      </c>
      <c r="E7" s="45"/>
      <c r="F7">
        <v>1994</v>
      </c>
      <c r="I7" s="9">
        <v>1999</v>
      </c>
      <c r="J7">
        <v>14.30533333333333</v>
      </c>
      <c r="K7">
        <v>13.787999999999998</v>
      </c>
      <c r="L7">
        <v>15</v>
      </c>
      <c r="N7">
        <v>2000</v>
      </c>
      <c r="O7">
        <v>13.380666666666665</v>
      </c>
      <c r="P7">
        <v>11.896153846153847</v>
      </c>
      <c r="Q7">
        <v>15</v>
      </c>
    </row>
    <row r="8" spans="1:17" ht="15" customHeight="1" x14ac:dyDescent="0.3">
      <c r="A8" s="42" t="s">
        <v>88</v>
      </c>
      <c r="B8" s="43">
        <v>34674</v>
      </c>
      <c r="C8" s="42" t="s">
        <v>28</v>
      </c>
      <c r="D8" s="44">
        <v>9.52</v>
      </c>
      <c r="E8" s="44">
        <v>9.7899999999999991</v>
      </c>
      <c r="F8">
        <v>1994</v>
      </c>
      <c r="I8" s="9">
        <v>2000</v>
      </c>
      <c r="J8">
        <v>13.380666666666665</v>
      </c>
      <c r="K8">
        <v>11.896153846153847</v>
      </c>
      <c r="L8">
        <v>15</v>
      </c>
      <c r="N8">
        <v>2001</v>
      </c>
      <c r="O8">
        <v>13.127142857142855</v>
      </c>
      <c r="P8">
        <v>12.696428571428571</v>
      </c>
      <c r="Q8">
        <v>15</v>
      </c>
    </row>
    <row r="9" spans="1:17" ht="15" customHeight="1" x14ac:dyDescent="0.3">
      <c r="A9" s="42" t="s">
        <v>89</v>
      </c>
      <c r="B9" s="43">
        <v>34703</v>
      </c>
      <c r="C9" s="42" t="s">
        <v>28</v>
      </c>
      <c r="D9" s="44">
        <v>4.97</v>
      </c>
      <c r="E9" s="44">
        <v>5.47</v>
      </c>
      <c r="F9">
        <v>1995</v>
      </c>
      <c r="I9" s="9">
        <v>2001</v>
      </c>
      <c r="J9">
        <v>13.127142857142855</v>
      </c>
      <c r="K9">
        <v>12.696428571428571</v>
      </c>
      <c r="L9">
        <v>15</v>
      </c>
      <c r="N9">
        <v>2002</v>
      </c>
      <c r="O9">
        <v>13.930666666666665</v>
      </c>
      <c r="P9">
        <v>13.567333333333334</v>
      </c>
      <c r="Q9">
        <v>15</v>
      </c>
    </row>
    <row r="10" spans="1:17" ht="15" customHeight="1" x14ac:dyDescent="0.3">
      <c r="A10" s="42" t="s">
        <v>90</v>
      </c>
      <c r="B10" s="43">
        <v>34738</v>
      </c>
      <c r="C10" s="42" t="s">
        <v>28</v>
      </c>
      <c r="D10" s="44">
        <v>0.68159999999999998</v>
      </c>
      <c r="E10" s="46">
        <v>1.3</v>
      </c>
      <c r="F10">
        <v>1995</v>
      </c>
      <c r="I10" s="9">
        <v>2002</v>
      </c>
      <c r="J10">
        <v>13.930666666666665</v>
      </c>
      <c r="K10">
        <v>13.567333333333334</v>
      </c>
      <c r="L10">
        <v>15</v>
      </c>
      <c r="N10">
        <v>2003</v>
      </c>
      <c r="O10">
        <v>12.846428571428572</v>
      </c>
      <c r="P10">
        <v>11.932142857142855</v>
      </c>
      <c r="Q10">
        <v>14</v>
      </c>
    </row>
    <row r="11" spans="1:17" ht="15" customHeight="1" x14ac:dyDescent="0.3">
      <c r="A11" s="42" t="s">
        <v>91</v>
      </c>
      <c r="B11" s="43">
        <v>34768</v>
      </c>
      <c r="C11" s="42" t="s">
        <v>28</v>
      </c>
      <c r="D11" s="44">
        <v>2.2799999999999998</v>
      </c>
      <c r="E11" s="44">
        <v>1.9735</v>
      </c>
      <c r="F11">
        <v>1995</v>
      </c>
      <c r="I11" s="9">
        <v>2003</v>
      </c>
      <c r="J11">
        <v>12.846428571428572</v>
      </c>
      <c r="K11">
        <v>11.932142857142855</v>
      </c>
      <c r="L11">
        <v>14</v>
      </c>
      <c r="N11">
        <v>2004</v>
      </c>
      <c r="O11">
        <v>13.442307692307695</v>
      </c>
      <c r="P11">
        <v>13.096923076923076</v>
      </c>
      <c r="Q11">
        <v>13</v>
      </c>
    </row>
    <row r="12" spans="1:17" ht="15" customHeight="1" x14ac:dyDescent="0.3">
      <c r="A12" s="42" t="s">
        <v>92</v>
      </c>
      <c r="B12" s="43">
        <v>34796</v>
      </c>
      <c r="C12" s="42" t="s">
        <v>28</v>
      </c>
      <c r="D12" s="44">
        <v>4.6500000000000004</v>
      </c>
      <c r="E12" s="44">
        <v>4.6100000000000003</v>
      </c>
      <c r="F12">
        <v>1995</v>
      </c>
      <c r="I12" s="9">
        <v>2004</v>
      </c>
      <c r="J12">
        <v>13.442307692307695</v>
      </c>
      <c r="K12">
        <v>13.096923076923076</v>
      </c>
      <c r="L12">
        <v>13</v>
      </c>
      <c r="N12">
        <v>2005</v>
      </c>
      <c r="O12">
        <v>13.011333333333333</v>
      </c>
      <c r="P12">
        <v>12.347333333333333</v>
      </c>
      <c r="Q12">
        <v>15</v>
      </c>
    </row>
    <row r="13" spans="1:17" ht="15" customHeight="1" x14ac:dyDescent="0.3">
      <c r="A13" s="42" t="s">
        <v>93</v>
      </c>
      <c r="B13" s="43">
        <v>34831</v>
      </c>
      <c r="C13" s="42" t="s">
        <v>28</v>
      </c>
      <c r="D13" s="44">
        <v>9.35</v>
      </c>
      <c r="E13" s="44">
        <v>9.31</v>
      </c>
      <c r="F13">
        <v>1995</v>
      </c>
      <c r="I13" s="9">
        <v>2005</v>
      </c>
      <c r="J13">
        <v>13.011333333333333</v>
      </c>
      <c r="K13">
        <v>12.347333333333333</v>
      </c>
      <c r="L13">
        <v>15</v>
      </c>
      <c r="N13">
        <v>2006</v>
      </c>
      <c r="O13">
        <v>15.477499999999999</v>
      </c>
      <c r="P13">
        <v>15.034166666666664</v>
      </c>
      <c r="Q13">
        <v>12</v>
      </c>
    </row>
    <row r="14" spans="1:17" ht="15" customHeight="1" x14ac:dyDescent="0.3">
      <c r="A14" s="42" t="s">
        <v>94</v>
      </c>
      <c r="B14" s="43">
        <v>34857</v>
      </c>
      <c r="C14" s="42" t="s">
        <v>28</v>
      </c>
      <c r="D14" s="44">
        <v>17.07</v>
      </c>
      <c r="E14" s="44">
        <v>16.87</v>
      </c>
      <c r="F14">
        <v>1995</v>
      </c>
      <c r="I14" s="9">
        <v>2006</v>
      </c>
      <c r="J14">
        <v>15.477499999999999</v>
      </c>
      <c r="K14">
        <v>15.034166666666664</v>
      </c>
      <c r="L14">
        <v>12</v>
      </c>
      <c r="N14">
        <v>2007</v>
      </c>
      <c r="O14">
        <v>14.209333333333332</v>
      </c>
      <c r="P14">
        <v>13.695999999999998</v>
      </c>
      <c r="Q14">
        <v>16</v>
      </c>
    </row>
    <row r="15" spans="1:17" ht="15" customHeight="1" x14ac:dyDescent="0.3">
      <c r="A15" s="42" t="s">
        <v>95</v>
      </c>
      <c r="B15" s="43">
        <v>34876</v>
      </c>
      <c r="C15" s="42" t="s">
        <v>28</v>
      </c>
      <c r="D15" s="44">
        <v>18.760000000000002</v>
      </c>
      <c r="E15" s="45"/>
      <c r="F15">
        <v>1995</v>
      </c>
      <c r="I15" s="9">
        <v>2007</v>
      </c>
      <c r="J15">
        <v>14.209333333333332</v>
      </c>
      <c r="K15">
        <v>13.695999999999998</v>
      </c>
      <c r="L15">
        <v>16</v>
      </c>
      <c r="N15">
        <v>2008</v>
      </c>
      <c r="O15">
        <v>14.074374999999998</v>
      </c>
      <c r="P15">
        <v>13.208666666666666</v>
      </c>
      <c r="Q15">
        <v>16</v>
      </c>
    </row>
    <row r="16" spans="1:17" ht="15" customHeight="1" x14ac:dyDescent="0.3">
      <c r="A16" s="42" t="s">
        <v>96</v>
      </c>
      <c r="B16" s="43">
        <v>34887</v>
      </c>
      <c r="C16" s="42" t="s">
        <v>28</v>
      </c>
      <c r="D16" s="44">
        <v>21.18</v>
      </c>
      <c r="E16" s="44">
        <v>17.86</v>
      </c>
      <c r="F16">
        <v>1995</v>
      </c>
      <c r="I16" s="9">
        <v>2008</v>
      </c>
      <c r="J16">
        <v>14.074374999999998</v>
      </c>
      <c r="K16">
        <v>13.208666666666666</v>
      </c>
      <c r="L16">
        <v>16</v>
      </c>
      <c r="N16">
        <v>2009</v>
      </c>
      <c r="O16">
        <v>13.471333333333332</v>
      </c>
      <c r="P16">
        <v>12.947333333333335</v>
      </c>
      <c r="Q16">
        <v>15</v>
      </c>
    </row>
    <row r="17" spans="1:17" ht="15" customHeight="1" x14ac:dyDescent="0.3">
      <c r="A17" s="42" t="s">
        <v>97</v>
      </c>
      <c r="B17" s="43">
        <v>34898</v>
      </c>
      <c r="C17" s="42" t="s">
        <v>28</v>
      </c>
      <c r="D17" s="44">
        <v>21.54</v>
      </c>
      <c r="E17" s="45"/>
      <c r="F17">
        <v>1995</v>
      </c>
      <c r="I17" s="9">
        <v>2009</v>
      </c>
      <c r="J17">
        <v>13.471333333333332</v>
      </c>
      <c r="K17">
        <v>12.947333333333335</v>
      </c>
      <c r="L17">
        <v>15</v>
      </c>
      <c r="N17">
        <v>2010</v>
      </c>
      <c r="O17">
        <v>13.871333333333332</v>
      </c>
      <c r="P17">
        <v>13.259999999999998</v>
      </c>
      <c r="Q17">
        <v>15</v>
      </c>
    </row>
    <row r="18" spans="1:17" ht="15" customHeight="1" x14ac:dyDescent="0.3">
      <c r="A18" s="42" t="s">
        <v>98</v>
      </c>
      <c r="B18" s="43">
        <v>34914</v>
      </c>
      <c r="C18" s="42" t="s">
        <v>28</v>
      </c>
      <c r="D18" s="44">
        <v>22.78</v>
      </c>
      <c r="E18" s="45"/>
      <c r="F18">
        <v>1995</v>
      </c>
      <c r="I18" s="9">
        <v>2010</v>
      </c>
      <c r="J18">
        <v>13.871333333333332</v>
      </c>
      <c r="K18">
        <v>13.259999999999998</v>
      </c>
      <c r="L18">
        <v>15</v>
      </c>
      <c r="N18">
        <v>2011</v>
      </c>
      <c r="O18">
        <v>13.753333333333332</v>
      </c>
      <c r="P18">
        <v>12.929333333333334</v>
      </c>
      <c r="Q18">
        <v>15</v>
      </c>
    </row>
    <row r="19" spans="1:17" ht="15" customHeight="1" x14ac:dyDescent="0.3">
      <c r="A19" s="42" t="s">
        <v>99</v>
      </c>
      <c r="B19" s="43">
        <v>34925</v>
      </c>
      <c r="C19" s="42" t="s">
        <v>28</v>
      </c>
      <c r="D19" s="44">
        <v>23.47</v>
      </c>
      <c r="E19" s="45"/>
      <c r="F19">
        <v>1995</v>
      </c>
      <c r="I19" s="9">
        <v>2011</v>
      </c>
      <c r="J19">
        <v>13.753333333333332</v>
      </c>
      <c r="K19">
        <v>12.929333333333334</v>
      </c>
      <c r="L19">
        <v>15</v>
      </c>
      <c r="N19">
        <v>2012</v>
      </c>
      <c r="O19">
        <v>15.099375</v>
      </c>
      <c r="P19">
        <v>15.017333333333333</v>
      </c>
      <c r="Q19">
        <v>16</v>
      </c>
    </row>
    <row r="20" spans="1:17" ht="15" customHeight="1" x14ac:dyDescent="0.3">
      <c r="A20" s="42" t="s">
        <v>100</v>
      </c>
      <c r="B20" s="43">
        <v>34947</v>
      </c>
      <c r="C20" s="42" t="s">
        <v>28</v>
      </c>
      <c r="D20" s="44">
        <v>22.67</v>
      </c>
      <c r="E20" s="44">
        <v>22.6447</v>
      </c>
      <c r="F20">
        <v>1995</v>
      </c>
      <c r="I20" s="9">
        <v>2012</v>
      </c>
      <c r="J20">
        <v>15.099375</v>
      </c>
      <c r="K20">
        <v>15.017333333333333</v>
      </c>
      <c r="L20">
        <v>16</v>
      </c>
      <c r="N20">
        <v>2013</v>
      </c>
      <c r="O20">
        <v>14.6275</v>
      </c>
      <c r="P20">
        <v>13.8675</v>
      </c>
      <c r="Q20">
        <v>16</v>
      </c>
    </row>
    <row r="21" spans="1:17" ht="15" customHeight="1" x14ac:dyDescent="0.3">
      <c r="A21" s="42" t="s">
        <v>101</v>
      </c>
      <c r="B21" s="43">
        <v>34976</v>
      </c>
      <c r="C21" s="42" t="s">
        <v>28</v>
      </c>
      <c r="D21" s="44">
        <v>19.36</v>
      </c>
      <c r="E21" s="44">
        <v>19.355399999999999</v>
      </c>
      <c r="F21">
        <v>1995</v>
      </c>
      <c r="I21" s="9">
        <v>2013</v>
      </c>
      <c r="J21">
        <v>14.6275</v>
      </c>
      <c r="K21">
        <v>13.8675</v>
      </c>
      <c r="L21">
        <v>16</v>
      </c>
      <c r="N21">
        <v>2014</v>
      </c>
      <c r="O21">
        <v>13.408750000000001</v>
      </c>
      <c r="P21">
        <v>12.811250000000003</v>
      </c>
      <c r="Q21">
        <v>16</v>
      </c>
    </row>
    <row r="22" spans="1:17" ht="15" customHeight="1" x14ac:dyDescent="0.3">
      <c r="A22" s="42" t="s">
        <v>102</v>
      </c>
      <c r="B22" s="43">
        <v>35004</v>
      </c>
      <c r="C22" s="42" t="s">
        <v>28</v>
      </c>
      <c r="D22" s="44">
        <v>14.41</v>
      </c>
      <c r="E22" s="44">
        <v>14.39</v>
      </c>
      <c r="F22">
        <v>1995</v>
      </c>
      <c r="I22" s="9">
        <v>2014</v>
      </c>
      <c r="J22">
        <v>13.408750000000001</v>
      </c>
      <c r="K22">
        <v>12.811250000000003</v>
      </c>
      <c r="L22">
        <v>16</v>
      </c>
      <c r="N22">
        <v>2015</v>
      </c>
      <c r="O22">
        <v>13.816874999999998</v>
      </c>
      <c r="P22">
        <v>13.054999999999998</v>
      </c>
      <c r="Q22">
        <v>16</v>
      </c>
    </row>
    <row r="23" spans="1:17" ht="15" customHeight="1" x14ac:dyDescent="0.3">
      <c r="A23" s="42" t="s">
        <v>103</v>
      </c>
      <c r="B23" s="43">
        <v>35040</v>
      </c>
      <c r="C23" s="42" t="s">
        <v>28</v>
      </c>
      <c r="D23" s="44">
        <v>6.53</v>
      </c>
      <c r="E23" s="44">
        <v>6.55</v>
      </c>
      <c r="F23">
        <v>1995</v>
      </c>
      <c r="I23" s="9">
        <v>2015</v>
      </c>
      <c r="J23">
        <v>13.816874999999998</v>
      </c>
      <c r="K23">
        <v>13.054999999999998</v>
      </c>
      <c r="L23">
        <v>16</v>
      </c>
      <c r="N23">
        <v>2016</v>
      </c>
      <c r="O23">
        <v>14.838125</v>
      </c>
      <c r="P23">
        <v>14.363125</v>
      </c>
      <c r="Q23">
        <v>16</v>
      </c>
    </row>
    <row r="24" spans="1:17" ht="15" customHeight="1" x14ac:dyDescent="0.3">
      <c r="A24" s="42" t="s">
        <v>104</v>
      </c>
      <c r="B24" s="43">
        <v>35103</v>
      </c>
      <c r="C24" s="42" t="s">
        <v>28</v>
      </c>
      <c r="D24" s="44">
        <v>-0.35</v>
      </c>
      <c r="E24" s="44">
        <v>-0.36</v>
      </c>
      <c r="F24">
        <v>1996</v>
      </c>
      <c r="I24" s="9">
        <v>2016</v>
      </c>
      <c r="J24">
        <v>14.838125</v>
      </c>
      <c r="K24">
        <v>14.363125</v>
      </c>
      <c r="L24">
        <v>16</v>
      </c>
      <c r="N24">
        <v>2017</v>
      </c>
      <c r="O24">
        <v>14.343333333333334</v>
      </c>
      <c r="P24">
        <v>13.925333333333331</v>
      </c>
      <c r="Q24">
        <v>15</v>
      </c>
    </row>
    <row r="25" spans="1:17" ht="15" customHeight="1" x14ac:dyDescent="0.3">
      <c r="A25" s="42" t="s">
        <v>105</v>
      </c>
      <c r="B25" s="43">
        <v>35129</v>
      </c>
      <c r="C25" s="42" t="s">
        <v>28</v>
      </c>
      <c r="D25" s="44">
        <v>0.52</v>
      </c>
      <c r="E25" s="44">
        <v>0.52</v>
      </c>
      <c r="F25">
        <v>1996</v>
      </c>
      <c r="I25" s="9">
        <v>2017</v>
      </c>
      <c r="J25">
        <v>14.343333333333334</v>
      </c>
      <c r="K25">
        <v>13.925333333333331</v>
      </c>
      <c r="L25">
        <v>15</v>
      </c>
      <c r="N25">
        <v>2018</v>
      </c>
      <c r="O25">
        <v>14.193125000000002</v>
      </c>
      <c r="P25">
        <v>13.764375000000001</v>
      </c>
      <c r="Q25">
        <v>16</v>
      </c>
    </row>
    <row r="26" spans="1:17" ht="15" customHeight="1" x14ac:dyDescent="0.3">
      <c r="A26" s="42" t="s">
        <v>106</v>
      </c>
      <c r="B26" s="43">
        <v>35159</v>
      </c>
      <c r="C26" s="42" t="s">
        <v>28</v>
      </c>
      <c r="D26" s="45"/>
      <c r="E26" s="45"/>
      <c r="F26">
        <v>1996</v>
      </c>
      <c r="I26" s="9">
        <v>2018</v>
      </c>
      <c r="J26">
        <v>14.193125000000002</v>
      </c>
      <c r="K26">
        <v>13.764375000000001</v>
      </c>
      <c r="L26">
        <v>16</v>
      </c>
      <c r="N26">
        <v>2019</v>
      </c>
      <c r="O26">
        <v>13.893125</v>
      </c>
      <c r="P26">
        <v>13.356249999999999</v>
      </c>
      <c r="Q26">
        <v>16</v>
      </c>
    </row>
    <row r="27" spans="1:17" ht="15" customHeight="1" x14ac:dyDescent="0.3">
      <c r="A27" s="42" t="s">
        <v>107</v>
      </c>
      <c r="B27" s="43">
        <v>35198</v>
      </c>
      <c r="C27" s="42" t="s">
        <v>28</v>
      </c>
      <c r="D27" s="44">
        <v>9.0500000000000007</v>
      </c>
      <c r="E27" s="44">
        <v>8.42</v>
      </c>
      <c r="F27">
        <v>1996</v>
      </c>
      <c r="I27" s="9">
        <v>2019</v>
      </c>
      <c r="J27">
        <v>13.893125</v>
      </c>
      <c r="K27">
        <v>13.356249999999999</v>
      </c>
      <c r="L27">
        <v>16</v>
      </c>
      <c r="N27">
        <v>2020</v>
      </c>
      <c r="O27">
        <v>17.330000000000002</v>
      </c>
      <c r="P27">
        <v>16.026</v>
      </c>
      <c r="Q27">
        <v>11</v>
      </c>
    </row>
    <row r="28" spans="1:17" ht="15" customHeight="1" x14ac:dyDescent="0.3">
      <c r="A28" s="42" t="s">
        <v>108</v>
      </c>
      <c r="B28" s="43">
        <v>35219</v>
      </c>
      <c r="C28" s="42" t="s">
        <v>28</v>
      </c>
      <c r="D28" s="44">
        <v>13.5</v>
      </c>
      <c r="E28" s="44">
        <v>11.39</v>
      </c>
      <c r="F28">
        <v>1996</v>
      </c>
      <c r="I28" s="9">
        <v>2020</v>
      </c>
      <c r="J28">
        <v>17.330000000000002</v>
      </c>
      <c r="K28">
        <v>16.026</v>
      </c>
      <c r="L28">
        <v>11</v>
      </c>
      <c r="N28">
        <v>2021</v>
      </c>
      <c r="O28">
        <v>16.316923076923079</v>
      </c>
      <c r="P28">
        <v>15.518571428571429</v>
      </c>
      <c r="Q28">
        <v>14</v>
      </c>
    </row>
    <row r="29" spans="1:17" ht="15" customHeight="1" x14ac:dyDescent="0.3">
      <c r="A29" s="42" t="s">
        <v>109</v>
      </c>
      <c r="B29" s="43">
        <v>35243</v>
      </c>
      <c r="C29" s="42" t="s">
        <v>28</v>
      </c>
      <c r="D29" s="44">
        <v>18.13</v>
      </c>
      <c r="E29" s="45"/>
      <c r="F29">
        <v>1996</v>
      </c>
      <c r="I29" s="9">
        <v>2021</v>
      </c>
      <c r="J29">
        <v>16.316923076923079</v>
      </c>
      <c r="K29">
        <v>15.518571428571429</v>
      </c>
      <c r="L29">
        <v>14</v>
      </c>
      <c r="N29">
        <v>2022</v>
      </c>
      <c r="O29">
        <v>14.486875</v>
      </c>
      <c r="P29">
        <v>14.13</v>
      </c>
      <c r="Q29">
        <v>16</v>
      </c>
    </row>
    <row r="30" spans="1:17" ht="15" customHeight="1" x14ac:dyDescent="0.3">
      <c r="A30" s="42" t="s">
        <v>110</v>
      </c>
      <c r="B30" s="43">
        <v>35254</v>
      </c>
      <c r="C30" s="42" t="s">
        <v>28</v>
      </c>
      <c r="D30" s="44">
        <v>18.670000000000002</v>
      </c>
      <c r="E30" s="46">
        <v>16.88</v>
      </c>
      <c r="F30">
        <v>1996</v>
      </c>
      <c r="I30" s="9">
        <v>2022</v>
      </c>
      <c r="J30">
        <v>14.486875</v>
      </c>
      <c r="K30">
        <v>14.13</v>
      </c>
      <c r="L30">
        <v>16</v>
      </c>
      <c r="N30">
        <v>2023</v>
      </c>
      <c r="O30">
        <v>15.67642857142857</v>
      </c>
      <c r="P30">
        <v>15.035714285714288</v>
      </c>
      <c r="Q30">
        <v>14</v>
      </c>
    </row>
    <row r="31" spans="1:17" ht="15" customHeight="1" x14ac:dyDescent="0.3">
      <c r="A31" s="42" t="s">
        <v>111</v>
      </c>
      <c r="B31" s="43">
        <v>35270</v>
      </c>
      <c r="C31" s="42" t="s">
        <v>28</v>
      </c>
      <c r="D31" s="44">
        <v>18.57</v>
      </c>
      <c r="E31" s="44">
        <v>18.22</v>
      </c>
      <c r="F31">
        <v>1996</v>
      </c>
      <c r="I31" s="9">
        <v>2023</v>
      </c>
      <c r="J31">
        <v>15.67642857142857</v>
      </c>
      <c r="K31">
        <v>15.035714285714288</v>
      </c>
      <c r="L31">
        <v>14</v>
      </c>
      <c r="N31">
        <v>2024</v>
      </c>
      <c r="O31">
        <v>13.312857142857142</v>
      </c>
      <c r="P31">
        <v>12.257142857142856</v>
      </c>
      <c r="Q31">
        <v>14</v>
      </c>
    </row>
    <row r="32" spans="1:17" ht="15" customHeight="1" x14ac:dyDescent="0.3">
      <c r="A32" s="42" t="s">
        <v>112</v>
      </c>
      <c r="B32" s="43">
        <v>35284</v>
      </c>
      <c r="C32" s="42" t="s">
        <v>28</v>
      </c>
      <c r="D32" s="44">
        <v>22.79</v>
      </c>
      <c r="E32" s="46">
        <v>19.760000000000002</v>
      </c>
      <c r="F32">
        <v>1996</v>
      </c>
      <c r="I32" s="9">
        <v>2024</v>
      </c>
      <c r="J32">
        <v>13.75</v>
      </c>
      <c r="K32">
        <v>12.764666666666667</v>
      </c>
      <c r="L32">
        <v>15</v>
      </c>
      <c r="N32" t="s">
        <v>517</v>
      </c>
      <c r="O32">
        <v>14.278778619153686</v>
      </c>
      <c r="P32">
        <v>13.391155971896961</v>
      </c>
      <c r="Q32">
        <v>454</v>
      </c>
    </row>
    <row r="33" spans="1:12" ht="15" customHeight="1" x14ac:dyDescent="0.3">
      <c r="A33" s="42" t="s">
        <v>113</v>
      </c>
      <c r="B33" s="43">
        <v>35298</v>
      </c>
      <c r="C33" s="42" t="s">
        <v>28</v>
      </c>
      <c r="D33" s="44">
        <v>21.28</v>
      </c>
      <c r="E33" s="45"/>
      <c r="F33">
        <v>1996</v>
      </c>
      <c r="I33" s="9" t="s">
        <v>517</v>
      </c>
      <c r="J33">
        <v>14.291203555555567</v>
      </c>
      <c r="K33">
        <v>13.40629345794393</v>
      </c>
      <c r="L33">
        <v>455</v>
      </c>
    </row>
    <row r="34" spans="1:12" ht="15" customHeight="1" x14ac:dyDescent="0.3">
      <c r="A34" s="42" t="s">
        <v>114</v>
      </c>
      <c r="B34" s="43">
        <v>35313</v>
      </c>
      <c r="C34" s="42" t="s">
        <v>28</v>
      </c>
      <c r="D34" s="44">
        <v>22.63</v>
      </c>
      <c r="E34" s="44">
        <v>21.31</v>
      </c>
      <c r="F34">
        <v>1996</v>
      </c>
    </row>
    <row r="35" spans="1:12" ht="15" customHeight="1" x14ac:dyDescent="0.3">
      <c r="A35" s="42" t="s">
        <v>115</v>
      </c>
      <c r="B35" s="43">
        <v>35345</v>
      </c>
      <c r="C35" s="42" t="s">
        <v>28</v>
      </c>
      <c r="D35" s="44">
        <v>17.489999999999998</v>
      </c>
      <c r="E35" s="46">
        <v>17.5</v>
      </c>
      <c r="F35">
        <v>1996</v>
      </c>
    </row>
    <row r="36" spans="1:12" ht="15" customHeight="1" x14ac:dyDescent="0.3">
      <c r="A36" s="42" t="s">
        <v>116</v>
      </c>
      <c r="B36" s="43">
        <v>35375</v>
      </c>
      <c r="C36" s="42" t="s">
        <v>28</v>
      </c>
      <c r="D36" s="44">
        <v>13.81</v>
      </c>
      <c r="E36" s="44">
        <v>13.89</v>
      </c>
      <c r="F36">
        <v>1996</v>
      </c>
    </row>
    <row r="37" spans="1:12" ht="15" customHeight="1" x14ac:dyDescent="0.3">
      <c r="A37" s="42" t="s">
        <v>117</v>
      </c>
      <c r="B37" s="43">
        <v>35403</v>
      </c>
      <c r="C37" s="42" t="s">
        <v>28</v>
      </c>
      <c r="D37" s="44">
        <v>8</v>
      </c>
      <c r="E37" s="44">
        <v>8.9499999999999993</v>
      </c>
      <c r="F37">
        <v>1996</v>
      </c>
    </row>
    <row r="38" spans="1:12" ht="15" customHeight="1" x14ac:dyDescent="0.3">
      <c r="A38" s="42" t="s">
        <v>118</v>
      </c>
      <c r="B38" s="43">
        <v>35464</v>
      </c>
      <c r="C38" s="42" t="s">
        <v>28</v>
      </c>
      <c r="D38" s="44">
        <v>1.98</v>
      </c>
      <c r="E38" s="44">
        <v>1.94</v>
      </c>
      <c r="F38">
        <v>1997</v>
      </c>
    </row>
    <row r="39" spans="1:12" ht="15" customHeight="1" x14ac:dyDescent="0.3">
      <c r="A39" s="42" t="s">
        <v>119</v>
      </c>
      <c r="B39" s="43">
        <v>35492</v>
      </c>
      <c r="C39" s="42" t="s">
        <v>28</v>
      </c>
      <c r="D39" s="44">
        <v>3.42</v>
      </c>
      <c r="E39" s="44">
        <v>3.27</v>
      </c>
      <c r="F39">
        <v>1997</v>
      </c>
    </row>
    <row r="40" spans="1:12" ht="15" customHeight="1" x14ac:dyDescent="0.3">
      <c r="A40" s="42" t="s">
        <v>120</v>
      </c>
      <c r="B40" s="43">
        <v>35523</v>
      </c>
      <c r="C40" s="42" t="s">
        <v>28</v>
      </c>
      <c r="D40" s="44">
        <v>4.88</v>
      </c>
      <c r="E40" s="44">
        <v>4.55</v>
      </c>
      <c r="F40">
        <v>1997</v>
      </c>
    </row>
    <row r="41" spans="1:12" ht="15" customHeight="1" x14ac:dyDescent="0.3">
      <c r="A41" s="42" t="s">
        <v>121</v>
      </c>
      <c r="B41" s="43">
        <v>35557</v>
      </c>
      <c r="C41" s="42" t="s">
        <v>28</v>
      </c>
      <c r="D41" s="44">
        <v>8.8699999999999992</v>
      </c>
      <c r="E41" s="44">
        <v>8.44</v>
      </c>
      <c r="F41">
        <v>1997</v>
      </c>
    </row>
    <row r="42" spans="1:12" ht="15" customHeight="1" x14ac:dyDescent="0.3">
      <c r="A42" s="42" t="s">
        <v>122</v>
      </c>
      <c r="B42" s="43">
        <v>35585</v>
      </c>
      <c r="C42" s="42" t="s">
        <v>28</v>
      </c>
      <c r="D42" s="44">
        <v>13.25</v>
      </c>
      <c r="E42" s="44">
        <v>13.24</v>
      </c>
      <c r="F42">
        <v>1997</v>
      </c>
    </row>
    <row r="43" spans="1:12" ht="15" customHeight="1" x14ac:dyDescent="0.3">
      <c r="A43" s="42" t="s">
        <v>123</v>
      </c>
      <c r="B43" s="43">
        <v>35608</v>
      </c>
      <c r="C43" s="42" t="s">
        <v>28</v>
      </c>
      <c r="D43" s="44">
        <v>16.04</v>
      </c>
      <c r="E43" s="45"/>
      <c r="F43">
        <v>1997</v>
      </c>
    </row>
    <row r="44" spans="1:12" ht="15" customHeight="1" x14ac:dyDescent="0.3">
      <c r="A44" s="42" t="s">
        <v>491</v>
      </c>
      <c r="B44" s="43">
        <v>35620</v>
      </c>
      <c r="C44" s="42" t="s">
        <v>28</v>
      </c>
      <c r="D44" s="44">
        <v>17.68</v>
      </c>
      <c r="E44" s="44">
        <v>16.47</v>
      </c>
      <c r="F44">
        <v>1997</v>
      </c>
    </row>
    <row r="45" spans="1:12" ht="15" customHeight="1" x14ac:dyDescent="0.3">
      <c r="A45" s="42" t="s">
        <v>124</v>
      </c>
      <c r="B45" s="43">
        <v>35633</v>
      </c>
      <c r="C45" s="42" t="s">
        <v>28</v>
      </c>
      <c r="D45" s="44">
        <v>18.68</v>
      </c>
      <c r="E45" s="45"/>
      <c r="F45">
        <v>1997</v>
      </c>
    </row>
    <row r="46" spans="1:12" ht="15" customHeight="1" x14ac:dyDescent="0.3">
      <c r="A46" s="42" t="s">
        <v>125</v>
      </c>
      <c r="B46" s="43">
        <v>35647</v>
      </c>
      <c r="C46" s="42" t="s">
        <v>28</v>
      </c>
      <c r="D46" s="44">
        <v>20.55</v>
      </c>
      <c r="E46" s="44">
        <v>19.91</v>
      </c>
      <c r="F46">
        <v>1997</v>
      </c>
    </row>
    <row r="47" spans="1:12" ht="15" customHeight="1" x14ac:dyDescent="0.3">
      <c r="A47" s="42" t="s">
        <v>126</v>
      </c>
      <c r="B47" s="43">
        <v>35662</v>
      </c>
      <c r="C47" s="42" t="s">
        <v>28</v>
      </c>
      <c r="D47" s="44">
        <v>21.21</v>
      </c>
      <c r="E47" s="46">
        <v>21.18</v>
      </c>
      <c r="F47">
        <v>1997</v>
      </c>
    </row>
    <row r="48" spans="1:12" ht="15" customHeight="1" x14ac:dyDescent="0.3">
      <c r="A48" s="42" t="s">
        <v>127</v>
      </c>
      <c r="B48" s="43">
        <v>35677</v>
      </c>
      <c r="C48" s="42" t="s">
        <v>28</v>
      </c>
      <c r="D48" s="44">
        <v>21.16</v>
      </c>
      <c r="E48" s="46">
        <v>21.16</v>
      </c>
      <c r="F48">
        <v>1997</v>
      </c>
    </row>
    <row r="49" spans="1:6" ht="15" customHeight="1" x14ac:dyDescent="0.3">
      <c r="A49" s="42" t="s">
        <v>513</v>
      </c>
      <c r="B49" s="43">
        <v>35690</v>
      </c>
      <c r="C49" s="42" t="s">
        <v>28</v>
      </c>
      <c r="D49" s="44">
        <v>21.27</v>
      </c>
      <c r="F49">
        <v>1997</v>
      </c>
    </row>
    <row r="50" spans="1:6" ht="15" customHeight="1" x14ac:dyDescent="0.3">
      <c r="A50" s="42" t="s">
        <v>128</v>
      </c>
      <c r="B50" s="43">
        <v>35710</v>
      </c>
      <c r="C50" s="42" t="s">
        <v>28</v>
      </c>
      <c r="D50" s="44">
        <v>18.29</v>
      </c>
      <c r="E50" s="46">
        <v>18.3</v>
      </c>
      <c r="F50">
        <v>1997</v>
      </c>
    </row>
    <row r="51" spans="1:6" ht="15" customHeight="1" x14ac:dyDescent="0.3">
      <c r="A51" s="42" t="s">
        <v>129</v>
      </c>
      <c r="B51" s="43">
        <v>35737</v>
      </c>
      <c r="C51" s="42" t="s">
        <v>28</v>
      </c>
      <c r="D51" s="44">
        <v>13.46</v>
      </c>
      <c r="E51" s="44">
        <v>13.45</v>
      </c>
      <c r="F51">
        <v>1997</v>
      </c>
    </row>
    <row r="52" spans="1:6" ht="15" customHeight="1" x14ac:dyDescent="0.3">
      <c r="A52" s="42" t="s">
        <v>130</v>
      </c>
      <c r="B52" s="43">
        <v>35772</v>
      </c>
      <c r="C52" s="42" t="s">
        <v>28</v>
      </c>
      <c r="D52" s="44">
        <v>6.11</v>
      </c>
      <c r="E52" s="46">
        <v>6.1</v>
      </c>
      <c r="F52">
        <v>1997</v>
      </c>
    </row>
    <row r="53" spans="1:6" ht="15" customHeight="1" x14ac:dyDescent="0.3">
      <c r="A53" s="42" t="s">
        <v>131</v>
      </c>
      <c r="B53" s="43">
        <v>35809</v>
      </c>
      <c r="C53" s="42" t="s">
        <v>28</v>
      </c>
      <c r="D53" s="44">
        <v>4.5</v>
      </c>
      <c r="E53" s="44">
        <v>4.6500000000000004</v>
      </c>
      <c r="F53">
        <v>1998</v>
      </c>
    </row>
    <row r="54" spans="1:6" ht="15" customHeight="1" x14ac:dyDescent="0.3">
      <c r="A54" s="42" t="s">
        <v>132</v>
      </c>
      <c r="B54" s="43">
        <v>35828</v>
      </c>
      <c r="C54" s="42" t="s">
        <v>28</v>
      </c>
      <c r="D54" s="44">
        <v>3.42</v>
      </c>
      <c r="E54" s="44">
        <v>3.44</v>
      </c>
      <c r="F54">
        <v>1998</v>
      </c>
    </row>
    <row r="55" spans="1:6" ht="15" customHeight="1" x14ac:dyDescent="0.3">
      <c r="A55" s="42" t="s">
        <v>134</v>
      </c>
      <c r="B55" s="43">
        <v>35858</v>
      </c>
      <c r="C55" s="42" t="s">
        <v>28</v>
      </c>
      <c r="D55" s="44">
        <v>4.8099999999999996</v>
      </c>
      <c r="E55" s="44">
        <v>4.6399999999999997</v>
      </c>
      <c r="F55">
        <v>1998</v>
      </c>
    </row>
    <row r="56" spans="1:6" ht="15" customHeight="1" x14ac:dyDescent="0.3">
      <c r="A56" s="42" t="s">
        <v>136</v>
      </c>
      <c r="B56" s="43">
        <v>35900</v>
      </c>
      <c r="C56" s="42" t="s">
        <v>28</v>
      </c>
      <c r="D56" s="44">
        <v>8.6300000000000008</v>
      </c>
      <c r="E56" s="44">
        <v>7.52</v>
      </c>
      <c r="F56">
        <v>1998</v>
      </c>
    </row>
    <row r="57" spans="1:6" ht="15" customHeight="1" x14ac:dyDescent="0.3">
      <c r="A57" s="42" t="s">
        <v>137</v>
      </c>
      <c r="B57" s="43">
        <v>35928</v>
      </c>
      <c r="C57" s="42" t="s">
        <v>28</v>
      </c>
      <c r="D57" s="44">
        <v>11.48</v>
      </c>
      <c r="E57" s="44">
        <v>11.47</v>
      </c>
      <c r="F57">
        <v>1998</v>
      </c>
    </row>
    <row r="58" spans="1:6" ht="15" customHeight="1" x14ac:dyDescent="0.3">
      <c r="A58" s="42" t="s">
        <v>138</v>
      </c>
      <c r="B58" s="43">
        <v>35948</v>
      </c>
      <c r="C58" s="42" t="s">
        <v>28</v>
      </c>
      <c r="D58" s="44">
        <v>15.98</v>
      </c>
      <c r="E58" s="46">
        <v>14.7</v>
      </c>
      <c r="F58">
        <v>1998</v>
      </c>
    </row>
    <row r="59" spans="1:6" ht="15" customHeight="1" x14ac:dyDescent="0.3">
      <c r="A59" s="42" t="s">
        <v>139</v>
      </c>
      <c r="B59" s="43">
        <v>35971</v>
      </c>
      <c r="C59" s="42" t="s">
        <v>28</v>
      </c>
      <c r="D59" s="44">
        <v>18.29</v>
      </c>
      <c r="E59" s="45"/>
      <c r="F59">
        <v>1998</v>
      </c>
    </row>
    <row r="60" spans="1:6" ht="15" customHeight="1" x14ac:dyDescent="0.3">
      <c r="A60" s="42" t="s">
        <v>140</v>
      </c>
      <c r="B60" s="43">
        <v>35984</v>
      </c>
      <c r="C60" s="42" t="s">
        <v>28</v>
      </c>
      <c r="D60" s="44">
        <v>20.16</v>
      </c>
      <c r="E60" s="44">
        <v>17.989999999999998</v>
      </c>
      <c r="F60">
        <v>1998</v>
      </c>
    </row>
    <row r="61" spans="1:6" ht="15" customHeight="1" x14ac:dyDescent="0.3">
      <c r="A61" s="42" t="s">
        <v>141</v>
      </c>
      <c r="B61" s="43">
        <v>35998</v>
      </c>
      <c r="C61" s="42" t="s">
        <v>28</v>
      </c>
      <c r="D61" s="44">
        <v>20.8</v>
      </c>
      <c r="E61" s="45"/>
      <c r="F61">
        <v>1998</v>
      </c>
    </row>
    <row r="62" spans="1:6" ht="15" customHeight="1" x14ac:dyDescent="0.3">
      <c r="A62" s="42" t="s">
        <v>142</v>
      </c>
      <c r="B62" s="43">
        <v>36010</v>
      </c>
      <c r="C62" s="42" t="s">
        <v>28</v>
      </c>
      <c r="D62" s="44">
        <v>22.11</v>
      </c>
      <c r="E62" s="44">
        <v>18.86</v>
      </c>
      <c r="F62">
        <v>1998</v>
      </c>
    </row>
    <row r="63" spans="1:6" ht="15" customHeight="1" x14ac:dyDescent="0.3">
      <c r="A63" s="42" t="s">
        <v>143</v>
      </c>
      <c r="B63" s="43">
        <v>36024</v>
      </c>
      <c r="C63" s="42" t="s">
        <v>28</v>
      </c>
      <c r="D63" s="46">
        <v>23</v>
      </c>
      <c r="F63">
        <v>1998</v>
      </c>
    </row>
    <row r="64" spans="1:6" ht="15" customHeight="1" x14ac:dyDescent="0.3">
      <c r="A64" s="42" t="s">
        <v>144</v>
      </c>
      <c r="B64" s="43">
        <v>36040</v>
      </c>
      <c r="C64" s="42" t="s">
        <v>28</v>
      </c>
      <c r="D64" s="44">
        <v>23.25</v>
      </c>
      <c r="E64" s="44">
        <v>22.1</v>
      </c>
      <c r="F64">
        <v>1998</v>
      </c>
    </row>
    <row r="65" spans="1:6" ht="15" customHeight="1" x14ac:dyDescent="0.3">
      <c r="A65" s="42" t="s">
        <v>145</v>
      </c>
      <c r="B65" s="43">
        <v>36054</v>
      </c>
      <c r="C65" s="42" t="s">
        <v>28</v>
      </c>
      <c r="D65" s="44">
        <v>22.35</v>
      </c>
      <c r="E65" s="45"/>
      <c r="F65">
        <v>1998</v>
      </c>
    </row>
    <row r="66" spans="1:6" ht="15" customHeight="1" x14ac:dyDescent="0.3">
      <c r="A66" s="42" t="s">
        <v>146</v>
      </c>
      <c r="B66" s="43">
        <v>36074</v>
      </c>
      <c r="C66" s="42" t="s">
        <v>28</v>
      </c>
      <c r="D66" s="44">
        <v>19.38</v>
      </c>
      <c r="E66" s="44">
        <v>19.38</v>
      </c>
      <c r="F66">
        <v>1998</v>
      </c>
    </row>
    <row r="67" spans="1:6" ht="15" customHeight="1" x14ac:dyDescent="0.3">
      <c r="A67" s="42" t="s">
        <v>147</v>
      </c>
      <c r="B67" s="43">
        <v>36104</v>
      </c>
      <c r="C67" s="42" t="s">
        <v>28</v>
      </c>
      <c r="D67" s="44">
        <v>13.32</v>
      </c>
      <c r="E67" s="44">
        <v>13.33</v>
      </c>
      <c r="F67">
        <v>1998</v>
      </c>
    </row>
    <row r="68" spans="1:6" ht="15" customHeight="1" x14ac:dyDescent="0.3">
      <c r="A68" s="42" t="s">
        <v>148</v>
      </c>
      <c r="B68" s="43">
        <v>36131</v>
      </c>
      <c r="C68" s="42" t="s">
        <v>28</v>
      </c>
      <c r="D68" s="44">
        <v>9.74</v>
      </c>
      <c r="E68" s="44">
        <v>9.73</v>
      </c>
      <c r="F68">
        <v>1998</v>
      </c>
    </row>
    <row r="69" spans="1:6" ht="15" customHeight="1" x14ac:dyDescent="0.3">
      <c r="A69" s="42" t="s">
        <v>149</v>
      </c>
      <c r="B69" s="43">
        <v>36171</v>
      </c>
      <c r="C69" s="42" t="s">
        <v>28</v>
      </c>
      <c r="D69" s="44">
        <v>3.09</v>
      </c>
      <c r="E69" s="44">
        <v>3.07</v>
      </c>
      <c r="F69">
        <v>1999</v>
      </c>
    </row>
    <row r="70" spans="1:6" ht="15" customHeight="1" x14ac:dyDescent="0.3">
      <c r="A70" s="42" t="s">
        <v>150</v>
      </c>
      <c r="B70" s="43">
        <v>36195</v>
      </c>
      <c r="C70" s="42" t="s">
        <v>28</v>
      </c>
      <c r="D70" s="44">
        <v>3.18</v>
      </c>
      <c r="E70" s="44">
        <v>3.24</v>
      </c>
      <c r="F70">
        <v>1999</v>
      </c>
    </row>
    <row r="71" spans="1:6" ht="15" customHeight="1" x14ac:dyDescent="0.3">
      <c r="A71" s="42" t="s">
        <v>152</v>
      </c>
      <c r="B71" s="43">
        <v>36228</v>
      </c>
      <c r="C71" s="42" t="s">
        <v>28</v>
      </c>
      <c r="D71" s="44">
        <v>2.0299999999999998</v>
      </c>
      <c r="E71" s="44">
        <v>2.39</v>
      </c>
      <c r="F71">
        <v>1999</v>
      </c>
    </row>
    <row r="72" spans="1:6" ht="15" customHeight="1" x14ac:dyDescent="0.3">
      <c r="A72" s="42" t="s">
        <v>154</v>
      </c>
      <c r="B72" s="43">
        <v>36257</v>
      </c>
      <c r="C72" s="42" t="s">
        <v>28</v>
      </c>
      <c r="D72" s="44">
        <v>6.7</v>
      </c>
      <c r="E72" s="44">
        <v>5.81</v>
      </c>
      <c r="F72">
        <v>1999</v>
      </c>
    </row>
    <row r="73" spans="1:6" ht="15" customHeight="1" x14ac:dyDescent="0.3">
      <c r="A73" s="42" t="s">
        <v>155</v>
      </c>
      <c r="B73" s="43">
        <v>36286</v>
      </c>
      <c r="C73" s="42" t="s">
        <v>28</v>
      </c>
      <c r="D73" s="44">
        <v>11.23</v>
      </c>
      <c r="E73" s="44">
        <v>10.9</v>
      </c>
      <c r="F73">
        <v>1999</v>
      </c>
    </row>
    <row r="74" spans="1:6" ht="15" customHeight="1" x14ac:dyDescent="0.3">
      <c r="A74" s="42" t="s">
        <v>156</v>
      </c>
      <c r="B74" s="43">
        <v>36312</v>
      </c>
      <c r="C74" s="42" t="s">
        <v>28</v>
      </c>
      <c r="D74" s="44">
        <v>15.23</v>
      </c>
      <c r="E74" s="44">
        <v>13.7</v>
      </c>
      <c r="F74">
        <v>1999</v>
      </c>
    </row>
    <row r="75" spans="1:6" ht="15" customHeight="1" x14ac:dyDescent="0.3">
      <c r="A75" s="42" t="s">
        <v>157</v>
      </c>
      <c r="B75" s="43">
        <v>36335</v>
      </c>
      <c r="C75" s="42" t="s">
        <v>28</v>
      </c>
      <c r="D75" s="44">
        <v>18.14</v>
      </c>
      <c r="E75" s="44">
        <v>15.38</v>
      </c>
      <c r="F75">
        <v>1999</v>
      </c>
    </row>
    <row r="76" spans="1:6" ht="15" customHeight="1" x14ac:dyDescent="0.3">
      <c r="A76" s="42" t="s">
        <v>158</v>
      </c>
      <c r="B76" s="43">
        <v>36348</v>
      </c>
      <c r="C76" s="42" t="s">
        <v>28</v>
      </c>
      <c r="D76" s="44">
        <v>19.850000000000001</v>
      </c>
      <c r="E76" s="44">
        <v>18.2</v>
      </c>
      <c r="F76">
        <v>1999</v>
      </c>
    </row>
    <row r="77" spans="1:6" ht="15" customHeight="1" x14ac:dyDescent="0.3">
      <c r="A77" s="42" t="s">
        <v>159</v>
      </c>
      <c r="B77" s="43">
        <v>36362</v>
      </c>
      <c r="C77" s="42" t="s">
        <v>28</v>
      </c>
      <c r="D77" s="44">
        <v>22.77</v>
      </c>
      <c r="E77" s="44">
        <v>22.54</v>
      </c>
      <c r="F77">
        <v>1999</v>
      </c>
    </row>
    <row r="78" spans="1:6" ht="15" customHeight="1" x14ac:dyDescent="0.3">
      <c r="A78" s="42" t="s">
        <v>160</v>
      </c>
      <c r="B78" s="43">
        <v>36376</v>
      </c>
      <c r="C78" s="42" t="s">
        <v>28</v>
      </c>
      <c r="D78" s="44">
        <v>23.22</v>
      </c>
      <c r="E78" s="44">
        <v>23.08</v>
      </c>
      <c r="F78">
        <v>1999</v>
      </c>
    </row>
    <row r="79" spans="1:6" ht="15" customHeight="1" x14ac:dyDescent="0.3">
      <c r="A79" s="42" t="s">
        <v>161</v>
      </c>
      <c r="B79" s="43">
        <v>36390</v>
      </c>
      <c r="C79" s="42" t="s">
        <v>28</v>
      </c>
      <c r="D79" s="44">
        <v>23.23</v>
      </c>
      <c r="E79" s="44">
        <v>22.62</v>
      </c>
      <c r="F79">
        <v>1999</v>
      </c>
    </row>
    <row r="80" spans="1:6" ht="15" customHeight="1" x14ac:dyDescent="0.3">
      <c r="A80" s="42" t="s">
        <v>162</v>
      </c>
      <c r="B80" s="43">
        <v>36403</v>
      </c>
      <c r="C80" s="42" t="s">
        <v>28</v>
      </c>
      <c r="D80" s="44">
        <v>21.95</v>
      </c>
      <c r="E80" s="44">
        <v>21.95</v>
      </c>
      <c r="F80">
        <v>1999</v>
      </c>
    </row>
    <row r="81" spans="1:6" ht="15" customHeight="1" x14ac:dyDescent="0.3">
      <c r="A81" s="42" t="s">
        <v>163</v>
      </c>
      <c r="B81" s="43">
        <v>36431</v>
      </c>
      <c r="C81" s="42" t="s">
        <v>28</v>
      </c>
      <c r="D81" s="44">
        <v>20.04</v>
      </c>
      <c r="E81" s="44">
        <v>20.059999999999999</v>
      </c>
      <c r="F81">
        <v>1999</v>
      </c>
    </row>
    <row r="82" spans="1:6" ht="15" customHeight="1" x14ac:dyDescent="0.3">
      <c r="A82" s="42" t="s">
        <v>164</v>
      </c>
      <c r="B82" s="43">
        <v>36469</v>
      </c>
      <c r="C82" s="42" t="s">
        <v>28</v>
      </c>
      <c r="D82" s="44">
        <v>14.95</v>
      </c>
      <c r="E82" s="44">
        <v>14.98</v>
      </c>
      <c r="F82">
        <v>1999</v>
      </c>
    </row>
    <row r="83" spans="1:6" ht="15" customHeight="1" x14ac:dyDescent="0.3">
      <c r="A83" s="42" t="s">
        <v>165</v>
      </c>
      <c r="B83" s="43">
        <v>36503</v>
      </c>
      <c r="C83" s="42" t="s">
        <v>28</v>
      </c>
      <c r="D83" s="44">
        <v>8.9700000000000006</v>
      </c>
      <c r="E83" s="44">
        <v>8.9</v>
      </c>
      <c r="F83">
        <v>1999</v>
      </c>
    </row>
    <row r="84" spans="1:6" ht="15" customHeight="1" x14ac:dyDescent="0.3">
      <c r="A84" s="42" t="s">
        <v>166</v>
      </c>
      <c r="B84" s="43">
        <v>36531</v>
      </c>
      <c r="C84" s="42" t="s">
        <v>28</v>
      </c>
      <c r="D84" s="44">
        <v>5.59</v>
      </c>
      <c r="E84" s="44">
        <v>5.93</v>
      </c>
      <c r="F84">
        <v>2000</v>
      </c>
    </row>
    <row r="85" spans="1:6" ht="15" customHeight="1" x14ac:dyDescent="0.3">
      <c r="A85" s="42" t="s">
        <v>167</v>
      </c>
      <c r="B85" s="43">
        <v>36563</v>
      </c>
      <c r="C85" s="42" t="s">
        <v>28</v>
      </c>
      <c r="D85" s="44">
        <v>0.51</v>
      </c>
      <c r="E85" s="44">
        <v>0.49</v>
      </c>
      <c r="F85">
        <v>2000</v>
      </c>
    </row>
    <row r="86" spans="1:6" ht="15" customHeight="1" x14ac:dyDescent="0.3">
      <c r="A86" s="42" t="s">
        <v>169</v>
      </c>
      <c r="B86" s="43">
        <v>36591</v>
      </c>
      <c r="C86" s="42" t="s">
        <v>28</v>
      </c>
      <c r="D86" s="44">
        <v>2.92</v>
      </c>
      <c r="E86" s="44">
        <v>2.91</v>
      </c>
      <c r="F86">
        <v>2000</v>
      </c>
    </row>
    <row r="87" spans="1:6" ht="15" customHeight="1" x14ac:dyDescent="0.3">
      <c r="A87" s="42" t="s">
        <v>171</v>
      </c>
      <c r="B87" s="43">
        <v>36626</v>
      </c>
      <c r="C87" s="42" t="s">
        <v>28</v>
      </c>
      <c r="D87" s="44">
        <v>6.58</v>
      </c>
      <c r="E87" s="44">
        <v>6.26</v>
      </c>
      <c r="F87">
        <v>2000</v>
      </c>
    </row>
    <row r="88" spans="1:6" ht="15" customHeight="1" x14ac:dyDescent="0.3">
      <c r="A88" s="42" t="s">
        <v>172</v>
      </c>
      <c r="B88" s="43">
        <v>36649</v>
      </c>
      <c r="C88" s="42" t="s">
        <v>28</v>
      </c>
      <c r="D88" s="46">
        <v>9.44</v>
      </c>
      <c r="E88" s="44">
        <v>8.9700000000000006</v>
      </c>
      <c r="F88">
        <v>2000</v>
      </c>
    </row>
    <row r="89" spans="1:6" ht="15" customHeight="1" x14ac:dyDescent="0.3">
      <c r="A89" s="42" t="s">
        <v>173</v>
      </c>
      <c r="B89" s="43">
        <v>36682</v>
      </c>
      <c r="C89" s="42" t="s">
        <v>28</v>
      </c>
      <c r="D89" s="44">
        <v>15.8</v>
      </c>
      <c r="E89" s="44">
        <v>15.38</v>
      </c>
      <c r="F89">
        <v>2000</v>
      </c>
    </row>
    <row r="90" spans="1:6" ht="15" customHeight="1" x14ac:dyDescent="0.3">
      <c r="A90" s="42" t="s">
        <v>174</v>
      </c>
      <c r="B90" s="43">
        <v>36703</v>
      </c>
      <c r="C90" s="42" t="s">
        <v>28</v>
      </c>
      <c r="D90" s="44">
        <v>18.3</v>
      </c>
      <c r="E90" s="44">
        <v>15.93</v>
      </c>
      <c r="F90">
        <v>2000</v>
      </c>
    </row>
    <row r="91" spans="1:6" ht="15" customHeight="1" x14ac:dyDescent="0.3">
      <c r="A91" s="42" t="s">
        <v>175</v>
      </c>
      <c r="B91" s="43">
        <v>36717</v>
      </c>
      <c r="C91" s="42" t="s">
        <v>28</v>
      </c>
      <c r="D91" s="44">
        <v>19.21</v>
      </c>
      <c r="E91" s="44">
        <v>18.920000000000002</v>
      </c>
      <c r="F91">
        <v>2000</v>
      </c>
    </row>
    <row r="92" spans="1:6" ht="15" customHeight="1" x14ac:dyDescent="0.3">
      <c r="A92" s="42" t="s">
        <v>176</v>
      </c>
      <c r="B92" s="43">
        <v>36726</v>
      </c>
      <c r="C92" s="42" t="s">
        <v>28</v>
      </c>
      <c r="D92" s="44">
        <v>21.05</v>
      </c>
      <c r="E92" s="45"/>
      <c r="F92">
        <v>2000</v>
      </c>
    </row>
    <row r="93" spans="1:6" ht="15" customHeight="1" x14ac:dyDescent="0.3">
      <c r="A93" s="42" t="s">
        <v>177</v>
      </c>
      <c r="B93" s="43">
        <v>36745</v>
      </c>
      <c r="C93" s="42" t="s">
        <v>28</v>
      </c>
      <c r="D93" s="44">
        <v>21.49</v>
      </c>
      <c r="E93" s="44">
        <v>21.35</v>
      </c>
      <c r="F93">
        <v>2000</v>
      </c>
    </row>
    <row r="94" spans="1:6" ht="15" customHeight="1" x14ac:dyDescent="0.3">
      <c r="A94" s="42" t="s">
        <v>178</v>
      </c>
      <c r="B94" s="43">
        <v>36754</v>
      </c>
      <c r="C94" s="42" t="s">
        <v>28</v>
      </c>
      <c r="D94" s="44">
        <v>21.27</v>
      </c>
      <c r="E94" s="45"/>
      <c r="F94">
        <v>2000</v>
      </c>
    </row>
    <row r="95" spans="1:6" ht="15" customHeight="1" x14ac:dyDescent="0.3">
      <c r="A95" s="42" t="s">
        <v>179</v>
      </c>
      <c r="B95" s="43">
        <v>36769</v>
      </c>
      <c r="C95" s="42" t="s">
        <v>28</v>
      </c>
      <c r="D95" s="44">
        <v>22.01</v>
      </c>
      <c r="E95" s="44">
        <v>22</v>
      </c>
      <c r="F95">
        <v>2000</v>
      </c>
    </row>
    <row r="96" spans="1:6" ht="15" customHeight="1" x14ac:dyDescent="0.3">
      <c r="A96" s="42" t="s">
        <v>180</v>
      </c>
      <c r="B96" s="43">
        <v>36802</v>
      </c>
      <c r="C96" s="42" t="s">
        <v>28</v>
      </c>
      <c r="D96" s="44">
        <v>18.329999999999998</v>
      </c>
      <c r="E96" s="44">
        <v>18.329999999999998</v>
      </c>
      <c r="F96">
        <v>2000</v>
      </c>
    </row>
    <row r="97" spans="1:6" ht="15" customHeight="1" x14ac:dyDescent="0.3">
      <c r="A97" s="42" t="s">
        <v>181</v>
      </c>
      <c r="B97" s="43">
        <v>36839</v>
      </c>
      <c r="C97" s="42" t="s">
        <v>28</v>
      </c>
      <c r="D97" s="44">
        <v>12.01</v>
      </c>
      <c r="E97" s="44">
        <v>11.98</v>
      </c>
      <c r="F97">
        <v>2000</v>
      </c>
    </row>
    <row r="98" spans="1:6" ht="15" customHeight="1" x14ac:dyDescent="0.3">
      <c r="A98" s="42" t="s">
        <v>182</v>
      </c>
      <c r="B98" s="43">
        <v>36864</v>
      </c>
      <c r="C98" s="42" t="s">
        <v>28</v>
      </c>
      <c r="D98" s="44">
        <v>6.2</v>
      </c>
      <c r="E98" s="44">
        <v>6.2</v>
      </c>
      <c r="F98">
        <v>2000</v>
      </c>
    </row>
    <row r="99" spans="1:6" ht="15" customHeight="1" x14ac:dyDescent="0.3">
      <c r="A99" s="42" t="s">
        <v>183</v>
      </c>
      <c r="B99" s="43">
        <v>36908</v>
      </c>
      <c r="C99" s="42" t="s">
        <v>28</v>
      </c>
      <c r="D99" s="44">
        <v>1.76</v>
      </c>
      <c r="E99" s="44">
        <v>1.75</v>
      </c>
      <c r="F99">
        <v>2001</v>
      </c>
    </row>
    <row r="100" spans="1:6" ht="15" customHeight="1" x14ac:dyDescent="0.3">
      <c r="A100" s="42" t="s">
        <v>184</v>
      </c>
      <c r="B100" s="43">
        <v>36929</v>
      </c>
      <c r="C100" s="42" t="s">
        <v>28</v>
      </c>
      <c r="D100" s="44">
        <v>1.44</v>
      </c>
      <c r="E100" s="44">
        <v>1.5</v>
      </c>
      <c r="F100">
        <v>2001</v>
      </c>
    </row>
    <row r="101" spans="1:6" ht="15" customHeight="1" x14ac:dyDescent="0.3">
      <c r="A101" s="42" t="s">
        <v>186</v>
      </c>
      <c r="B101" s="43">
        <v>36958</v>
      </c>
      <c r="C101" s="42" t="s">
        <v>28</v>
      </c>
      <c r="D101" s="44">
        <v>1.59</v>
      </c>
      <c r="E101" s="44">
        <v>1.59</v>
      </c>
      <c r="F101">
        <v>2001</v>
      </c>
    </row>
    <row r="102" spans="1:6" ht="15" customHeight="1" x14ac:dyDescent="0.3">
      <c r="A102" s="42" t="s">
        <v>187</v>
      </c>
      <c r="B102" s="43">
        <v>36985</v>
      </c>
      <c r="C102" s="42" t="s">
        <v>28</v>
      </c>
      <c r="D102" s="44">
        <v>3.75</v>
      </c>
      <c r="E102" s="44">
        <v>3.45</v>
      </c>
      <c r="F102">
        <v>2001</v>
      </c>
    </row>
    <row r="103" spans="1:6" ht="15" customHeight="1" x14ac:dyDescent="0.3">
      <c r="A103" s="42" t="s">
        <v>188</v>
      </c>
      <c r="B103" s="43">
        <v>37012</v>
      </c>
      <c r="C103" s="42" t="s">
        <v>28</v>
      </c>
      <c r="D103" s="45"/>
      <c r="E103" s="45"/>
      <c r="F103">
        <v>2001</v>
      </c>
    </row>
    <row r="104" spans="1:6" ht="15" customHeight="1" x14ac:dyDescent="0.3">
      <c r="A104" s="42" t="s">
        <v>189</v>
      </c>
      <c r="B104" s="43">
        <v>37048</v>
      </c>
      <c r="C104" s="42" t="s">
        <v>28</v>
      </c>
      <c r="D104" s="44">
        <v>12.67</v>
      </c>
      <c r="E104" s="44">
        <v>12.64</v>
      </c>
      <c r="F104">
        <v>2001</v>
      </c>
    </row>
    <row r="105" spans="1:6" ht="15" customHeight="1" x14ac:dyDescent="0.3">
      <c r="A105" s="42" t="s">
        <v>190</v>
      </c>
      <c r="B105" s="43">
        <v>37063</v>
      </c>
      <c r="C105" s="42" t="s">
        <v>28</v>
      </c>
      <c r="D105" s="44">
        <v>13.62</v>
      </c>
      <c r="E105" s="44">
        <v>13.12</v>
      </c>
      <c r="F105">
        <v>2001</v>
      </c>
    </row>
    <row r="106" spans="1:6" ht="15" customHeight="1" x14ac:dyDescent="0.3">
      <c r="A106" s="42" t="s">
        <v>191</v>
      </c>
      <c r="B106" s="43">
        <v>37082</v>
      </c>
      <c r="C106" s="42" t="s">
        <v>28</v>
      </c>
      <c r="D106" s="44">
        <v>19.36</v>
      </c>
      <c r="E106" s="44">
        <v>17.899999999999999</v>
      </c>
      <c r="F106">
        <v>2001</v>
      </c>
    </row>
    <row r="107" spans="1:6" ht="15" customHeight="1" x14ac:dyDescent="0.3">
      <c r="A107" s="42" t="s">
        <v>192</v>
      </c>
      <c r="B107" s="43">
        <v>37097</v>
      </c>
      <c r="C107" s="42" t="s">
        <v>28</v>
      </c>
      <c r="D107" s="44">
        <v>20.45</v>
      </c>
      <c r="E107" s="44">
        <v>18.93</v>
      </c>
      <c r="F107">
        <v>2001</v>
      </c>
    </row>
    <row r="108" spans="1:6" ht="15" customHeight="1" x14ac:dyDescent="0.3">
      <c r="A108" s="42" t="s">
        <v>193</v>
      </c>
      <c r="B108" s="43">
        <v>37110</v>
      </c>
      <c r="C108" s="42" t="s">
        <v>28</v>
      </c>
      <c r="D108" s="44">
        <v>22</v>
      </c>
      <c r="E108" s="44">
        <v>20.53</v>
      </c>
      <c r="F108">
        <v>2001</v>
      </c>
    </row>
    <row r="109" spans="1:6" ht="15" customHeight="1" x14ac:dyDescent="0.3">
      <c r="A109" s="42" t="s">
        <v>194</v>
      </c>
      <c r="B109" s="43">
        <v>37124</v>
      </c>
      <c r="C109" s="42" t="s">
        <v>28</v>
      </c>
      <c r="D109" s="44">
        <v>22.77</v>
      </c>
      <c r="E109" s="44">
        <v>22.69</v>
      </c>
      <c r="F109">
        <v>2001</v>
      </c>
    </row>
    <row r="110" spans="1:6" ht="15" customHeight="1" x14ac:dyDescent="0.3">
      <c r="A110" s="42" t="s">
        <v>196</v>
      </c>
      <c r="B110" s="43">
        <v>37138</v>
      </c>
      <c r="C110" s="42" t="s">
        <v>28</v>
      </c>
      <c r="D110" s="44">
        <v>22.07</v>
      </c>
      <c r="E110" s="44">
        <v>22.08</v>
      </c>
      <c r="F110">
        <v>2001</v>
      </c>
    </row>
    <row r="111" spans="1:6" ht="15" customHeight="1" x14ac:dyDescent="0.3">
      <c r="A111" s="42" t="s">
        <v>198</v>
      </c>
      <c r="B111" s="43">
        <v>37168</v>
      </c>
      <c r="C111" s="42" t="s">
        <v>28</v>
      </c>
      <c r="D111" s="44">
        <v>18.47</v>
      </c>
      <c r="E111" s="44">
        <v>18.48</v>
      </c>
      <c r="F111">
        <v>2001</v>
      </c>
    </row>
    <row r="112" spans="1:6" ht="15" customHeight="1" x14ac:dyDescent="0.3">
      <c r="A112" s="42" t="s">
        <v>199</v>
      </c>
      <c r="B112" s="43">
        <v>37208</v>
      </c>
      <c r="C112" s="42" t="s">
        <v>28</v>
      </c>
      <c r="D112" s="44">
        <v>12.79</v>
      </c>
      <c r="E112" s="44">
        <v>12.05</v>
      </c>
      <c r="F112">
        <v>2001</v>
      </c>
    </row>
    <row r="113" spans="1:6" ht="15" customHeight="1" x14ac:dyDescent="0.3">
      <c r="A113" s="42" t="s">
        <v>200</v>
      </c>
      <c r="B113" s="43">
        <v>37230</v>
      </c>
      <c r="C113" s="42" t="s">
        <v>28</v>
      </c>
      <c r="D113" s="44">
        <v>11.04</v>
      </c>
      <c r="E113" s="46">
        <v>11.04</v>
      </c>
      <c r="F113">
        <v>2001</v>
      </c>
    </row>
    <row r="114" spans="1:6" ht="15" customHeight="1" x14ac:dyDescent="0.3">
      <c r="A114" s="42" t="s">
        <v>201</v>
      </c>
      <c r="B114" s="43">
        <v>37271</v>
      </c>
      <c r="C114" s="42" t="s">
        <v>28</v>
      </c>
      <c r="D114" s="44">
        <v>5</v>
      </c>
      <c r="E114" s="44">
        <v>5</v>
      </c>
      <c r="F114">
        <v>2002</v>
      </c>
    </row>
    <row r="115" spans="1:6" ht="15" customHeight="1" x14ac:dyDescent="0.3">
      <c r="A115" s="42" t="s">
        <v>202</v>
      </c>
      <c r="B115" s="43">
        <v>37293</v>
      </c>
      <c r="C115" s="42" t="s">
        <v>28</v>
      </c>
      <c r="D115" s="44">
        <v>3.3</v>
      </c>
      <c r="E115" s="44">
        <v>3.29</v>
      </c>
      <c r="F115">
        <v>2002</v>
      </c>
    </row>
    <row r="116" spans="1:6" ht="15" customHeight="1" x14ac:dyDescent="0.3">
      <c r="A116" s="42" t="s">
        <v>204</v>
      </c>
      <c r="B116" s="43">
        <v>37319</v>
      </c>
      <c r="C116" s="42" t="s">
        <v>28</v>
      </c>
      <c r="D116" s="44">
        <v>5.04</v>
      </c>
      <c r="E116" s="44">
        <v>4.9400000000000004</v>
      </c>
      <c r="F116">
        <v>2002</v>
      </c>
    </row>
    <row r="117" spans="1:6" ht="15" customHeight="1" x14ac:dyDescent="0.3">
      <c r="A117" s="42" t="s">
        <v>206</v>
      </c>
      <c r="B117" s="43">
        <v>37350</v>
      </c>
      <c r="C117" s="42" t="s">
        <v>28</v>
      </c>
      <c r="D117" s="44">
        <v>6.55</v>
      </c>
      <c r="E117" s="44">
        <v>6.5</v>
      </c>
      <c r="F117">
        <v>2002</v>
      </c>
    </row>
    <row r="118" spans="1:6" ht="15" customHeight="1" x14ac:dyDescent="0.3">
      <c r="A118" s="42" t="s">
        <v>207</v>
      </c>
      <c r="B118" s="43">
        <v>37383</v>
      </c>
      <c r="C118" s="42" t="s">
        <v>28</v>
      </c>
      <c r="D118" s="44">
        <v>11.28</v>
      </c>
      <c r="E118" s="44">
        <v>11.2</v>
      </c>
      <c r="F118">
        <v>2002</v>
      </c>
    </row>
    <row r="119" spans="1:6" ht="15" customHeight="1" x14ac:dyDescent="0.3">
      <c r="A119" s="42" t="s">
        <v>208</v>
      </c>
      <c r="B119" s="43">
        <v>37413</v>
      </c>
      <c r="C119" s="42" t="s">
        <v>28</v>
      </c>
      <c r="D119" s="44">
        <v>15.5</v>
      </c>
      <c r="E119" s="44">
        <v>14.21</v>
      </c>
      <c r="F119">
        <v>2002</v>
      </c>
    </row>
    <row r="120" spans="1:6" ht="15" customHeight="1" x14ac:dyDescent="0.3">
      <c r="A120" s="42" t="s">
        <v>209</v>
      </c>
      <c r="B120" s="43">
        <v>37433</v>
      </c>
      <c r="C120" s="42" t="s">
        <v>28</v>
      </c>
      <c r="D120" s="44">
        <v>18.88</v>
      </c>
      <c r="E120" s="44">
        <v>18.170000000000002</v>
      </c>
      <c r="F120">
        <v>2002</v>
      </c>
    </row>
    <row r="121" spans="1:6" ht="15" customHeight="1" x14ac:dyDescent="0.3">
      <c r="A121" s="42" t="s">
        <v>210</v>
      </c>
      <c r="B121" s="43">
        <v>37446</v>
      </c>
      <c r="C121" s="42" t="s">
        <v>28</v>
      </c>
      <c r="D121" s="44">
        <v>19.260000000000002</v>
      </c>
      <c r="E121" s="44">
        <v>17.010000000000002</v>
      </c>
      <c r="F121">
        <v>2002</v>
      </c>
    </row>
    <row r="122" spans="1:6" ht="15" customHeight="1" x14ac:dyDescent="0.3">
      <c r="A122" s="42" t="s">
        <v>211</v>
      </c>
      <c r="B122" s="43">
        <v>37459</v>
      </c>
      <c r="C122" s="42" t="s">
        <v>28</v>
      </c>
      <c r="D122" s="44">
        <v>21.91</v>
      </c>
      <c r="E122" s="44">
        <v>21.14</v>
      </c>
      <c r="F122">
        <v>2002</v>
      </c>
    </row>
    <row r="123" spans="1:6" ht="15" customHeight="1" x14ac:dyDescent="0.3">
      <c r="A123" s="42" t="s">
        <v>212</v>
      </c>
      <c r="B123" s="43">
        <v>37475</v>
      </c>
      <c r="C123" s="42" t="s">
        <v>28</v>
      </c>
      <c r="D123" s="44">
        <v>21.14</v>
      </c>
      <c r="E123" s="44">
        <v>20.85</v>
      </c>
      <c r="F123">
        <v>2002</v>
      </c>
    </row>
    <row r="124" spans="1:6" ht="15" customHeight="1" x14ac:dyDescent="0.3">
      <c r="A124" s="42" t="s">
        <v>213</v>
      </c>
      <c r="B124" s="43">
        <v>37490</v>
      </c>
      <c r="C124" s="42" t="s">
        <v>28</v>
      </c>
      <c r="D124" s="44">
        <v>22.97</v>
      </c>
      <c r="E124" s="44">
        <v>22.8</v>
      </c>
      <c r="F124">
        <v>2002</v>
      </c>
    </row>
    <row r="125" spans="1:6" ht="15" customHeight="1" x14ac:dyDescent="0.3">
      <c r="A125" s="42" t="s">
        <v>214</v>
      </c>
      <c r="B125" s="43">
        <v>37509</v>
      </c>
      <c r="C125" s="42" t="s">
        <v>28</v>
      </c>
      <c r="D125" s="44">
        <v>21.88</v>
      </c>
      <c r="E125" s="44">
        <v>21.85</v>
      </c>
      <c r="F125">
        <v>2002</v>
      </c>
    </row>
    <row r="126" spans="1:6" ht="15" customHeight="1" x14ac:dyDescent="0.3">
      <c r="A126" s="42" t="s">
        <v>215</v>
      </c>
      <c r="B126" s="43">
        <v>37538</v>
      </c>
      <c r="C126" s="42" t="s">
        <v>28</v>
      </c>
      <c r="D126" s="44">
        <v>18.79</v>
      </c>
      <c r="E126" s="44">
        <v>18.79</v>
      </c>
      <c r="F126">
        <v>2002</v>
      </c>
    </row>
    <row r="127" spans="1:6" ht="15" customHeight="1" x14ac:dyDescent="0.3">
      <c r="A127" s="42" t="s">
        <v>216</v>
      </c>
      <c r="B127" s="43">
        <v>37573</v>
      </c>
      <c r="C127" s="42" t="s">
        <v>28</v>
      </c>
      <c r="D127" s="44">
        <v>12.08</v>
      </c>
      <c r="E127" s="44">
        <v>12.43</v>
      </c>
      <c r="F127">
        <v>2002</v>
      </c>
    </row>
    <row r="128" spans="1:6" ht="15" customHeight="1" x14ac:dyDescent="0.3">
      <c r="A128" s="42" t="s">
        <v>217</v>
      </c>
      <c r="B128" s="43">
        <v>37600</v>
      </c>
      <c r="C128" s="42" t="s">
        <v>28</v>
      </c>
      <c r="D128" s="44">
        <v>5.38</v>
      </c>
      <c r="E128" s="44">
        <v>5.33</v>
      </c>
      <c r="F128">
        <v>2002</v>
      </c>
    </row>
    <row r="129" spans="1:6" ht="15" customHeight="1" x14ac:dyDescent="0.3">
      <c r="A129" s="42" t="s">
        <v>218</v>
      </c>
      <c r="B129" s="43">
        <v>37666</v>
      </c>
      <c r="C129" s="42" t="s">
        <v>28</v>
      </c>
      <c r="D129" s="44">
        <v>-0.78</v>
      </c>
      <c r="E129" s="44">
        <v>-0.76</v>
      </c>
      <c r="F129">
        <v>2003</v>
      </c>
    </row>
    <row r="130" spans="1:6" ht="15" customHeight="1" x14ac:dyDescent="0.3">
      <c r="A130" s="42" t="s">
        <v>219</v>
      </c>
      <c r="B130" s="43">
        <v>37690</v>
      </c>
      <c r="C130" s="42" t="s">
        <v>28</v>
      </c>
      <c r="D130" s="44">
        <v>-0.19</v>
      </c>
      <c r="E130" s="44">
        <v>-0.33</v>
      </c>
      <c r="F130">
        <v>2003</v>
      </c>
    </row>
    <row r="131" spans="1:6" ht="15" customHeight="1" x14ac:dyDescent="0.3">
      <c r="A131" s="42" t="s">
        <v>221</v>
      </c>
      <c r="B131" s="43">
        <v>37712</v>
      </c>
      <c r="C131" s="42" t="s">
        <v>28</v>
      </c>
      <c r="D131" s="44">
        <v>2.4700000000000002</v>
      </c>
      <c r="E131" s="44">
        <v>1.92</v>
      </c>
      <c r="F131">
        <v>2003</v>
      </c>
    </row>
    <row r="132" spans="1:6" ht="15" customHeight="1" x14ac:dyDescent="0.3">
      <c r="A132" s="42" t="s">
        <v>222</v>
      </c>
      <c r="B132" s="43">
        <v>37747</v>
      </c>
      <c r="C132" s="42" t="s">
        <v>28</v>
      </c>
      <c r="D132" s="44">
        <v>9.59</v>
      </c>
      <c r="E132" s="44">
        <v>8.64</v>
      </c>
      <c r="F132">
        <v>2003</v>
      </c>
    </row>
    <row r="133" spans="1:6" ht="15" customHeight="1" x14ac:dyDescent="0.3">
      <c r="A133" s="42" t="s">
        <v>223</v>
      </c>
      <c r="B133" s="43">
        <v>37777</v>
      </c>
      <c r="C133" s="42" t="s">
        <v>28</v>
      </c>
      <c r="D133" s="44">
        <v>13.21</v>
      </c>
      <c r="E133" s="44">
        <v>13.21</v>
      </c>
      <c r="F133">
        <v>2003</v>
      </c>
    </row>
    <row r="134" spans="1:6" ht="15" customHeight="1" x14ac:dyDescent="0.3">
      <c r="A134" s="42" t="s">
        <v>224</v>
      </c>
      <c r="B134" s="43">
        <v>37791</v>
      </c>
      <c r="C134" s="42" t="s">
        <v>28</v>
      </c>
      <c r="D134" s="44">
        <v>15.13</v>
      </c>
      <c r="E134" s="44">
        <v>12.44</v>
      </c>
      <c r="F134">
        <v>2003</v>
      </c>
    </row>
    <row r="135" spans="1:6" ht="15" customHeight="1" x14ac:dyDescent="0.3">
      <c r="A135" s="42" t="s">
        <v>225</v>
      </c>
      <c r="B135" s="43">
        <v>37810</v>
      </c>
      <c r="C135" s="42" t="s">
        <v>28</v>
      </c>
      <c r="D135" s="44">
        <v>18.010000000000002</v>
      </c>
      <c r="E135" s="44">
        <v>14.2</v>
      </c>
      <c r="F135">
        <v>2003</v>
      </c>
    </row>
    <row r="136" spans="1:6" ht="15" customHeight="1" x14ac:dyDescent="0.3">
      <c r="A136" s="42" t="s">
        <v>226</v>
      </c>
      <c r="B136" s="43">
        <v>37830</v>
      </c>
      <c r="C136" s="42" t="s">
        <v>28</v>
      </c>
      <c r="D136" s="44">
        <v>16.66</v>
      </c>
      <c r="E136" s="44">
        <v>16.46</v>
      </c>
      <c r="F136">
        <v>2003</v>
      </c>
    </row>
    <row r="137" spans="1:6" ht="15" customHeight="1" x14ac:dyDescent="0.3">
      <c r="A137" s="42" t="s">
        <v>227</v>
      </c>
      <c r="B137" s="43">
        <v>37841</v>
      </c>
      <c r="C137" s="42" t="s">
        <v>28</v>
      </c>
      <c r="D137" s="44">
        <v>22.61</v>
      </c>
      <c r="E137" s="44">
        <v>20.98</v>
      </c>
      <c r="F137">
        <v>2003</v>
      </c>
    </row>
    <row r="138" spans="1:6" ht="15" customHeight="1" x14ac:dyDescent="0.3">
      <c r="A138" s="42" t="s">
        <v>228</v>
      </c>
      <c r="B138" s="43">
        <v>37853</v>
      </c>
      <c r="C138" s="42" t="s">
        <v>28</v>
      </c>
      <c r="D138" s="44">
        <v>22.55</v>
      </c>
      <c r="E138" s="44">
        <v>20.3</v>
      </c>
      <c r="F138">
        <v>2003</v>
      </c>
    </row>
    <row r="139" spans="1:6" ht="15" customHeight="1" x14ac:dyDescent="0.3">
      <c r="A139" s="42" t="s">
        <v>229</v>
      </c>
      <c r="B139" s="43">
        <v>37867</v>
      </c>
      <c r="C139" s="42" t="s">
        <v>28</v>
      </c>
      <c r="D139" s="44">
        <v>21.2</v>
      </c>
      <c r="E139" s="44">
        <v>21.2</v>
      </c>
      <c r="F139">
        <v>2003</v>
      </c>
    </row>
    <row r="140" spans="1:6" ht="15" customHeight="1" x14ac:dyDescent="0.3">
      <c r="A140" s="42" t="s">
        <v>230</v>
      </c>
      <c r="B140" s="43">
        <v>37900</v>
      </c>
      <c r="C140" s="42" t="s">
        <v>28</v>
      </c>
      <c r="D140" s="44">
        <v>18.489999999999998</v>
      </c>
      <c r="E140" s="44">
        <v>17.899999999999999</v>
      </c>
      <c r="F140">
        <v>2003</v>
      </c>
    </row>
    <row r="141" spans="1:6" ht="15" customHeight="1" x14ac:dyDescent="0.3">
      <c r="A141" s="42" t="s">
        <v>231</v>
      </c>
      <c r="B141" s="43">
        <v>37930</v>
      </c>
      <c r="C141" s="42" t="s">
        <v>28</v>
      </c>
      <c r="D141" s="44">
        <v>14.97</v>
      </c>
      <c r="E141" s="44">
        <v>14.97</v>
      </c>
      <c r="F141">
        <v>2003</v>
      </c>
    </row>
    <row r="142" spans="1:6" ht="15" customHeight="1" x14ac:dyDescent="0.3">
      <c r="A142" s="42" t="s">
        <v>232</v>
      </c>
      <c r="B142" s="43">
        <v>37964</v>
      </c>
      <c r="C142" s="42" t="s">
        <v>28</v>
      </c>
      <c r="D142" s="44">
        <v>5.93</v>
      </c>
      <c r="E142" s="44">
        <v>5.92</v>
      </c>
      <c r="F142">
        <v>2003</v>
      </c>
    </row>
    <row r="143" spans="1:6" ht="15" customHeight="1" x14ac:dyDescent="0.3">
      <c r="A143" s="42" t="s">
        <v>233</v>
      </c>
      <c r="B143" s="43">
        <v>38019</v>
      </c>
      <c r="C143" s="42" t="s">
        <v>28</v>
      </c>
      <c r="D143" s="44">
        <v>-1.1100000000000001</v>
      </c>
      <c r="E143" s="44">
        <v>-1.05</v>
      </c>
      <c r="F143">
        <v>2004</v>
      </c>
    </row>
    <row r="144" spans="1:6" ht="15" customHeight="1" x14ac:dyDescent="0.3">
      <c r="A144" s="42" t="s">
        <v>235</v>
      </c>
      <c r="B144" s="43">
        <v>38047</v>
      </c>
      <c r="C144" s="42" t="s">
        <v>28</v>
      </c>
      <c r="D144" s="44">
        <v>0.8</v>
      </c>
      <c r="E144" s="44">
        <v>0.66</v>
      </c>
      <c r="F144">
        <v>2004</v>
      </c>
    </row>
    <row r="145" spans="1:6" ht="15" customHeight="1" x14ac:dyDescent="0.3">
      <c r="A145" s="42" t="s">
        <v>237</v>
      </c>
      <c r="B145" s="43">
        <v>38091</v>
      </c>
      <c r="C145" s="42" t="s">
        <v>28</v>
      </c>
      <c r="D145" s="44">
        <v>5.45</v>
      </c>
      <c r="E145" s="44">
        <v>4.9400000000000004</v>
      </c>
      <c r="F145">
        <v>2004</v>
      </c>
    </row>
    <row r="146" spans="1:6" ht="15" customHeight="1" x14ac:dyDescent="0.3">
      <c r="A146" s="42" t="s">
        <v>238</v>
      </c>
      <c r="B146" s="43">
        <v>38113</v>
      </c>
      <c r="C146" s="42" t="s">
        <v>28</v>
      </c>
      <c r="D146" s="46">
        <v>8.3000000000000007</v>
      </c>
      <c r="E146" s="46">
        <v>8.27</v>
      </c>
      <c r="F146">
        <v>2004</v>
      </c>
    </row>
    <row r="147" spans="1:6" ht="15" customHeight="1" x14ac:dyDescent="0.3">
      <c r="A147" s="42" t="s">
        <v>239</v>
      </c>
      <c r="B147" s="43">
        <v>38140</v>
      </c>
      <c r="C147" s="42" t="s">
        <v>28</v>
      </c>
      <c r="D147" s="44">
        <v>15.15</v>
      </c>
      <c r="E147" s="44">
        <v>14.53</v>
      </c>
      <c r="F147">
        <v>2004</v>
      </c>
    </row>
    <row r="148" spans="1:6" ht="15" customHeight="1" x14ac:dyDescent="0.3">
      <c r="A148" s="42" t="s">
        <v>240</v>
      </c>
      <c r="B148" s="43">
        <v>38167</v>
      </c>
      <c r="C148" s="42" t="s">
        <v>28</v>
      </c>
      <c r="D148" s="44">
        <v>15.16</v>
      </c>
      <c r="E148" s="44">
        <v>13.93</v>
      </c>
      <c r="F148">
        <v>2004</v>
      </c>
    </row>
    <row r="149" spans="1:6" ht="15" customHeight="1" x14ac:dyDescent="0.3">
      <c r="A149" s="42" t="s">
        <v>241</v>
      </c>
      <c r="B149" s="43">
        <v>38174</v>
      </c>
      <c r="C149" s="42" t="s">
        <v>28</v>
      </c>
      <c r="D149" s="44">
        <v>18.350000000000001</v>
      </c>
      <c r="E149" s="44">
        <v>17.53</v>
      </c>
      <c r="F149">
        <v>2004</v>
      </c>
    </row>
    <row r="150" spans="1:6" ht="15" customHeight="1" x14ac:dyDescent="0.3">
      <c r="A150" s="42" t="s">
        <v>242</v>
      </c>
      <c r="B150" s="43">
        <v>38188</v>
      </c>
      <c r="C150" s="42" t="s">
        <v>28</v>
      </c>
      <c r="D150" s="44">
        <v>20.53</v>
      </c>
      <c r="E150" s="44">
        <v>19.989999999999998</v>
      </c>
      <c r="F150">
        <v>2004</v>
      </c>
    </row>
    <row r="151" spans="1:6" ht="15" customHeight="1" x14ac:dyDescent="0.3">
      <c r="A151" s="42" t="s">
        <v>243</v>
      </c>
      <c r="B151" s="43">
        <v>38202</v>
      </c>
      <c r="C151" s="42" t="s">
        <v>28</v>
      </c>
      <c r="D151" s="44">
        <v>21.95</v>
      </c>
      <c r="E151" s="44">
        <v>21.44</v>
      </c>
      <c r="F151">
        <v>2004</v>
      </c>
    </row>
    <row r="152" spans="1:6" ht="15" customHeight="1" x14ac:dyDescent="0.3">
      <c r="A152" s="42" t="s">
        <v>244</v>
      </c>
      <c r="B152" s="43">
        <v>38222</v>
      </c>
      <c r="C152" s="42" t="s">
        <v>28</v>
      </c>
      <c r="D152" s="44">
        <v>21.47</v>
      </c>
      <c r="E152" s="44">
        <v>21.26</v>
      </c>
      <c r="F152">
        <v>2004</v>
      </c>
    </row>
    <row r="153" spans="1:6" ht="15" customHeight="1" x14ac:dyDescent="0.3">
      <c r="A153" s="42" t="s">
        <v>245</v>
      </c>
      <c r="B153" s="43">
        <v>38232</v>
      </c>
      <c r="C153" s="42" t="s">
        <v>28</v>
      </c>
      <c r="D153" s="44">
        <v>22.44</v>
      </c>
      <c r="E153" s="44">
        <v>22.44</v>
      </c>
      <c r="F153">
        <v>2004</v>
      </c>
    </row>
    <row r="154" spans="1:6" ht="15" customHeight="1" x14ac:dyDescent="0.3">
      <c r="A154" s="42" t="s">
        <v>246</v>
      </c>
      <c r="B154" s="43">
        <v>38273</v>
      </c>
      <c r="C154" s="42" t="s">
        <v>28</v>
      </c>
      <c r="D154" s="44">
        <v>17.96</v>
      </c>
      <c r="E154" s="44">
        <v>17.940000000000001</v>
      </c>
      <c r="F154">
        <v>2004</v>
      </c>
    </row>
    <row r="155" spans="1:6" ht="15" customHeight="1" x14ac:dyDescent="0.3">
      <c r="A155" s="42" t="s">
        <v>247</v>
      </c>
      <c r="B155" s="43">
        <v>38330</v>
      </c>
      <c r="C155" s="42" t="s">
        <v>28</v>
      </c>
      <c r="D155" s="44">
        <v>8.3000000000000007</v>
      </c>
      <c r="E155" s="44">
        <v>8.3800000000000008</v>
      </c>
      <c r="F155">
        <v>2004</v>
      </c>
    </row>
    <row r="156" spans="1:6" ht="15" customHeight="1" x14ac:dyDescent="0.3">
      <c r="A156" s="42" t="s">
        <v>248</v>
      </c>
      <c r="B156" s="43">
        <v>38365</v>
      </c>
      <c r="C156" s="42" t="s">
        <v>28</v>
      </c>
      <c r="D156" s="44">
        <v>4.54</v>
      </c>
      <c r="E156" s="44">
        <v>4.55</v>
      </c>
      <c r="F156">
        <v>2005</v>
      </c>
    </row>
    <row r="157" spans="1:6" ht="15" customHeight="1" x14ac:dyDescent="0.3">
      <c r="A157" s="42" t="s">
        <v>249</v>
      </c>
      <c r="B157" s="43">
        <v>38383</v>
      </c>
      <c r="C157" s="42" t="s">
        <v>28</v>
      </c>
      <c r="D157" s="44">
        <v>-0.08</v>
      </c>
      <c r="E157" s="44">
        <v>-0.09</v>
      </c>
      <c r="F157">
        <v>2005</v>
      </c>
    </row>
    <row r="158" spans="1:6" ht="15" customHeight="1" x14ac:dyDescent="0.3">
      <c r="A158" s="42" t="s">
        <v>250</v>
      </c>
      <c r="B158" s="43">
        <v>38421</v>
      </c>
      <c r="C158" s="42" t="s">
        <v>28</v>
      </c>
      <c r="D158" s="44">
        <v>0.6</v>
      </c>
      <c r="E158" s="44">
        <v>0.81</v>
      </c>
      <c r="F158">
        <v>2005</v>
      </c>
    </row>
    <row r="159" spans="1:6" ht="15" customHeight="1" x14ac:dyDescent="0.3">
      <c r="A159" s="42" t="s">
        <v>251</v>
      </c>
      <c r="B159" s="43">
        <v>38448</v>
      </c>
      <c r="C159" s="42" t="s">
        <v>28</v>
      </c>
      <c r="D159" s="44">
        <v>4</v>
      </c>
      <c r="E159" s="44">
        <v>3.29</v>
      </c>
      <c r="F159">
        <v>2005</v>
      </c>
    </row>
    <row r="160" spans="1:6" ht="15" customHeight="1" x14ac:dyDescent="0.3">
      <c r="A160" s="42" t="s">
        <v>252</v>
      </c>
      <c r="B160" s="43">
        <v>38481</v>
      </c>
      <c r="C160" s="42" t="s">
        <v>28</v>
      </c>
      <c r="D160" s="44">
        <v>9.8000000000000007</v>
      </c>
      <c r="E160" s="44">
        <v>9.48</v>
      </c>
      <c r="F160">
        <v>2005</v>
      </c>
    </row>
    <row r="161" spans="1:6" ht="15" customHeight="1" x14ac:dyDescent="0.3">
      <c r="A161" s="42" t="s">
        <v>253</v>
      </c>
      <c r="B161" s="43">
        <v>38512</v>
      </c>
      <c r="C161" s="42" t="s">
        <v>28</v>
      </c>
      <c r="D161" s="44">
        <v>15.7</v>
      </c>
      <c r="E161" s="44">
        <v>13.56</v>
      </c>
      <c r="F161">
        <v>2005</v>
      </c>
    </row>
    <row r="162" spans="1:6" ht="15" customHeight="1" x14ac:dyDescent="0.3">
      <c r="A162" s="42" t="s">
        <v>254</v>
      </c>
      <c r="B162" s="43">
        <v>38526</v>
      </c>
      <c r="C162" s="42" t="s">
        <v>28</v>
      </c>
      <c r="D162" s="44">
        <v>16.329999999999998</v>
      </c>
      <c r="E162" s="44">
        <v>15.59</v>
      </c>
      <c r="F162">
        <v>2005</v>
      </c>
    </row>
    <row r="163" spans="1:6" ht="15" customHeight="1" x14ac:dyDescent="0.3">
      <c r="A163" s="42" t="s">
        <v>255</v>
      </c>
      <c r="B163" s="43">
        <v>38544</v>
      </c>
      <c r="C163" s="42" t="s">
        <v>28</v>
      </c>
      <c r="D163" s="46">
        <v>21.72</v>
      </c>
      <c r="E163" s="44">
        <v>18.18</v>
      </c>
      <c r="F163">
        <v>2005</v>
      </c>
    </row>
    <row r="164" spans="1:6" ht="15" customHeight="1" x14ac:dyDescent="0.3">
      <c r="A164" s="42" t="s">
        <v>256</v>
      </c>
      <c r="B164" s="43">
        <v>38554</v>
      </c>
      <c r="C164" s="42" t="s">
        <v>28</v>
      </c>
      <c r="D164" s="44">
        <v>23.26</v>
      </c>
      <c r="E164" s="44">
        <v>21.18</v>
      </c>
      <c r="F164">
        <v>2005</v>
      </c>
    </row>
    <row r="165" spans="1:6" ht="15" customHeight="1" x14ac:dyDescent="0.3">
      <c r="A165" s="42" t="s">
        <v>257</v>
      </c>
      <c r="B165" s="43">
        <v>38567</v>
      </c>
      <c r="C165" s="42" t="s">
        <v>28</v>
      </c>
      <c r="D165" s="44">
        <v>19.39</v>
      </c>
      <c r="E165" s="44">
        <v>18.89</v>
      </c>
      <c r="F165">
        <v>2005</v>
      </c>
    </row>
    <row r="166" spans="1:6" ht="15" customHeight="1" x14ac:dyDescent="0.3">
      <c r="A166" s="42" t="s">
        <v>258</v>
      </c>
      <c r="B166" s="43">
        <v>38583</v>
      </c>
      <c r="C166" s="42" t="s">
        <v>28</v>
      </c>
      <c r="D166" s="44">
        <v>21.71</v>
      </c>
      <c r="E166" s="44">
        <v>21.37</v>
      </c>
      <c r="F166">
        <v>2005</v>
      </c>
    </row>
    <row r="167" spans="1:6" ht="15" customHeight="1" x14ac:dyDescent="0.3">
      <c r="A167" s="42" t="s">
        <v>259</v>
      </c>
      <c r="B167" s="43">
        <v>38594</v>
      </c>
      <c r="C167" s="42" t="s">
        <v>28</v>
      </c>
      <c r="D167" s="44">
        <v>23.02</v>
      </c>
      <c r="E167" s="44">
        <v>21.46</v>
      </c>
      <c r="F167">
        <v>2005</v>
      </c>
    </row>
    <row r="168" spans="1:6" ht="15" customHeight="1" x14ac:dyDescent="0.3">
      <c r="A168" s="42" t="s">
        <v>261</v>
      </c>
      <c r="B168" s="43">
        <v>38643</v>
      </c>
      <c r="C168" s="42" t="s">
        <v>28</v>
      </c>
      <c r="D168" s="44">
        <v>17.7</v>
      </c>
      <c r="E168" s="44">
        <v>18.12</v>
      </c>
      <c r="F168">
        <v>2005</v>
      </c>
    </row>
    <row r="169" spans="1:6" ht="15" customHeight="1" x14ac:dyDescent="0.3">
      <c r="A169" s="42" t="s">
        <v>262</v>
      </c>
      <c r="B169" s="43">
        <v>38674</v>
      </c>
      <c r="C169" s="42" t="s">
        <v>28</v>
      </c>
      <c r="D169" s="44">
        <v>11.91</v>
      </c>
      <c r="E169" s="44">
        <v>11.95</v>
      </c>
      <c r="F169">
        <v>2005</v>
      </c>
    </row>
    <row r="170" spans="1:6" ht="15" customHeight="1" x14ac:dyDescent="0.3">
      <c r="A170" s="42" t="s">
        <v>263</v>
      </c>
      <c r="B170" s="43">
        <v>38698</v>
      </c>
      <c r="C170" s="42" t="s">
        <v>28</v>
      </c>
      <c r="D170" s="44">
        <v>5.57</v>
      </c>
      <c r="E170" s="44">
        <v>6.87</v>
      </c>
      <c r="F170">
        <v>2005</v>
      </c>
    </row>
    <row r="171" spans="1:6" ht="15" customHeight="1" x14ac:dyDescent="0.3">
      <c r="A171" s="42" t="s">
        <v>264</v>
      </c>
      <c r="B171" s="43">
        <v>38782</v>
      </c>
      <c r="C171" s="42" t="s">
        <v>28</v>
      </c>
      <c r="D171" s="44">
        <v>1.82</v>
      </c>
      <c r="E171" s="44">
        <v>1.82</v>
      </c>
      <c r="F171">
        <v>2006</v>
      </c>
    </row>
    <row r="172" spans="1:6" ht="15" customHeight="1" x14ac:dyDescent="0.3">
      <c r="A172" s="42" t="s">
        <v>265</v>
      </c>
      <c r="B172" s="43">
        <v>38840</v>
      </c>
      <c r="C172" s="42" t="s">
        <v>28</v>
      </c>
      <c r="D172" s="44">
        <v>10.4</v>
      </c>
      <c r="E172" s="44">
        <v>10.15</v>
      </c>
      <c r="F172">
        <v>2006</v>
      </c>
    </row>
    <row r="173" spans="1:6" ht="15" customHeight="1" x14ac:dyDescent="0.3">
      <c r="A173" s="42" t="s">
        <v>266</v>
      </c>
      <c r="B173" s="43">
        <v>38876</v>
      </c>
      <c r="C173" s="42" t="s">
        <v>28</v>
      </c>
      <c r="D173" s="44">
        <v>16.43</v>
      </c>
      <c r="E173" s="44">
        <v>15.92</v>
      </c>
      <c r="F173">
        <v>2006</v>
      </c>
    </row>
    <row r="174" spans="1:6" ht="15" customHeight="1" x14ac:dyDescent="0.3">
      <c r="A174" s="42" t="s">
        <v>267</v>
      </c>
      <c r="B174" s="43">
        <v>38891</v>
      </c>
      <c r="C174" s="42" t="s">
        <v>28</v>
      </c>
      <c r="D174" s="44">
        <v>15.92</v>
      </c>
      <c r="E174" s="44">
        <v>14.79</v>
      </c>
      <c r="F174">
        <v>2006</v>
      </c>
    </row>
    <row r="175" spans="1:6" ht="15" customHeight="1" x14ac:dyDescent="0.3">
      <c r="A175" s="42" t="s">
        <v>268</v>
      </c>
      <c r="B175" s="43">
        <v>38908</v>
      </c>
      <c r="C175" s="42" t="s">
        <v>28</v>
      </c>
      <c r="D175" s="44">
        <v>16.649999999999999</v>
      </c>
      <c r="E175" s="44">
        <v>16.23</v>
      </c>
      <c r="F175">
        <v>2006</v>
      </c>
    </row>
    <row r="176" spans="1:6" ht="15" customHeight="1" x14ac:dyDescent="0.3">
      <c r="A176" s="42" t="s">
        <v>269</v>
      </c>
      <c r="B176" s="43">
        <v>38916</v>
      </c>
      <c r="C176" s="42" t="s">
        <v>28</v>
      </c>
      <c r="D176" s="44">
        <v>20.2</v>
      </c>
      <c r="E176" s="44">
        <v>17.84</v>
      </c>
      <c r="F176">
        <v>2006</v>
      </c>
    </row>
    <row r="177" spans="1:6" ht="15" customHeight="1" x14ac:dyDescent="0.3">
      <c r="A177" s="42" t="s">
        <v>270</v>
      </c>
      <c r="B177" s="43">
        <v>38931</v>
      </c>
      <c r="C177" s="42" t="s">
        <v>28</v>
      </c>
      <c r="D177" s="44">
        <v>22.71</v>
      </c>
      <c r="E177" s="44">
        <v>21.33</v>
      </c>
      <c r="F177">
        <v>2006</v>
      </c>
    </row>
    <row r="178" spans="1:6" ht="15" customHeight="1" x14ac:dyDescent="0.3">
      <c r="A178" s="42" t="s">
        <v>271</v>
      </c>
      <c r="B178" s="43">
        <v>38946</v>
      </c>
      <c r="C178" s="42" t="s">
        <v>28</v>
      </c>
      <c r="D178" s="44">
        <v>22.25</v>
      </c>
      <c r="E178" s="44">
        <v>21.93</v>
      </c>
      <c r="F178">
        <v>2006</v>
      </c>
    </row>
    <row r="179" spans="1:6" ht="15" customHeight="1" x14ac:dyDescent="0.3">
      <c r="A179" s="42" t="s">
        <v>272</v>
      </c>
      <c r="B179" s="43">
        <v>38960</v>
      </c>
      <c r="C179" s="42" t="s">
        <v>28</v>
      </c>
      <c r="D179" s="44">
        <v>21.19</v>
      </c>
      <c r="E179" s="44">
        <v>21.44</v>
      </c>
      <c r="F179">
        <v>2006</v>
      </c>
    </row>
    <row r="180" spans="1:6" ht="15" customHeight="1" x14ac:dyDescent="0.3">
      <c r="A180" s="42" t="s">
        <v>273</v>
      </c>
      <c r="B180" s="43">
        <v>39007</v>
      </c>
      <c r="C180" s="42" t="s">
        <v>28</v>
      </c>
      <c r="D180" s="44">
        <v>16.77</v>
      </c>
      <c r="E180" s="44">
        <v>16.78</v>
      </c>
      <c r="F180">
        <v>2006</v>
      </c>
    </row>
    <row r="181" spans="1:6" ht="15" customHeight="1" x14ac:dyDescent="0.3">
      <c r="A181" s="42" t="s">
        <v>274</v>
      </c>
      <c r="B181" s="43">
        <v>39030</v>
      </c>
      <c r="C181" s="42" t="s">
        <v>28</v>
      </c>
      <c r="D181" s="44">
        <v>13.26</v>
      </c>
      <c r="E181" s="44">
        <v>13.29</v>
      </c>
      <c r="F181">
        <v>2006</v>
      </c>
    </row>
    <row r="182" spans="1:6" ht="15" customHeight="1" x14ac:dyDescent="0.3">
      <c r="A182" s="42" t="s">
        <v>275</v>
      </c>
      <c r="B182" s="43">
        <v>39065</v>
      </c>
      <c r="C182" s="42" t="s">
        <v>28</v>
      </c>
      <c r="D182" s="44">
        <v>8.1300000000000008</v>
      </c>
      <c r="E182" s="44">
        <v>8.89</v>
      </c>
      <c r="F182">
        <v>2006</v>
      </c>
    </row>
    <row r="183" spans="1:6" ht="15" customHeight="1" x14ac:dyDescent="0.3">
      <c r="A183" s="42" t="s">
        <v>276</v>
      </c>
      <c r="B183" s="43">
        <v>39101</v>
      </c>
      <c r="C183" s="42" t="s">
        <v>28</v>
      </c>
      <c r="D183" s="44">
        <v>5.82</v>
      </c>
      <c r="E183" s="44">
        <v>6.1</v>
      </c>
      <c r="F183">
        <v>2007</v>
      </c>
    </row>
    <row r="184" spans="1:6" ht="15" customHeight="1" x14ac:dyDescent="0.3">
      <c r="A184" s="42" t="s">
        <v>277</v>
      </c>
      <c r="B184" s="43">
        <v>39120</v>
      </c>
      <c r="C184" s="42" t="s">
        <v>28</v>
      </c>
      <c r="D184" s="44">
        <v>1.36</v>
      </c>
      <c r="E184" s="44">
        <v>1.42</v>
      </c>
      <c r="F184">
        <v>2007</v>
      </c>
    </row>
    <row r="185" spans="1:6" ht="15" customHeight="1" x14ac:dyDescent="0.3">
      <c r="A185" s="42" t="s">
        <v>278</v>
      </c>
      <c r="B185" s="43">
        <v>39153</v>
      </c>
      <c r="C185" s="42" t="s">
        <v>28</v>
      </c>
      <c r="D185" s="44">
        <v>0.9</v>
      </c>
      <c r="E185" s="44">
        <v>0.94</v>
      </c>
      <c r="F185">
        <v>2007</v>
      </c>
    </row>
    <row r="186" spans="1:6" ht="15" customHeight="1" x14ac:dyDescent="0.3">
      <c r="A186" s="42" t="s">
        <v>280</v>
      </c>
      <c r="B186" s="43">
        <v>39175</v>
      </c>
      <c r="C186" s="42" t="s">
        <v>28</v>
      </c>
      <c r="D186" s="44">
        <v>4.1900000000000004</v>
      </c>
      <c r="E186" s="44">
        <v>3.55</v>
      </c>
      <c r="F186">
        <v>2007</v>
      </c>
    </row>
    <row r="187" spans="1:6" ht="15" customHeight="1" x14ac:dyDescent="0.3">
      <c r="A187" s="42" t="s">
        <v>281</v>
      </c>
      <c r="B187" s="43">
        <v>39210</v>
      </c>
      <c r="C187" s="42" t="s">
        <v>28</v>
      </c>
      <c r="D187" s="44">
        <v>9.91</v>
      </c>
      <c r="E187" s="44">
        <v>9.44</v>
      </c>
      <c r="F187">
        <v>2007</v>
      </c>
    </row>
    <row r="188" spans="1:6" ht="15" customHeight="1" x14ac:dyDescent="0.3">
      <c r="A188" s="42" t="s">
        <v>282</v>
      </c>
      <c r="B188" s="43">
        <v>39239</v>
      </c>
      <c r="C188" s="42" t="s">
        <v>28</v>
      </c>
      <c r="D188" s="46">
        <v>14.43</v>
      </c>
      <c r="E188" s="44">
        <v>12.96</v>
      </c>
      <c r="F188">
        <v>2007</v>
      </c>
    </row>
    <row r="189" spans="1:6" ht="15" customHeight="1" x14ac:dyDescent="0.3">
      <c r="A189" s="42" t="s">
        <v>283</v>
      </c>
      <c r="B189" s="43">
        <v>39254</v>
      </c>
      <c r="C189" s="42" t="s">
        <v>28</v>
      </c>
      <c r="D189" s="44">
        <v>17.53</v>
      </c>
      <c r="E189" s="44">
        <v>15.45</v>
      </c>
      <c r="F189">
        <v>2007</v>
      </c>
    </row>
    <row r="190" spans="1:6" ht="15" customHeight="1" x14ac:dyDescent="0.3">
      <c r="A190" s="42" t="s">
        <v>284</v>
      </c>
      <c r="B190" s="43">
        <v>39273</v>
      </c>
      <c r="C190" s="42" t="s">
        <v>28</v>
      </c>
      <c r="D190" s="44">
        <v>17.96</v>
      </c>
      <c r="E190" s="44">
        <v>16.850000000000001</v>
      </c>
      <c r="F190">
        <v>2007</v>
      </c>
    </row>
    <row r="191" spans="1:6" ht="15" customHeight="1" x14ac:dyDescent="0.3">
      <c r="A191" s="42" t="s">
        <v>285</v>
      </c>
      <c r="B191" s="43">
        <v>39287</v>
      </c>
      <c r="C191" s="42" t="s">
        <v>28</v>
      </c>
      <c r="D191" s="44">
        <v>20.57</v>
      </c>
      <c r="E191" s="44">
        <v>20.36</v>
      </c>
      <c r="F191">
        <v>2007</v>
      </c>
    </row>
    <row r="192" spans="1:6" ht="15" customHeight="1" x14ac:dyDescent="0.3">
      <c r="A192" s="42" t="s">
        <v>286</v>
      </c>
      <c r="B192" s="43">
        <v>39295</v>
      </c>
      <c r="C192" s="42" t="s">
        <v>28</v>
      </c>
      <c r="D192" s="44">
        <v>21.88</v>
      </c>
      <c r="E192" s="44">
        <v>20.71</v>
      </c>
      <c r="F192">
        <v>2007</v>
      </c>
    </row>
    <row r="193" spans="1:6" ht="15" customHeight="1" x14ac:dyDescent="0.3">
      <c r="A193" s="42" t="s">
        <v>287</v>
      </c>
      <c r="B193" s="43">
        <v>39308</v>
      </c>
      <c r="C193" s="42" t="s">
        <v>28</v>
      </c>
      <c r="D193" s="44">
        <v>22.27</v>
      </c>
      <c r="E193" s="44">
        <v>22.1</v>
      </c>
      <c r="F193">
        <v>2007</v>
      </c>
    </row>
    <row r="194" spans="1:6" ht="15" customHeight="1" x14ac:dyDescent="0.3">
      <c r="A194" s="42" t="s">
        <v>288</v>
      </c>
      <c r="B194" s="43">
        <v>39323</v>
      </c>
      <c r="C194" s="42" t="s">
        <v>28</v>
      </c>
      <c r="D194" s="44">
        <v>22.01</v>
      </c>
      <c r="E194" s="44">
        <v>21.66</v>
      </c>
      <c r="F194">
        <v>2007</v>
      </c>
    </row>
    <row r="195" spans="1:6" ht="15" customHeight="1" x14ac:dyDescent="0.3">
      <c r="A195" s="42" t="s">
        <v>289</v>
      </c>
      <c r="B195" s="43">
        <v>39335</v>
      </c>
      <c r="C195" s="42" t="s">
        <v>28</v>
      </c>
      <c r="D195" s="44">
        <v>22.48</v>
      </c>
      <c r="E195" s="46">
        <v>22.11</v>
      </c>
      <c r="F195">
        <v>2007</v>
      </c>
    </row>
    <row r="196" spans="1:6" ht="15" customHeight="1" x14ac:dyDescent="0.3">
      <c r="A196" s="42" t="s">
        <v>290</v>
      </c>
      <c r="B196" s="43">
        <v>39358</v>
      </c>
      <c r="C196" s="42" t="s">
        <v>28</v>
      </c>
      <c r="D196" s="44">
        <v>20.83</v>
      </c>
      <c r="E196" s="44">
        <v>20.82</v>
      </c>
      <c r="F196">
        <v>2007</v>
      </c>
    </row>
    <row r="197" spans="1:6" ht="15" customHeight="1" x14ac:dyDescent="0.3">
      <c r="A197" s="42" t="s">
        <v>291</v>
      </c>
      <c r="B197" s="43">
        <v>39400</v>
      </c>
      <c r="C197" s="42" t="s">
        <v>28</v>
      </c>
      <c r="D197" s="44">
        <v>11</v>
      </c>
      <c r="E197" s="44">
        <v>10.97</v>
      </c>
      <c r="F197">
        <v>2007</v>
      </c>
    </row>
    <row r="198" spans="1:6" ht="15" customHeight="1" x14ac:dyDescent="0.3">
      <c r="A198" s="42" t="s">
        <v>292</v>
      </c>
      <c r="B198" s="43">
        <v>39422</v>
      </c>
      <c r="C198" s="42" t="s">
        <v>28</v>
      </c>
      <c r="D198" s="45"/>
      <c r="E198" s="45"/>
      <c r="F198">
        <v>2007</v>
      </c>
    </row>
    <row r="199" spans="1:6" ht="15" customHeight="1" x14ac:dyDescent="0.3">
      <c r="A199" s="42" t="s">
        <v>293</v>
      </c>
      <c r="B199" s="43">
        <v>39457</v>
      </c>
      <c r="C199" s="42" t="s">
        <v>28</v>
      </c>
      <c r="D199" s="44">
        <v>4.5999999999999996</v>
      </c>
      <c r="E199" s="44">
        <v>4.6100000000000003</v>
      </c>
      <c r="F199">
        <v>2008</v>
      </c>
    </row>
    <row r="200" spans="1:6" ht="15" customHeight="1" x14ac:dyDescent="0.3">
      <c r="A200" s="42" t="s">
        <v>294</v>
      </c>
      <c r="B200" s="43">
        <v>39484</v>
      </c>
      <c r="C200" s="42" t="s">
        <v>28</v>
      </c>
      <c r="D200" s="44">
        <v>3.31</v>
      </c>
      <c r="E200" s="44">
        <v>3.15</v>
      </c>
      <c r="F200">
        <v>2008</v>
      </c>
    </row>
    <row r="201" spans="1:6" ht="15" customHeight="1" x14ac:dyDescent="0.3">
      <c r="A201" s="42" t="s">
        <v>296</v>
      </c>
      <c r="B201" s="43">
        <v>39510</v>
      </c>
      <c r="C201" s="42" t="s">
        <v>28</v>
      </c>
      <c r="D201" s="44">
        <v>2.29</v>
      </c>
      <c r="E201" s="44">
        <v>2.62</v>
      </c>
      <c r="F201">
        <v>2008</v>
      </c>
    </row>
    <row r="202" spans="1:6" ht="15" customHeight="1" x14ac:dyDescent="0.3">
      <c r="A202" s="42" t="s">
        <v>298</v>
      </c>
      <c r="B202" s="43">
        <v>39546</v>
      </c>
      <c r="C202" s="42" t="s">
        <v>28</v>
      </c>
      <c r="D202" s="44">
        <v>5.7</v>
      </c>
      <c r="E202" s="44">
        <v>5.67</v>
      </c>
      <c r="F202">
        <v>2008</v>
      </c>
    </row>
    <row r="203" spans="1:6" ht="15" customHeight="1" x14ac:dyDescent="0.3">
      <c r="A203" s="42" t="s">
        <v>299</v>
      </c>
      <c r="B203" s="43">
        <v>39575</v>
      </c>
      <c r="C203" s="42" t="s">
        <v>28</v>
      </c>
      <c r="D203" s="44">
        <v>11.12</v>
      </c>
      <c r="E203" s="44">
        <v>10.59</v>
      </c>
      <c r="F203">
        <v>2008</v>
      </c>
    </row>
    <row r="204" spans="1:6" ht="15" customHeight="1" x14ac:dyDescent="0.3">
      <c r="A204" s="42" t="s">
        <v>300</v>
      </c>
      <c r="B204" s="43">
        <v>39602</v>
      </c>
      <c r="C204" s="42" t="s">
        <v>28</v>
      </c>
      <c r="D204" s="44">
        <v>12.05</v>
      </c>
      <c r="E204" s="44">
        <v>11.65</v>
      </c>
      <c r="F204">
        <v>2008</v>
      </c>
    </row>
    <row r="205" spans="1:6" ht="15" customHeight="1" x14ac:dyDescent="0.3">
      <c r="A205" s="42" t="s">
        <v>301</v>
      </c>
      <c r="B205" s="43">
        <v>39616</v>
      </c>
      <c r="C205" s="42" t="s">
        <v>28</v>
      </c>
      <c r="D205" s="44">
        <v>19.829999999999998</v>
      </c>
      <c r="E205" s="45"/>
      <c r="F205">
        <v>2008</v>
      </c>
    </row>
    <row r="206" spans="1:6" ht="15" customHeight="1" x14ac:dyDescent="0.3">
      <c r="A206" s="42" t="s">
        <v>302</v>
      </c>
      <c r="B206" s="43">
        <v>39632</v>
      </c>
      <c r="C206" s="42" t="s">
        <v>28</v>
      </c>
      <c r="D206" s="44">
        <v>18.53</v>
      </c>
      <c r="E206" s="44">
        <v>15.11</v>
      </c>
      <c r="F206">
        <v>2008</v>
      </c>
    </row>
    <row r="207" spans="1:6" ht="15" customHeight="1" x14ac:dyDescent="0.3">
      <c r="A207" s="42" t="s">
        <v>303</v>
      </c>
      <c r="B207" s="43">
        <v>39651</v>
      </c>
      <c r="C207" s="42" t="s">
        <v>28</v>
      </c>
      <c r="D207" s="44">
        <v>21.66</v>
      </c>
      <c r="E207" s="44">
        <v>19.41</v>
      </c>
      <c r="F207">
        <v>2008</v>
      </c>
    </row>
    <row r="208" spans="1:6" ht="15" customHeight="1" x14ac:dyDescent="0.3">
      <c r="A208" s="42" t="s">
        <v>304</v>
      </c>
      <c r="B208" s="43">
        <v>39665</v>
      </c>
      <c r="C208" s="42" t="s">
        <v>28</v>
      </c>
      <c r="D208" s="44">
        <v>22.02</v>
      </c>
      <c r="E208" s="44">
        <v>20.92</v>
      </c>
      <c r="F208">
        <v>2008</v>
      </c>
    </row>
    <row r="209" spans="1:6" ht="15" customHeight="1" x14ac:dyDescent="0.3">
      <c r="A209" s="42" t="s">
        <v>305</v>
      </c>
      <c r="B209" s="43">
        <v>39680</v>
      </c>
      <c r="C209" s="42" t="s">
        <v>28</v>
      </c>
      <c r="D209" s="44">
        <v>21.7</v>
      </c>
      <c r="E209" s="44">
        <v>21.69</v>
      </c>
      <c r="F209">
        <v>2008</v>
      </c>
    </row>
    <row r="210" spans="1:6" ht="15" customHeight="1" x14ac:dyDescent="0.3">
      <c r="A210" s="42" t="s">
        <v>306</v>
      </c>
      <c r="B210" s="43">
        <v>39694</v>
      </c>
      <c r="C210" s="42" t="s">
        <v>28</v>
      </c>
      <c r="D210" s="44">
        <v>22.76</v>
      </c>
      <c r="E210" s="44">
        <v>22.76</v>
      </c>
      <c r="F210">
        <v>2008</v>
      </c>
    </row>
    <row r="211" spans="1:6" ht="15" customHeight="1" x14ac:dyDescent="0.3">
      <c r="A211" s="42" t="s">
        <v>307</v>
      </c>
      <c r="B211" s="43">
        <v>39707</v>
      </c>
      <c r="C211" s="42" t="s">
        <v>28</v>
      </c>
      <c r="D211" s="44">
        <v>21.84</v>
      </c>
      <c r="E211" s="44">
        <v>21.87</v>
      </c>
      <c r="F211">
        <v>2008</v>
      </c>
    </row>
    <row r="212" spans="1:6" ht="15" customHeight="1" x14ac:dyDescent="0.3">
      <c r="A212" s="42" t="s">
        <v>308</v>
      </c>
      <c r="B212" s="43">
        <v>39728</v>
      </c>
      <c r="C212" s="42" t="s">
        <v>28</v>
      </c>
      <c r="D212" s="46">
        <v>17.600000000000001</v>
      </c>
      <c r="E212" s="44">
        <v>17.63</v>
      </c>
      <c r="F212">
        <v>2008</v>
      </c>
    </row>
    <row r="213" spans="1:6" ht="15" customHeight="1" x14ac:dyDescent="0.3">
      <c r="A213" s="42" t="s">
        <v>309</v>
      </c>
      <c r="B213" s="43">
        <v>39759</v>
      </c>
      <c r="C213" s="42" t="s">
        <v>28</v>
      </c>
      <c r="D213" s="44">
        <v>13.75</v>
      </c>
      <c r="E213" s="44">
        <v>13.89</v>
      </c>
      <c r="F213">
        <v>2008</v>
      </c>
    </row>
    <row r="214" spans="1:6" ht="15" customHeight="1" x14ac:dyDescent="0.3">
      <c r="A214" s="42" t="s">
        <v>310</v>
      </c>
      <c r="B214" s="43">
        <v>39799</v>
      </c>
      <c r="C214" s="42" t="s">
        <v>28</v>
      </c>
      <c r="D214" s="44">
        <v>6.43</v>
      </c>
      <c r="E214" s="44">
        <v>6.56</v>
      </c>
      <c r="F214">
        <v>2008</v>
      </c>
    </row>
    <row r="215" spans="1:6" ht="15" customHeight="1" x14ac:dyDescent="0.3">
      <c r="A215" s="42" t="s">
        <v>311</v>
      </c>
      <c r="B215" s="43">
        <v>39825</v>
      </c>
      <c r="C215" s="42" t="s">
        <v>28</v>
      </c>
      <c r="D215" s="44">
        <v>2.5</v>
      </c>
      <c r="E215" s="44">
        <v>2.54</v>
      </c>
      <c r="F215">
        <v>2009</v>
      </c>
    </row>
    <row r="216" spans="1:6" ht="15" customHeight="1" x14ac:dyDescent="0.3">
      <c r="A216" s="42" t="s">
        <v>312</v>
      </c>
      <c r="B216" s="43">
        <v>39848</v>
      </c>
      <c r="C216" s="42" t="s">
        <v>28</v>
      </c>
      <c r="D216" s="44">
        <v>0.61</v>
      </c>
      <c r="E216" s="44">
        <v>0.69</v>
      </c>
      <c r="F216">
        <v>2009</v>
      </c>
    </row>
    <row r="217" spans="1:6" ht="15" customHeight="1" x14ac:dyDescent="0.3">
      <c r="A217" s="42" t="s">
        <v>314</v>
      </c>
      <c r="B217" s="43">
        <v>39877</v>
      </c>
      <c r="C217" s="42" t="s">
        <v>28</v>
      </c>
      <c r="D217" s="44">
        <v>0.96</v>
      </c>
      <c r="E217" s="44">
        <v>0.94</v>
      </c>
      <c r="F217">
        <v>2009</v>
      </c>
    </row>
    <row r="218" spans="1:6" ht="15" customHeight="1" x14ac:dyDescent="0.3">
      <c r="A218" s="42" t="s">
        <v>316</v>
      </c>
      <c r="B218" s="43">
        <v>39904</v>
      </c>
      <c r="C218" s="42" t="s">
        <v>28</v>
      </c>
      <c r="D218" s="44">
        <v>4.87</v>
      </c>
      <c r="E218" s="44">
        <v>4.79</v>
      </c>
      <c r="F218">
        <v>2009</v>
      </c>
    </row>
    <row r="219" spans="1:6" ht="15" customHeight="1" x14ac:dyDescent="0.3">
      <c r="A219" s="42" t="s">
        <v>317</v>
      </c>
      <c r="B219" s="43">
        <v>39937</v>
      </c>
      <c r="C219" s="42" t="s">
        <v>28</v>
      </c>
      <c r="D219" s="44">
        <v>10.51</v>
      </c>
      <c r="E219" s="44">
        <v>10.25</v>
      </c>
      <c r="F219">
        <v>2009</v>
      </c>
    </row>
    <row r="220" spans="1:6" ht="15" customHeight="1" x14ac:dyDescent="0.3">
      <c r="A220" s="42" t="s">
        <v>318</v>
      </c>
      <c r="B220" s="43">
        <v>39972</v>
      </c>
      <c r="C220" s="42" t="s">
        <v>28</v>
      </c>
      <c r="D220" s="44">
        <v>16.09</v>
      </c>
      <c r="E220" s="44">
        <v>13.44</v>
      </c>
      <c r="F220">
        <v>2009</v>
      </c>
    </row>
    <row r="221" spans="1:6" ht="15" customHeight="1" x14ac:dyDescent="0.3">
      <c r="A221" s="42" t="s">
        <v>319</v>
      </c>
      <c r="B221" s="43">
        <v>39987</v>
      </c>
      <c r="C221" s="42" t="s">
        <v>28</v>
      </c>
      <c r="D221" s="44">
        <v>17.16</v>
      </c>
      <c r="E221" s="44">
        <v>16.899999999999999</v>
      </c>
      <c r="F221">
        <v>2009</v>
      </c>
    </row>
    <row r="222" spans="1:6" ht="15" customHeight="1" x14ac:dyDescent="0.3">
      <c r="A222" s="42" t="s">
        <v>320</v>
      </c>
      <c r="B222" s="43">
        <v>40002</v>
      </c>
      <c r="C222" s="42" t="s">
        <v>28</v>
      </c>
      <c r="D222" s="44">
        <v>20.11</v>
      </c>
      <c r="E222" s="44">
        <v>18.52</v>
      </c>
      <c r="F222">
        <v>2009</v>
      </c>
    </row>
    <row r="223" spans="1:6" ht="15" customHeight="1" x14ac:dyDescent="0.3">
      <c r="A223" s="42" t="s">
        <v>321</v>
      </c>
      <c r="B223" s="43">
        <v>40016</v>
      </c>
      <c r="C223" s="42" t="s">
        <v>28</v>
      </c>
      <c r="D223" s="44">
        <v>21.06</v>
      </c>
      <c r="E223" s="44">
        <v>20.52</v>
      </c>
      <c r="F223">
        <v>2009</v>
      </c>
    </row>
    <row r="224" spans="1:6" ht="15" customHeight="1" x14ac:dyDescent="0.3">
      <c r="A224" s="42" t="s">
        <v>322</v>
      </c>
      <c r="B224" s="43">
        <v>40030</v>
      </c>
      <c r="C224" s="42" t="s">
        <v>28</v>
      </c>
      <c r="D224" s="44">
        <v>21.67</v>
      </c>
      <c r="E224" s="44">
        <v>18.600000000000001</v>
      </c>
      <c r="F224">
        <v>2009</v>
      </c>
    </row>
    <row r="225" spans="1:6" ht="15" customHeight="1" x14ac:dyDescent="0.3">
      <c r="A225" s="42" t="s">
        <v>323</v>
      </c>
      <c r="B225" s="43">
        <v>40043</v>
      </c>
      <c r="C225" s="42" t="s">
        <v>28</v>
      </c>
      <c r="D225" s="44">
        <v>23.22</v>
      </c>
      <c r="E225" s="44">
        <v>22.42</v>
      </c>
      <c r="F225">
        <v>2009</v>
      </c>
    </row>
    <row r="226" spans="1:6" ht="15" customHeight="1" x14ac:dyDescent="0.3">
      <c r="A226" s="42" t="s">
        <v>324</v>
      </c>
      <c r="B226" s="43">
        <v>40058</v>
      </c>
      <c r="C226" s="42" t="s">
        <v>28</v>
      </c>
      <c r="D226" s="44">
        <v>21.67</v>
      </c>
      <c r="E226" s="44">
        <v>21.67</v>
      </c>
      <c r="F226">
        <v>2009</v>
      </c>
    </row>
    <row r="227" spans="1:6" ht="15" customHeight="1" x14ac:dyDescent="0.3">
      <c r="A227" s="42" t="s">
        <v>325</v>
      </c>
      <c r="B227" s="43">
        <v>40092</v>
      </c>
      <c r="C227" s="42" t="s">
        <v>28</v>
      </c>
      <c r="D227" s="44">
        <v>17.97</v>
      </c>
      <c r="E227" s="44">
        <v>17.97</v>
      </c>
      <c r="F227">
        <v>2009</v>
      </c>
    </row>
    <row r="228" spans="1:6" ht="15" customHeight="1" x14ac:dyDescent="0.3">
      <c r="A228" s="42" t="s">
        <v>326</v>
      </c>
      <c r="B228" s="43">
        <v>40121</v>
      </c>
      <c r="C228" s="42" t="s">
        <v>28</v>
      </c>
      <c r="D228" s="44">
        <v>13.45</v>
      </c>
      <c r="E228" s="44">
        <v>14.26</v>
      </c>
      <c r="F228">
        <v>2009</v>
      </c>
    </row>
    <row r="229" spans="1:6" ht="15" customHeight="1" x14ac:dyDescent="0.3">
      <c r="A229" s="42" t="s">
        <v>327</v>
      </c>
      <c r="B229" s="43">
        <v>40149</v>
      </c>
      <c r="C229" s="42" t="s">
        <v>28</v>
      </c>
      <c r="D229" s="44">
        <v>10.220000000000001</v>
      </c>
      <c r="E229" s="44">
        <v>10.7</v>
      </c>
      <c r="F229">
        <v>2009</v>
      </c>
    </row>
    <row r="230" spans="1:6" ht="15" customHeight="1" x14ac:dyDescent="0.3">
      <c r="A230" s="42" t="s">
        <v>328</v>
      </c>
      <c r="B230" s="43">
        <v>40190</v>
      </c>
      <c r="C230" s="42" t="s">
        <v>28</v>
      </c>
      <c r="D230" s="44">
        <v>1.68</v>
      </c>
      <c r="E230" s="44">
        <v>2.2799999999999998</v>
      </c>
      <c r="F230">
        <v>2010</v>
      </c>
    </row>
    <row r="231" spans="1:6" ht="15" customHeight="1" x14ac:dyDescent="0.3">
      <c r="A231" s="42" t="s">
        <v>329</v>
      </c>
      <c r="B231" s="43">
        <v>40217</v>
      </c>
      <c r="C231" s="42" t="s">
        <v>28</v>
      </c>
      <c r="D231" s="44">
        <v>0.72</v>
      </c>
      <c r="E231" s="44">
        <v>0.85</v>
      </c>
      <c r="F231">
        <v>2010</v>
      </c>
    </row>
    <row r="232" spans="1:6" ht="15" customHeight="1" x14ac:dyDescent="0.3">
      <c r="A232" s="42" t="s">
        <v>330</v>
      </c>
      <c r="B232" s="43">
        <v>40239</v>
      </c>
      <c r="C232" s="42" t="s">
        <v>28</v>
      </c>
      <c r="D232" s="44">
        <v>2.0299999999999998</v>
      </c>
      <c r="E232" s="44">
        <v>1.97</v>
      </c>
      <c r="F232">
        <v>2010</v>
      </c>
    </row>
    <row r="233" spans="1:6" ht="15" customHeight="1" x14ac:dyDescent="0.3">
      <c r="A233" s="42" t="s">
        <v>332</v>
      </c>
      <c r="B233" s="43">
        <v>40268</v>
      </c>
      <c r="C233" s="42" t="s">
        <v>28</v>
      </c>
      <c r="D233" s="44">
        <v>5.69</v>
      </c>
      <c r="E233" s="44">
        <v>5.52</v>
      </c>
      <c r="F233">
        <v>2010</v>
      </c>
    </row>
    <row r="234" spans="1:6" ht="15" customHeight="1" x14ac:dyDescent="0.3">
      <c r="A234" s="42" t="s">
        <v>333</v>
      </c>
      <c r="B234" s="43">
        <v>40302</v>
      </c>
      <c r="C234" s="42" t="s">
        <v>28</v>
      </c>
      <c r="D234" s="44">
        <v>12.06</v>
      </c>
      <c r="E234" s="44">
        <v>9.57</v>
      </c>
      <c r="F234">
        <v>2010</v>
      </c>
    </row>
    <row r="235" spans="1:6" ht="15" customHeight="1" x14ac:dyDescent="0.3">
      <c r="A235" s="42" t="s">
        <v>334</v>
      </c>
      <c r="B235" s="43">
        <v>40325</v>
      </c>
      <c r="C235" s="42" t="s">
        <v>28</v>
      </c>
      <c r="D235" s="44">
        <v>14.84</v>
      </c>
      <c r="E235" s="44">
        <v>13.53</v>
      </c>
      <c r="F235">
        <v>2010</v>
      </c>
    </row>
    <row r="236" spans="1:6" ht="15" customHeight="1" x14ac:dyDescent="0.3">
      <c r="A236" s="42" t="s">
        <v>335</v>
      </c>
      <c r="B236" s="43">
        <v>40347</v>
      </c>
      <c r="C236" s="42" t="s">
        <v>28</v>
      </c>
      <c r="D236" s="44">
        <v>16.61</v>
      </c>
      <c r="E236" s="44">
        <v>15.83</v>
      </c>
      <c r="F236">
        <v>2010</v>
      </c>
    </row>
    <row r="237" spans="1:6" ht="15" customHeight="1" x14ac:dyDescent="0.3">
      <c r="A237" s="42" t="s">
        <v>336</v>
      </c>
      <c r="B237" s="43">
        <v>40367</v>
      </c>
      <c r="C237" s="42" t="s">
        <v>28</v>
      </c>
      <c r="D237" s="44">
        <v>23.2</v>
      </c>
      <c r="E237" s="44">
        <v>20.309999999999999</v>
      </c>
      <c r="F237">
        <v>2010</v>
      </c>
    </row>
    <row r="238" spans="1:6" ht="15" customHeight="1" x14ac:dyDescent="0.3">
      <c r="A238" s="42" t="s">
        <v>337</v>
      </c>
      <c r="B238" s="43">
        <v>40382</v>
      </c>
      <c r="C238" s="42" t="s">
        <v>28</v>
      </c>
      <c r="D238" s="44">
        <v>20.94</v>
      </c>
      <c r="E238" s="44">
        <v>20.07</v>
      </c>
      <c r="F238">
        <v>2010</v>
      </c>
    </row>
    <row r="239" spans="1:6" ht="15" customHeight="1" x14ac:dyDescent="0.3">
      <c r="A239" s="42" t="s">
        <v>338</v>
      </c>
      <c r="B239" s="43">
        <v>40393</v>
      </c>
      <c r="C239" s="42" t="s">
        <v>28</v>
      </c>
      <c r="D239" s="44">
        <v>22.62</v>
      </c>
      <c r="E239" s="44">
        <v>21.91</v>
      </c>
      <c r="F239">
        <v>2010</v>
      </c>
    </row>
    <row r="240" spans="1:6" ht="15" customHeight="1" x14ac:dyDescent="0.3">
      <c r="A240" s="42" t="s">
        <v>339</v>
      </c>
      <c r="B240" s="43">
        <v>40407</v>
      </c>
      <c r="C240" s="42" t="s">
        <v>28</v>
      </c>
      <c r="D240" s="44">
        <v>23.45</v>
      </c>
      <c r="E240" s="44">
        <v>22.9</v>
      </c>
      <c r="F240">
        <v>2010</v>
      </c>
    </row>
    <row r="241" spans="1:6" ht="15" customHeight="1" x14ac:dyDescent="0.3">
      <c r="A241" s="42" t="s">
        <v>340</v>
      </c>
      <c r="B241" s="43">
        <v>40421</v>
      </c>
      <c r="C241" s="42" t="s">
        <v>28</v>
      </c>
      <c r="D241" s="44">
        <v>23.12</v>
      </c>
      <c r="E241" s="44">
        <v>23.1</v>
      </c>
      <c r="F241">
        <v>2010</v>
      </c>
    </row>
    <row r="242" spans="1:6" ht="15" customHeight="1" x14ac:dyDescent="0.3">
      <c r="A242" s="42" t="s">
        <v>341</v>
      </c>
      <c r="B242" s="43">
        <v>40463</v>
      </c>
      <c r="C242" s="42" t="s">
        <v>28</v>
      </c>
      <c r="D242" s="44">
        <v>17.670000000000002</v>
      </c>
      <c r="E242" s="44">
        <v>17.670000000000002</v>
      </c>
      <c r="F242">
        <v>2010</v>
      </c>
    </row>
    <row r="243" spans="1:6" ht="15" customHeight="1" x14ac:dyDescent="0.3">
      <c r="A243" s="42" t="s">
        <v>342</v>
      </c>
      <c r="B243" s="43">
        <v>40483</v>
      </c>
      <c r="C243" s="42" t="s">
        <v>28</v>
      </c>
      <c r="D243" s="44">
        <v>14.24</v>
      </c>
      <c r="E243" s="44">
        <v>14.13</v>
      </c>
      <c r="F243">
        <v>2010</v>
      </c>
    </row>
    <row r="244" spans="1:6" ht="15" customHeight="1" x14ac:dyDescent="0.3">
      <c r="A244" s="42" t="s">
        <v>343</v>
      </c>
      <c r="B244" s="43">
        <v>40514</v>
      </c>
      <c r="C244" s="42" t="s">
        <v>28</v>
      </c>
      <c r="D244" s="44">
        <v>9.1999999999999993</v>
      </c>
      <c r="E244" s="44">
        <v>9.26</v>
      </c>
      <c r="F244">
        <v>2010</v>
      </c>
    </row>
    <row r="245" spans="1:6" ht="15" customHeight="1" x14ac:dyDescent="0.3">
      <c r="A245" s="42" t="s">
        <v>344</v>
      </c>
      <c r="B245" s="43">
        <v>40557</v>
      </c>
      <c r="C245" s="42" t="s">
        <v>28</v>
      </c>
      <c r="D245" s="44">
        <v>0.78</v>
      </c>
      <c r="E245" s="44">
        <v>0.78</v>
      </c>
      <c r="F245">
        <v>2011</v>
      </c>
    </row>
    <row r="246" spans="1:6" ht="15" customHeight="1" x14ac:dyDescent="0.3">
      <c r="A246" s="42" t="s">
        <v>345</v>
      </c>
      <c r="B246" s="43">
        <v>40584</v>
      </c>
      <c r="C246" s="42" t="s">
        <v>28</v>
      </c>
      <c r="D246" s="44">
        <v>0.48</v>
      </c>
      <c r="E246" s="44">
        <v>0.51</v>
      </c>
      <c r="F246">
        <v>2011</v>
      </c>
    </row>
    <row r="247" spans="1:6" ht="15" customHeight="1" x14ac:dyDescent="0.3">
      <c r="A247" s="42" t="s">
        <v>347</v>
      </c>
      <c r="B247" s="43">
        <v>40610</v>
      </c>
      <c r="C247" s="42" t="s">
        <v>28</v>
      </c>
      <c r="D247" s="44">
        <v>2.0099999999999998</v>
      </c>
      <c r="E247" s="44">
        <v>2.06</v>
      </c>
      <c r="F247">
        <v>2011</v>
      </c>
    </row>
    <row r="248" spans="1:6" ht="15" customHeight="1" x14ac:dyDescent="0.3">
      <c r="A248" s="42" t="s">
        <v>348</v>
      </c>
      <c r="B248" s="43">
        <v>40647</v>
      </c>
      <c r="C248" s="42" t="s">
        <v>28</v>
      </c>
      <c r="D248" s="46">
        <v>5.86</v>
      </c>
      <c r="E248" s="44">
        <v>5.32</v>
      </c>
      <c r="F248">
        <v>2011</v>
      </c>
    </row>
    <row r="249" spans="1:6" ht="15" customHeight="1" x14ac:dyDescent="0.3">
      <c r="A249" s="42" t="s">
        <v>349</v>
      </c>
      <c r="B249" s="43">
        <v>40666</v>
      </c>
      <c r="C249" s="42" t="s">
        <v>28</v>
      </c>
      <c r="D249" s="46">
        <v>10.56</v>
      </c>
      <c r="E249" s="44">
        <v>8.2100000000000009</v>
      </c>
      <c r="F249">
        <v>2011</v>
      </c>
    </row>
    <row r="250" spans="1:6" ht="15" customHeight="1" x14ac:dyDescent="0.3">
      <c r="A250" s="42" t="s">
        <v>350</v>
      </c>
      <c r="B250" s="43">
        <v>40695</v>
      </c>
      <c r="C250" s="42" t="s">
        <v>28</v>
      </c>
      <c r="D250" s="44">
        <v>18.82</v>
      </c>
      <c r="E250" s="44">
        <v>12.28</v>
      </c>
      <c r="F250">
        <v>2011</v>
      </c>
    </row>
    <row r="251" spans="1:6" ht="15" customHeight="1" x14ac:dyDescent="0.3">
      <c r="A251" s="42" t="s">
        <v>351</v>
      </c>
      <c r="B251" s="43">
        <v>40710</v>
      </c>
      <c r="C251" s="42" t="s">
        <v>28</v>
      </c>
      <c r="D251" s="44">
        <v>17.989999999999998</v>
      </c>
      <c r="E251" s="44">
        <v>17.62</v>
      </c>
      <c r="F251">
        <v>2011</v>
      </c>
    </row>
    <row r="252" spans="1:6" ht="15" customHeight="1" x14ac:dyDescent="0.3">
      <c r="A252" s="42" t="s">
        <v>352</v>
      </c>
      <c r="B252" s="43">
        <v>40730</v>
      </c>
      <c r="C252" s="42" t="s">
        <v>28</v>
      </c>
      <c r="D252" s="44">
        <v>18.52</v>
      </c>
      <c r="E252" s="44">
        <v>17.55</v>
      </c>
      <c r="F252">
        <v>2011</v>
      </c>
    </row>
    <row r="253" spans="1:6" ht="15" customHeight="1" x14ac:dyDescent="0.3">
      <c r="A253" s="42" t="s">
        <v>353</v>
      </c>
      <c r="B253" s="43">
        <v>40742</v>
      </c>
      <c r="C253" s="42" t="s">
        <v>28</v>
      </c>
      <c r="D253" s="44">
        <v>19.66</v>
      </c>
      <c r="E253" s="44">
        <v>18.329999999999998</v>
      </c>
      <c r="F253">
        <v>2011</v>
      </c>
    </row>
    <row r="254" spans="1:6" ht="15" customHeight="1" x14ac:dyDescent="0.3">
      <c r="A254" s="42" t="s">
        <v>354</v>
      </c>
      <c r="B254" s="43">
        <v>40758</v>
      </c>
      <c r="C254" s="42" t="s">
        <v>28</v>
      </c>
      <c r="D254" s="44">
        <v>21.57</v>
      </c>
      <c r="E254" s="44">
        <v>20.91</v>
      </c>
      <c r="F254">
        <v>2011</v>
      </c>
    </row>
    <row r="255" spans="1:6" ht="15" customHeight="1" x14ac:dyDescent="0.3">
      <c r="A255" s="42" t="s">
        <v>355</v>
      </c>
      <c r="B255" s="43">
        <v>40770</v>
      </c>
      <c r="C255" s="42" t="s">
        <v>28</v>
      </c>
      <c r="D255" s="44">
        <v>22.56</v>
      </c>
      <c r="E255" s="44">
        <v>22.51</v>
      </c>
      <c r="F255">
        <v>2011</v>
      </c>
    </row>
    <row r="256" spans="1:6" ht="15" customHeight="1" x14ac:dyDescent="0.3">
      <c r="A256" s="42" t="s">
        <v>356</v>
      </c>
      <c r="B256" s="43">
        <v>40786</v>
      </c>
      <c r="C256" s="42" t="s">
        <v>28</v>
      </c>
      <c r="D256" s="44">
        <v>22.53</v>
      </c>
      <c r="E256" s="44">
        <v>22.32</v>
      </c>
      <c r="F256">
        <v>2011</v>
      </c>
    </row>
    <row r="257" spans="1:6" ht="15" customHeight="1" x14ac:dyDescent="0.3">
      <c r="A257" s="42" t="s">
        <v>357</v>
      </c>
      <c r="B257" s="43">
        <v>40822</v>
      </c>
      <c r="C257" s="42" t="s">
        <v>28</v>
      </c>
      <c r="D257" s="44">
        <v>19.73</v>
      </c>
      <c r="E257" s="44">
        <v>19.73</v>
      </c>
      <c r="F257">
        <v>2011</v>
      </c>
    </row>
    <row r="258" spans="1:6" ht="15" customHeight="1" x14ac:dyDescent="0.3">
      <c r="A258" s="42" t="s">
        <v>358</v>
      </c>
      <c r="B258" s="43">
        <v>40856</v>
      </c>
      <c r="C258" s="42" t="s">
        <v>28</v>
      </c>
      <c r="D258" s="44">
        <v>13.6</v>
      </c>
      <c r="E258" s="44">
        <v>14.19</v>
      </c>
      <c r="F258">
        <v>2011</v>
      </c>
    </row>
    <row r="259" spans="1:6" ht="15" customHeight="1" x14ac:dyDescent="0.3">
      <c r="A259" s="42" t="s">
        <v>359</v>
      </c>
      <c r="B259" s="43">
        <v>40876</v>
      </c>
      <c r="C259" s="42" t="s">
        <v>28</v>
      </c>
      <c r="D259" s="44">
        <v>11.63</v>
      </c>
      <c r="E259" s="44">
        <v>11.62</v>
      </c>
      <c r="F259">
        <v>2011</v>
      </c>
    </row>
    <row r="260" spans="1:6" ht="15" customHeight="1" x14ac:dyDescent="0.3">
      <c r="A260" s="42" t="s">
        <v>360</v>
      </c>
      <c r="B260" s="43">
        <v>40917</v>
      </c>
      <c r="C260" s="42" t="s">
        <v>28</v>
      </c>
      <c r="D260" s="44">
        <v>5.96</v>
      </c>
      <c r="E260" s="44">
        <v>6.26</v>
      </c>
      <c r="F260">
        <v>2012</v>
      </c>
    </row>
    <row r="261" spans="1:6" ht="15" customHeight="1" x14ac:dyDescent="0.3">
      <c r="A261" s="42" t="s">
        <v>361</v>
      </c>
      <c r="B261" s="43">
        <v>40941</v>
      </c>
      <c r="C261" s="42" t="s">
        <v>28</v>
      </c>
      <c r="D261" s="44">
        <v>4.71</v>
      </c>
      <c r="E261" s="44">
        <v>4.78</v>
      </c>
      <c r="F261">
        <v>2012</v>
      </c>
    </row>
    <row r="262" spans="1:6" ht="15" customHeight="1" x14ac:dyDescent="0.3">
      <c r="A262" s="42" t="s">
        <v>363</v>
      </c>
      <c r="B262" s="43">
        <v>40973</v>
      </c>
      <c r="C262" s="42" t="s">
        <v>28</v>
      </c>
      <c r="D262" s="44">
        <v>4.46</v>
      </c>
      <c r="E262" s="44">
        <v>4.58</v>
      </c>
      <c r="F262">
        <v>2012</v>
      </c>
    </row>
    <row r="263" spans="1:6" ht="15" customHeight="1" x14ac:dyDescent="0.3">
      <c r="A263" s="42" t="s">
        <v>365</v>
      </c>
      <c r="B263" s="43">
        <v>41004</v>
      </c>
      <c r="C263" s="42" t="s">
        <v>28</v>
      </c>
      <c r="D263" s="44">
        <v>7.76</v>
      </c>
      <c r="E263" s="45"/>
      <c r="F263">
        <v>2012</v>
      </c>
    </row>
    <row r="264" spans="1:6" ht="15" customHeight="1" x14ac:dyDescent="0.3">
      <c r="A264" s="42" t="s">
        <v>366</v>
      </c>
      <c r="B264" s="43">
        <v>41031</v>
      </c>
      <c r="C264" s="42" t="s">
        <v>28</v>
      </c>
      <c r="D264" s="44">
        <v>10.73</v>
      </c>
      <c r="E264" s="44">
        <v>10.68</v>
      </c>
      <c r="F264">
        <v>2012</v>
      </c>
    </row>
    <row r="265" spans="1:6" ht="15" customHeight="1" x14ac:dyDescent="0.3">
      <c r="A265" s="42" t="s">
        <v>367</v>
      </c>
      <c r="B265" s="43">
        <v>41059</v>
      </c>
      <c r="C265" s="42" t="s">
        <v>28</v>
      </c>
      <c r="D265" s="44">
        <v>18.79</v>
      </c>
      <c r="E265" s="44">
        <v>15.94</v>
      </c>
      <c r="F265">
        <v>2012</v>
      </c>
    </row>
    <row r="266" spans="1:6" ht="15" customHeight="1" x14ac:dyDescent="0.3">
      <c r="A266" s="42" t="s">
        <v>368</v>
      </c>
      <c r="B266" s="43">
        <v>41072</v>
      </c>
      <c r="C266" s="42" t="s">
        <v>28</v>
      </c>
      <c r="D266" s="44">
        <v>19.420000000000002</v>
      </c>
      <c r="E266" s="44">
        <v>18.07</v>
      </c>
      <c r="F266">
        <v>2012</v>
      </c>
    </row>
    <row r="267" spans="1:6" ht="15" customHeight="1" x14ac:dyDescent="0.3">
      <c r="A267" s="42" t="s">
        <v>369</v>
      </c>
      <c r="B267" s="43">
        <v>41087</v>
      </c>
      <c r="C267" s="42" t="s">
        <v>28</v>
      </c>
      <c r="D267" s="44">
        <v>18.09</v>
      </c>
      <c r="E267" s="44">
        <v>17.54</v>
      </c>
      <c r="F267">
        <v>2012</v>
      </c>
    </row>
    <row r="268" spans="1:6" ht="15" customHeight="1" x14ac:dyDescent="0.3">
      <c r="A268" s="42" t="s">
        <v>370</v>
      </c>
      <c r="B268" s="43">
        <v>41106</v>
      </c>
      <c r="C268" s="42" t="s">
        <v>28</v>
      </c>
      <c r="D268" s="44">
        <v>19.77</v>
      </c>
      <c r="E268" s="44">
        <v>18.55</v>
      </c>
      <c r="F268">
        <v>2012</v>
      </c>
    </row>
    <row r="269" spans="1:6" ht="15" customHeight="1" x14ac:dyDescent="0.3">
      <c r="A269" s="42" t="s">
        <v>371</v>
      </c>
      <c r="B269" s="43">
        <v>41122</v>
      </c>
      <c r="C269" s="42" t="s">
        <v>28</v>
      </c>
      <c r="D269" s="44">
        <v>23.05</v>
      </c>
      <c r="E269" s="44">
        <v>21.83</v>
      </c>
      <c r="F269">
        <v>2012</v>
      </c>
    </row>
    <row r="270" spans="1:6" ht="15" customHeight="1" x14ac:dyDescent="0.3">
      <c r="A270" s="42" t="s">
        <v>372</v>
      </c>
      <c r="B270" s="43">
        <v>41137</v>
      </c>
      <c r="C270" s="42" t="s">
        <v>28</v>
      </c>
      <c r="D270" s="44">
        <v>23.54</v>
      </c>
      <c r="E270" s="44">
        <v>22.54</v>
      </c>
      <c r="F270">
        <v>2012</v>
      </c>
    </row>
    <row r="271" spans="1:6" ht="15" customHeight="1" x14ac:dyDescent="0.3">
      <c r="A271" s="42" t="s">
        <v>373</v>
      </c>
      <c r="B271" s="43">
        <v>41150</v>
      </c>
      <c r="C271" s="42" t="s">
        <v>28</v>
      </c>
      <c r="D271" s="44">
        <v>23.83</v>
      </c>
      <c r="E271" s="44">
        <v>23.1</v>
      </c>
      <c r="F271">
        <v>2012</v>
      </c>
    </row>
    <row r="272" spans="1:6" ht="15" customHeight="1" x14ac:dyDescent="0.3">
      <c r="A272" s="42" t="s">
        <v>374</v>
      </c>
      <c r="B272" s="43">
        <v>41169</v>
      </c>
      <c r="C272" s="42" t="s">
        <v>28</v>
      </c>
      <c r="D272" s="44">
        <v>22.6</v>
      </c>
      <c r="E272" s="44">
        <v>22.52</v>
      </c>
      <c r="F272">
        <v>2012</v>
      </c>
    </row>
    <row r="273" spans="1:6" ht="15" customHeight="1" x14ac:dyDescent="0.3">
      <c r="A273" s="42" t="s">
        <v>375</v>
      </c>
      <c r="B273" s="43">
        <v>41185</v>
      </c>
      <c r="C273" s="42" t="s">
        <v>28</v>
      </c>
      <c r="D273" s="44">
        <v>19.420000000000002</v>
      </c>
      <c r="E273" s="44">
        <v>19.420000000000002</v>
      </c>
      <c r="F273">
        <v>2012</v>
      </c>
    </row>
    <row r="274" spans="1:6" ht="15" customHeight="1" x14ac:dyDescent="0.3">
      <c r="A274" s="42" t="s">
        <v>376</v>
      </c>
      <c r="B274" s="43">
        <v>41227</v>
      </c>
      <c r="C274" s="42" t="s">
        <v>28</v>
      </c>
      <c r="D274" s="44">
        <v>12.03</v>
      </c>
      <c r="E274" s="44">
        <v>12</v>
      </c>
      <c r="F274">
        <v>2012</v>
      </c>
    </row>
    <row r="275" spans="1:6" ht="15" customHeight="1" x14ac:dyDescent="0.3">
      <c r="A275" s="42" t="s">
        <v>377</v>
      </c>
      <c r="B275" s="43">
        <v>41247</v>
      </c>
      <c r="C275" s="42" t="s">
        <v>28</v>
      </c>
      <c r="D275" s="44">
        <v>7.43</v>
      </c>
      <c r="E275" s="44">
        <v>7.45</v>
      </c>
      <c r="F275">
        <v>2012</v>
      </c>
    </row>
    <row r="276" spans="1:6" ht="15" customHeight="1" x14ac:dyDescent="0.3">
      <c r="A276" s="42" t="s">
        <v>378</v>
      </c>
      <c r="B276" s="43">
        <v>41284</v>
      </c>
      <c r="C276" s="42" t="s">
        <v>28</v>
      </c>
      <c r="D276" s="44">
        <v>4.84</v>
      </c>
      <c r="E276" s="44">
        <v>4.9400000000000004</v>
      </c>
      <c r="F276">
        <v>2013</v>
      </c>
    </row>
    <row r="277" spans="1:6" ht="15" customHeight="1" x14ac:dyDescent="0.3">
      <c r="A277" s="42" t="s">
        <v>379</v>
      </c>
      <c r="B277" s="43">
        <v>41304</v>
      </c>
      <c r="C277" s="42" t="s">
        <v>28</v>
      </c>
      <c r="D277" s="46">
        <v>1.9</v>
      </c>
      <c r="E277" s="46">
        <v>1.92</v>
      </c>
      <c r="F277">
        <v>2013</v>
      </c>
    </row>
    <row r="278" spans="1:6" ht="15" customHeight="1" x14ac:dyDescent="0.3">
      <c r="A278" s="42" t="s">
        <v>381</v>
      </c>
      <c r="B278" s="43">
        <v>41344</v>
      </c>
      <c r="C278" s="42" t="s">
        <v>28</v>
      </c>
      <c r="D278" s="44">
        <v>3.05</v>
      </c>
      <c r="E278" s="44">
        <v>2.76</v>
      </c>
      <c r="F278">
        <v>2013</v>
      </c>
    </row>
    <row r="279" spans="1:6" ht="15" customHeight="1" x14ac:dyDescent="0.3">
      <c r="A279" s="42" t="s">
        <v>382</v>
      </c>
      <c r="B279" s="43">
        <v>41368</v>
      </c>
      <c r="C279" s="42" t="s">
        <v>28</v>
      </c>
      <c r="D279" s="44">
        <v>4.42</v>
      </c>
      <c r="E279" s="44">
        <v>4.09</v>
      </c>
      <c r="F279">
        <v>2013</v>
      </c>
    </row>
    <row r="280" spans="1:6" ht="15" customHeight="1" x14ac:dyDescent="0.3">
      <c r="A280" s="42" t="s">
        <v>383</v>
      </c>
      <c r="B280" s="43">
        <v>41395</v>
      </c>
      <c r="C280" s="42" t="s">
        <v>28</v>
      </c>
      <c r="D280" s="44">
        <v>10.8</v>
      </c>
      <c r="E280" s="44">
        <v>9.9700000000000006</v>
      </c>
      <c r="F280">
        <v>2013</v>
      </c>
    </row>
    <row r="281" spans="1:6" ht="15" customHeight="1" x14ac:dyDescent="0.3">
      <c r="A281" s="42" t="s">
        <v>384</v>
      </c>
      <c r="B281" s="43">
        <v>41430</v>
      </c>
      <c r="C281" s="42" t="s">
        <v>28</v>
      </c>
      <c r="D281" s="44">
        <v>15.95</v>
      </c>
      <c r="E281" s="44">
        <v>12.3</v>
      </c>
      <c r="F281">
        <v>2013</v>
      </c>
    </row>
    <row r="282" spans="1:6" ht="15" customHeight="1" x14ac:dyDescent="0.3">
      <c r="A282" s="42" t="s">
        <v>385</v>
      </c>
      <c r="B282" s="43">
        <v>41446</v>
      </c>
      <c r="C282" s="42" t="s">
        <v>28</v>
      </c>
      <c r="D282" s="44">
        <v>19.760000000000002</v>
      </c>
      <c r="E282" s="44">
        <v>17.61</v>
      </c>
      <c r="F282">
        <v>2013</v>
      </c>
    </row>
    <row r="283" spans="1:6" ht="15" customHeight="1" x14ac:dyDescent="0.3">
      <c r="A283" s="42" t="s">
        <v>386</v>
      </c>
      <c r="B283" s="43">
        <v>41457</v>
      </c>
      <c r="C283" s="42" t="s">
        <v>28</v>
      </c>
      <c r="D283" s="44">
        <v>20.420000000000002</v>
      </c>
      <c r="E283" s="44">
        <v>18.3</v>
      </c>
      <c r="F283">
        <v>2013</v>
      </c>
    </row>
    <row r="284" spans="1:6" ht="15" customHeight="1" x14ac:dyDescent="0.3">
      <c r="A284" s="42" t="s">
        <v>387</v>
      </c>
      <c r="B284" s="43">
        <v>41470</v>
      </c>
      <c r="C284" s="42" t="s">
        <v>28</v>
      </c>
      <c r="D284" s="44">
        <v>22.68</v>
      </c>
      <c r="E284" s="44">
        <v>20.88</v>
      </c>
      <c r="F284">
        <v>2013</v>
      </c>
    </row>
    <row r="285" spans="1:6" ht="15" customHeight="1" x14ac:dyDescent="0.3">
      <c r="A285" s="42" t="s">
        <v>388</v>
      </c>
      <c r="B285" s="43">
        <v>41486</v>
      </c>
      <c r="C285" s="42" t="s">
        <v>28</v>
      </c>
      <c r="D285" s="46">
        <v>22.61</v>
      </c>
      <c r="E285" s="46">
        <v>22.15</v>
      </c>
      <c r="F285">
        <v>2013</v>
      </c>
    </row>
    <row r="286" spans="1:6" ht="15" customHeight="1" x14ac:dyDescent="0.3">
      <c r="A286" s="42" t="s">
        <v>389</v>
      </c>
      <c r="B286" s="43">
        <v>41498</v>
      </c>
      <c r="C286" s="42" t="s">
        <v>28</v>
      </c>
      <c r="D286" s="44">
        <v>22.08</v>
      </c>
      <c r="E286" s="44">
        <v>21.81</v>
      </c>
      <c r="F286">
        <v>2013</v>
      </c>
    </row>
    <row r="287" spans="1:6" ht="15" customHeight="1" x14ac:dyDescent="0.3">
      <c r="A287" s="42" t="s">
        <v>390</v>
      </c>
      <c r="B287" s="43">
        <v>41514</v>
      </c>
      <c r="C287" s="42" t="s">
        <v>28</v>
      </c>
      <c r="D287" s="44">
        <v>22.57</v>
      </c>
      <c r="E287" s="44">
        <v>22.15</v>
      </c>
      <c r="F287">
        <v>2013</v>
      </c>
    </row>
    <row r="288" spans="1:6" ht="15" customHeight="1" x14ac:dyDescent="0.3">
      <c r="A288" s="42" t="s">
        <v>391</v>
      </c>
      <c r="B288" s="43">
        <v>41526</v>
      </c>
      <c r="C288" s="42" t="s">
        <v>28</v>
      </c>
      <c r="D288" s="44">
        <v>21.44</v>
      </c>
      <c r="E288" s="44">
        <v>21.44</v>
      </c>
      <c r="F288">
        <v>2013</v>
      </c>
    </row>
    <row r="289" spans="1:6" ht="15" customHeight="1" x14ac:dyDescent="0.3">
      <c r="A289" s="42" t="s">
        <v>392</v>
      </c>
      <c r="B289" s="43">
        <v>41549</v>
      </c>
      <c r="C289" s="42" t="s">
        <v>28</v>
      </c>
      <c r="D289" s="44">
        <v>19.84</v>
      </c>
      <c r="E289" s="44">
        <v>19.84</v>
      </c>
      <c r="F289">
        <v>2013</v>
      </c>
    </row>
    <row r="290" spans="1:6" ht="15" customHeight="1" x14ac:dyDescent="0.3">
      <c r="A290" s="42" t="s">
        <v>393</v>
      </c>
      <c r="B290" s="43">
        <v>41583</v>
      </c>
      <c r="C290" s="42" t="s">
        <v>28</v>
      </c>
      <c r="D290" s="44">
        <v>13.77</v>
      </c>
      <c r="E290" s="44">
        <v>13.76</v>
      </c>
      <c r="F290">
        <v>2013</v>
      </c>
    </row>
    <row r="291" spans="1:6" ht="15" customHeight="1" x14ac:dyDescent="0.3">
      <c r="A291" s="42" t="s">
        <v>394</v>
      </c>
      <c r="B291" s="43">
        <v>41611</v>
      </c>
      <c r="C291" s="42" t="s">
        <v>28</v>
      </c>
      <c r="D291" s="44">
        <v>7.91</v>
      </c>
      <c r="E291" s="44">
        <v>7.96</v>
      </c>
      <c r="F291">
        <v>2013</v>
      </c>
    </row>
    <row r="292" spans="1:6" ht="15" customHeight="1" x14ac:dyDescent="0.3">
      <c r="A292" s="42" t="s">
        <v>395</v>
      </c>
      <c r="B292" s="43">
        <v>41648</v>
      </c>
      <c r="C292" s="42" t="s">
        <v>28</v>
      </c>
      <c r="D292" s="44">
        <v>0.67</v>
      </c>
      <c r="E292" s="44">
        <v>0.66</v>
      </c>
      <c r="F292">
        <v>2014</v>
      </c>
    </row>
    <row r="293" spans="1:6" ht="15" customHeight="1" x14ac:dyDescent="0.3">
      <c r="A293" s="42" t="s">
        <v>396</v>
      </c>
      <c r="B293" s="43">
        <v>41676</v>
      </c>
      <c r="C293" s="42" t="s">
        <v>28</v>
      </c>
      <c r="D293" s="44">
        <v>-0.08</v>
      </c>
      <c r="E293" s="44">
        <v>0.11</v>
      </c>
      <c r="F293">
        <v>2014</v>
      </c>
    </row>
    <row r="294" spans="1:6" ht="15" customHeight="1" x14ac:dyDescent="0.3">
      <c r="A294" s="42" t="s">
        <v>398</v>
      </c>
      <c r="B294" s="43">
        <v>41703</v>
      </c>
      <c r="C294" s="42" t="s">
        <v>28</v>
      </c>
      <c r="D294" s="44">
        <v>-0.49</v>
      </c>
      <c r="E294" s="44">
        <v>-0.49</v>
      </c>
      <c r="F294">
        <v>2014</v>
      </c>
    </row>
    <row r="295" spans="1:6" ht="15" customHeight="1" x14ac:dyDescent="0.3">
      <c r="A295" s="42" t="s">
        <v>399</v>
      </c>
      <c r="B295" s="43">
        <v>41731</v>
      </c>
      <c r="C295" s="42" t="s">
        <v>28</v>
      </c>
      <c r="D295" s="44">
        <v>3.33</v>
      </c>
      <c r="E295" s="44">
        <v>2.87</v>
      </c>
      <c r="F295">
        <v>2014</v>
      </c>
    </row>
    <row r="296" spans="1:6" ht="15" customHeight="1" x14ac:dyDescent="0.3">
      <c r="A296" s="42" t="s">
        <v>400</v>
      </c>
      <c r="B296" s="43">
        <v>41766</v>
      </c>
      <c r="C296" s="42" t="s">
        <v>28</v>
      </c>
      <c r="D296" s="44">
        <v>8.69</v>
      </c>
      <c r="E296" s="44">
        <v>8.32</v>
      </c>
      <c r="F296">
        <v>2014</v>
      </c>
    </row>
    <row r="297" spans="1:6" ht="15" customHeight="1" x14ac:dyDescent="0.3">
      <c r="A297" s="42" t="s">
        <v>401</v>
      </c>
      <c r="B297" s="43">
        <v>41793</v>
      </c>
      <c r="C297" s="42" t="s">
        <v>28</v>
      </c>
      <c r="D297" s="44">
        <v>15.82</v>
      </c>
      <c r="E297" s="44">
        <v>14.43</v>
      </c>
      <c r="F297">
        <v>2014</v>
      </c>
    </row>
    <row r="298" spans="1:6" ht="15" customHeight="1" x14ac:dyDescent="0.3">
      <c r="A298" s="42" t="s">
        <v>402</v>
      </c>
      <c r="B298" s="43">
        <v>41809</v>
      </c>
      <c r="C298" s="42" t="s">
        <v>28</v>
      </c>
      <c r="D298" s="44">
        <v>18.32</v>
      </c>
      <c r="E298" s="44">
        <v>16.45</v>
      </c>
      <c r="F298">
        <v>2014</v>
      </c>
    </row>
    <row r="299" spans="1:6" ht="15" customHeight="1" x14ac:dyDescent="0.3">
      <c r="A299" s="42" t="s">
        <v>403</v>
      </c>
      <c r="B299" s="43">
        <v>41822</v>
      </c>
      <c r="C299" s="42" t="s">
        <v>28</v>
      </c>
      <c r="D299" s="44">
        <v>20.3</v>
      </c>
      <c r="E299" s="44">
        <v>17.329999999999998</v>
      </c>
      <c r="F299">
        <v>2014</v>
      </c>
    </row>
    <row r="300" spans="1:6" ht="15" customHeight="1" x14ac:dyDescent="0.3">
      <c r="A300" s="42" t="s">
        <v>404</v>
      </c>
      <c r="B300" s="43">
        <v>41834</v>
      </c>
      <c r="C300" s="42" t="s">
        <v>28</v>
      </c>
      <c r="D300" s="44">
        <v>19.600000000000001</v>
      </c>
      <c r="E300" s="44">
        <v>17.850000000000001</v>
      </c>
      <c r="F300">
        <v>2014</v>
      </c>
    </row>
    <row r="301" spans="1:6" ht="15" customHeight="1" x14ac:dyDescent="0.3">
      <c r="A301" s="42" t="s">
        <v>405</v>
      </c>
      <c r="B301" s="43">
        <v>41857</v>
      </c>
      <c r="C301" s="42" t="s">
        <v>28</v>
      </c>
      <c r="D301" s="44">
        <v>22.87</v>
      </c>
      <c r="E301" s="44">
        <v>22.62</v>
      </c>
      <c r="F301">
        <v>2014</v>
      </c>
    </row>
    <row r="302" spans="1:6" ht="15" customHeight="1" x14ac:dyDescent="0.3">
      <c r="A302" s="42" t="s">
        <v>406</v>
      </c>
      <c r="B302" s="43">
        <v>41870</v>
      </c>
      <c r="C302" s="42" t="s">
        <v>28</v>
      </c>
      <c r="D302" s="44">
        <v>21.72</v>
      </c>
      <c r="E302" s="44">
        <v>21.66</v>
      </c>
      <c r="F302">
        <v>2014</v>
      </c>
    </row>
    <row r="303" spans="1:6" ht="15" customHeight="1" x14ac:dyDescent="0.3">
      <c r="A303" s="42" t="s">
        <v>407</v>
      </c>
      <c r="B303" s="43">
        <v>41884</v>
      </c>
      <c r="C303" s="42" t="s">
        <v>28</v>
      </c>
      <c r="D303" s="44">
        <v>23.17</v>
      </c>
      <c r="E303" s="44">
        <v>22.67</v>
      </c>
      <c r="F303">
        <v>2014</v>
      </c>
    </row>
    <row r="304" spans="1:6" ht="15" customHeight="1" x14ac:dyDescent="0.3">
      <c r="A304" s="42" t="s">
        <v>408</v>
      </c>
      <c r="B304" s="43">
        <v>41897</v>
      </c>
      <c r="C304" s="42" t="s">
        <v>28</v>
      </c>
      <c r="D304" s="44">
        <v>21.43</v>
      </c>
      <c r="E304" s="44">
        <v>21.22</v>
      </c>
      <c r="F304">
        <v>2014</v>
      </c>
    </row>
    <row r="305" spans="1:6" ht="15" customHeight="1" x14ac:dyDescent="0.3">
      <c r="A305" s="42" t="s">
        <v>409</v>
      </c>
      <c r="B305" s="43">
        <v>41913</v>
      </c>
      <c r="C305" s="42" t="s">
        <v>28</v>
      </c>
      <c r="D305" s="46">
        <v>20.22</v>
      </c>
      <c r="E305" s="44">
        <v>20.239999999999998</v>
      </c>
      <c r="F305">
        <v>2014</v>
      </c>
    </row>
    <row r="306" spans="1:6" ht="15" customHeight="1" x14ac:dyDescent="0.3">
      <c r="A306" s="42" t="s">
        <v>410</v>
      </c>
      <c r="B306" s="43">
        <v>41953</v>
      </c>
      <c r="C306" s="42" t="s">
        <v>28</v>
      </c>
      <c r="D306" s="44">
        <v>11.75</v>
      </c>
      <c r="E306" s="44">
        <v>11.77</v>
      </c>
      <c r="F306">
        <v>2014</v>
      </c>
    </row>
    <row r="307" spans="1:6" ht="15" customHeight="1" x14ac:dyDescent="0.3">
      <c r="A307" s="42" t="s">
        <v>411</v>
      </c>
      <c r="B307" s="43">
        <v>41983</v>
      </c>
      <c r="C307" s="42" t="s">
        <v>28</v>
      </c>
      <c r="D307" s="44">
        <v>7.22</v>
      </c>
      <c r="E307" s="44">
        <v>7.27</v>
      </c>
      <c r="F307">
        <v>2014</v>
      </c>
    </row>
    <row r="308" spans="1:6" ht="15" customHeight="1" x14ac:dyDescent="0.3">
      <c r="A308" s="42" t="s">
        <v>412</v>
      </c>
      <c r="B308" s="43">
        <v>42018</v>
      </c>
      <c r="C308" s="42" t="s">
        <v>28</v>
      </c>
      <c r="D308" s="44">
        <v>1.6</v>
      </c>
      <c r="E308" s="44">
        <v>1.83</v>
      </c>
      <c r="F308">
        <v>2015</v>
      </c>
    </row>
    <row r="309" spans="1:6" ht="15" customHeight="1" x14ac:dyDescent="0.3">
      <c r="A309" s="42" t="s">
        <v>413</v>
      </c>
      <c r="B309" s="43">
        <v>42045</v>
      </c>
      <c r="C309" s="42" t="s">
        <v>28</v>
      </c>
      <c r="D309" s="44">
        <v>7.0000000000000007E-2</v>
      </c>
      <c r="E309" s="44">
        <v>0.06</v>
      </c>
      <c r="F309">
        <v>2015</v>
      </c>
    </row>
    <row r="310" spans="1:6" ht="15" customHeight="1" x14ac:dyDescent="0.3">
      <c r="A310" s="42" t="s">
        <v>414</v>
      </c>
      <c r="B310" s="43">
        <v>42073</v>
      </c>
      <c r="C310" s="42" t="s">
        <v>28</v>
      </c>
      <c r="D310" s="44">
        <v>-0.38</v>
      </c>
      <c r="E310" s="44">
        <v>-0.39</v>
      </c>
      <c r="F310">
        <v>2015</v>
      </c>
    </row>
    <row r="311" spans="1:6" ht="15" customHeight="1" x14ac:dyDescent="0.3">
      <c r="A311" s="42" t="s">
        <v>416</v>
      </c>
      <c r="B311" s="43">
        <v>42095</v>
      </c>
      <c r="C311" s="42" t="s">
        <v>28</v>
      </c>
      <c r="D311" s="44">
        <v>1.1499999999999999</v>
      </c>
      <c r="E311" s="44">
        <v>0.9</v>
      </c>
      <c r="F311">
        <v>2015</v>
      </c>
    </row>
    <row r="312" spans="1:6" ht="15" customHeight="1" x14ac:dyDescent="0.3">
      <c r="A312" s="42" t="s">
        <v>417</v>
      </c>
      <c r="B312" s="43">
        <v>42125</v>
      </c>
      <c r="C312" s="42" t="s">
        <v>28</v>
      </c>
      <c r="D312" s="44">
        <v>7.42</v>
      </c>
      <c r="E312" s="44">
        <v>7.41</v>
      </c>
      <c r="F312">
        <v>2015</v>
      </c>
    </row>
    <row r="313" spans="1:6" ht="15" customHeight="1" x14ac:dyDescent="0.3">
      <c r="A313" s="42" t="s">
        <v>418</v>
      </c>
      <c r="B313" s="43">
        <v>42153</v>
      </c>
      <c r="C313" s="42" t="s">
        <v>28</v>
      </c>
      <c r="D313" s="44">
        <v>15.51</v>
      </c>
      <c r="E313" s="44">
        <v>10.029999999999999</v>
      </c>
      <c r="F313">
        <v>2015</v>
      </c>
    </row>
    <row r="314" spans="1:6" ht="15" customHeight="1" x14ac:dyDescent="0.3">
      <c r="A314" s="42" t="s">
        <v>419</v>
      </c>
      <c r="B314" s="43">
        <v>42173</v>
      </c>
      <c r="C314" s="42" t="s">
        <v>28</v>
      </c>
      <c r="D314" s="44">
        <v>17.940000000000001</v>
      </c>
      <c r="E314" s="44">
        <v>15.83</v>
      </c>
      <c r="F314">
        <v>2015</v>
      </c>
    </row>
    <row r="315" spans="1:6" ht="15" customHeight="1" x14ac:dyDescent="0.3">
      <c r="A315" s="42" t="s">
        <v>420</v>
      </c>
      <c r="B315" s="43">
        <v>42192</v>
      </c>
      <c r="C315" s="42" t="s">
        <v>28</v>
      </c>
      <c r="D315" s="44">
        <v>20.99</v>
      </c>
      <c r="E315" s="44">
        <v>19.829999999999998</v>
      </c>
      <c r="F315">
        <v>2015</v>
      </c>
    </row>
    <row r="316" spans="1:6" ht="15" customHeight="1" x14ac:dyDescent="0.3">
      <c r="A316" s="42" t="s">
        <v>421</v>
      </c>
      <c r="B316" s="43">
        <v>42205</v>
      </c>
      <c r="C316" s="42" t="s">
        <v>28</v>
      </c>
      <c r="D316" s="44">
        <v>21.38</v>
      </c>
      <c r="E316" s="44">
        <v>20.38</v>
      </c>
      <c r="F316">
        <v>2015</v>
      </c>
    </row>
    <row r="317" spans="1:6" ht="15" customHeight="1" x14ac:dyDescent="0.3">
      <c r="A317" s="42" t="s">
        <v>422</v>
      </c>
      <c r="B317" s="43">
        <v>42220</v>
      </c>
      <c r="C317" s="42" t="s">
        <v>28</v>
      </c>
      <c r="D317" s="44">
        <v>21.84</v>
      </c>
      <c r="E317" s="44">
        <v>20.88</v>
      </c>
      <c r="F317">
        <v>2015</v>
      </c>
    </row>
    <row r="318" spans="1:6" ht="15" customHeight="1" x14ac:dyDescent="0.3">
      <c r="A318" s="42" t="s">
        <v>423</v>
      </c>
      <c r="B318" s="43">
        <v>42233</v>
      </c>
      <c r="C318" s="42" t="s">
        <v>28</v>
      </c>
      <c r="D318" s="44">
        <v>23.75</v>
      </c>
      <c r="E318" s="44">
        <v>22.66</v>
      </c>
      <c r="F318">
        <v>2015</v>
      </c>
    </row>
    <row r="319" spans="1:6" ht="15" customHeight="1" x14ac:dyDescent="0.3">
      <c r="A319" s="42" t="s">
        <v>424</v>
      </c>
      <c r="B319" s="43">
        <v>42248</v>
      </c>
      <c r="C319" s="42" t="s">
        <v>28</v>
      </c>
      <c r="D319" s="44">
        <v>23.6</v>
      </c>
      <c r="E319" s="44">
        <v>23.36</v>
      </c>
      <c r="F319">
        <v>2015</v>
      </c>
    </row>
    <row r="320" spans="1:6" ht="15" customHeight="1" x14ac:dyDescent="0.3">
      <c r="A320" s="42" t="s">
        <v>425</v>
      </c>
      <c r="B320" s="43">
        <v>42263</v>
      </c>
      <c r="C320" s="42" t="s">
        <v>28</v>
      </c>
      <c r="D320" s="44">
        <v>22.47</v>
      </c>
      <c r="E320" s="44">
        <v>22.43</v>
      </c>
      <c r="F320">
        <v>2015</v>
      </c>
    </row>
    <row r="321" spans="1:6" ht="15" customHeight="1" x14ac:dyDescent="0.3">
      <c r="A321" s="42" t="s">
        <v>426</v>
      </c>
      <c r="B321" s="43">
        <v>42285</v>
      </c>
      <c r="C321" s="42" t="s">
        <v>28</v>
      </c>
      <c r="D321" s="46">
        <v>18.73</v>
      </c>
      <c r="E321" s="46">
        <v>18.68</v>
      </c>
      <c r="F321">
        <v>2015</v>
      </c>
    </row>
    <row r="322" spans="1:6" ht="15" customHeight="1" x14ac:dyDescent="0.3">
      <c r="A322" s="42" t="s">
        <v>427</v>
      </c>
      <c r="B322" s="43">
        <v>42317</v>
      </c>
      <c r="C322" s="42" t="s">
        <v>28</v>
      </c>
      <c r="D322" s="44">
        <v>15.02</v>
      </c>
      <c r="E322" s="44">
        <v>15.01</v>
      </c>
      <c r="F322">
        <v>2015</v>
      </c>
    </row>
    <row r="323" spans="1:6" ht="15" customHeight="1" x14ac:dyDescent="0.3">
      <c r="A323" s="42" t="s">
        <v>428</v>
      </c>
      <c r="B323" s="43">
        <v>42338</v>
      </c>
      <c r="C323" s="42" t="s">
        <v>28</v>
      </c>
      <c r="D323" s="44">
        <v>9.98</v>
      </c>
      <c r="E323" s="44">
        <v>9.98</v>
      </c>
      <c r="F323">
        <v>2015</v>
      </c>
    </row>
    <row r="324" spans="1:6" ht="15" customHeight="1" x14ac:dyDescent="0.3">
      <c r="A324" s="42" t="s">
        <v>429</v>
      </c>
      <c r="B324" s="43">
        <v>42381</v>
      </c>
      <c r="C324" s="42" t="s">
        <v>28</v>
      </c>
      <c r="D324" s="44">
        <v>4.96</v>
      </c>
      <c r="E324" s="44">
        <v>5.77</v>
      </c>
      <c r="F324">
        <v>2016</v>
      </c>
    </row>
    <row r="325" spans="1:6" ht="15" customHeight="1" x14ac:dyDescent="0.3">
      <c r="A325" s="42" t="s">
        <v>430</v>
      </c>
      <c r="B325" s="43">
        <v>42401</v>
      </c>
      <c r="C325" s="42" t="s">
        <v>28</v>
      </c>
      <c r="D325" s="44">
        <v>3.25</v>
      </c>
      <c r="E325" s="44">
        <v>3.25</v>
      </c>
      <c r="F325">
        <v>2016</v>
      </c>
    </row>
    <row r="326" spans="1:6" ht="15" customHeight="1" x14ac:dyDescent="0.3">
      <c r="A326" s="42" t="s">
        <v>432</v>
      </c>
      <c r="B326" s="43">
        <v>42437</v>
      </c>
      <c r="C326" s="42" t="s">
        <v>28</v>
      </c>
      <c r="D326" s="44">
        <v>3.86</v>
      </c>
      <c r="E326" s="44">
        <v>3.34</v>
      </c>
      <c r="F326">
        <v>2016</v>
      </c>
    </row>
    <row r="327" spans="1:6" ht="15" customHeight="1" x14ac:dyDescent="0.3">
      <c r="A327" s="42" t="s">
        <v>434</v>
      </c>
      <c r="B327" s="43">
        <v>42464</v>
      </c>
      <c r="C327" s="42" t="s">
        <v>28</v>
      </c>
      <c r="D327" s="44">
        <v>6.53</v>
      </c>
      <c r="E327" s="44">
        <v>6.5</v>
      </c>
      <c r="F327">
        <v>2016</v>
      </c>
    </row>
    <row r="328" spans="1:6" ht="15" customHeight="1" x14ac:dyDescent="0.3">
      <c r="A328" s="42" t="s">
        <v>435</v>
      </c>
      <c r="B328" s="43">
        <v>42502</v>
      </c>
      <c r="C328" s="42" t="s">
        <v>28</v>
      </c>
      <c r="D328" s="44">
        <v>11.43</v>
      </c>
      <c r="E328" s="44">
        <v>10.93</v>
      </c>
      <c r="F328">
        <v>2016</v>
      </c>
    </row>
    <row r="329" spans="1:6" ht="15" customHeight="1" x14ac:dyDescent="0.3">
      <c r="A329" s="42" t="s">
        <v>436</v>
      </c>
      <c r="B329" s="43">
        <v>42531</v>
      </c>
      <c r="C329" s="42" t="s">
        <v>28</v>
      </c>
      <c r="D329" s="44">
        <v>13.87</v>
      </c>
      <c r="E329" s="44">
        <v>13.84</v>
      </c>
      <c r="F329">
        <v>2016</v>
      </c>
    </row>
    <row r="330" spans="1:6" ht="15" customHeight="1" x14ac:dyDescent="0.3">
      <c r="A330" s="42" t="s">
        <v>437</v>
      </c>
      <c r="B330" s="43">
        <v>42541</v>
      </c>
      <c r="C330" s="42" t="s">
        <v>28</v>
      </c>
      <c r="D330" s="46">
        <v>18.5</v>
      </c>
      <c r="E330" s="44">
        <v>16.27</v>
      </c>
      <c r="F330">
        <v>2016</v>
      </c>
    </row>
    <row r="331" spans="1:6" ht="15" customHeight="1" x14ac:dyDescent="0.3">
      <c r="A331" s="42" t="s">
        <v>438</v>
      </c>
      <c r="B331" s="43">
        <v>42557</v>
      </c>
      <c r="C331" s="42" t="s">
        <v>28</v>
      </c>
      <c r="D331" s="44">
        <v>18.16</v>
      </c>
      <c r="E331" s="44">
        <v>17.829999999999998</v>
      </c>
      <c r="F331">
        <v>2016</v>
      </c>
    </row>
    <row r="332" spans="1:6" ht="15" customHeight="1" x14ac:dyDescent="0.3">
      <c r="A332" s="42" t="s">
        <v>439</v>
      </c>
      <c r="B332" s="43">
        <v>42570</v>
      </c>
      <c r="C332" s="42" t="s">
        <v>28</v>
      </c>
      <c r="D332" s="44">
        <v>20.97</v>
      </c>
      <c r="E332" s="44">
        <v>18.43</v>
      </c>
      <c r="F332">
        <v>2016</v>
      </c>
    </row>
    <row r="333" spans="1:6" ht="15" customHeight="1" x14ac:dyDescent="0.3">
      <c r="A333" s="42" t="s">
        <v>440</v>
      </c>
      <c r="B333" s="43">
        <v>42586</v>
      </c>
      <c r="C333" s="42" t="s">
        <v>28</v>
      </c>
      <c r="D333" s="44">
        <v>23.71</v>
      </c>
      <c r="E333" s="44">
        <v>23.08</v>
      </c>
      <c r="F333">
        <v>2016</v>
      </c>
    </row>
    <row r="334" spans="1:6" ht="15" customHeight="1" x14ac:dyDescent="0.3">
      <c r="A334" s="42" t="s">
        <v>441</v>
      </c>
      <c r="B334" s="43">
        <v>42600</v>
      </c>
      <c r="C334" s="42" t="s">
        <v>28</v>
      </c>
      <c r="D334" s="44">
        <v>22.34</v>
      </c>
      <c r="E334" s="44">
        <v>21.71</v>
      </c>
      <c r="F334">
        <v>2016</v>
      </c>
    </row>
    <row r="335" spans="1:6" ht="15" customHeight="1" x14ac:dyDescent="0.3">
      <c r="A335" s="42" t="s">
        <v>442</v>
      </c>
      <c r="B335" s="43">
        <v>42612</v>
      </c>
      <c r="C335" s="42" t="s">
        <v>28</v>
      </c>
      <c r="D335" s="44">
        <v>24.15</v>
      </c>
      <c r="E335" s="44">
        <v>23.43</v>
      </c>
      <c r="F335">
        <v>2016</v>
      </c>
    </row>
    <row r="336" spans="1:6" ht="15" customHeight="1" x14ac:dyDescent="0.3">
      <c r="A336" s="42" t="s">
        <v>443</v>
      </c>
      <c r="B336" s="43">
        <v>42626</v>
      </c>
      <c r="C336" s="42" t="s">
        <v>28</v>
      </c>
      <c r="D336" s="44">
        <v>23.54</v>
      </c>
      <c r="E336" s="44">
        <v>23.52</v>
      </c>
      <c r="F336">
        <v>2016</v>
      </c>
    </row>
    <row r="337" spans="1:6" ht="15" customHeight="1" x14ac:dyDescent="0.3">
      <c r="A337" s="42" t="s">
        <v>444</v>
      </c>
      <c r="B337" s="43">
        <v>42647</v>
      </c>
      <c r="C337" s="42" t="s">
        <v>28</v>
      </c>
      <c r="D337" s="44">
        <v>19.22</v>
      </c>
      <c r="E337" s="44">
        <v>19.239999999999998</v>
      </c>
      <c r="F337">
        <v>2016</v>
      </c>
    </row>
    <row r="338" spans="1:6" ht="15" customHeight="1" x14ac:dyDescent="0.3">
      <c r="A338" s="42" t="s">
        <v>445</v>
      </c>
      <c r="B338" s="43">
        <v>42683</v>
      </c>
      <c r="C338" s="42" t="s">
        <v>28</v>
      </c>
      <c r="D338" s="44">
        <v>13.92</v>
      </c>
      <c r="E338" s="44">
        <v>13.66</v>
      </c>
      <c r="F338">
        <v>2016</v>
      </c>
    </row>
    <row r="339" spans="1:6" ht="15" customHeight="1" x14ac:dyDescent="0.3">
      <c r="A339" s="42" t="s">
        <v>446</v>
      </c>
      <c r="B339" s="43">
        <v>42709</v>
      </c>
      <c r="C339" s="42" t="s">
        <v>28</v>
      </c>
      <c r="D339" s="44">
        <v>9</v>
      </c>
      <c r="E339" s="44">
        <v>9.01</v>
      </c>
      <c r="F339">
        <v>2016</v>
      </c>
    </row>
    <row r="340" spans="1:6" ht="15" customHeight="1" x14ac:dyDescent="0.3">
      <c r="A340" s="42" t="s">
        <v>447</v>
      </c>
      <c r="B340" s="43">
        <v>42745</v>
      </c>
      <c r="C340" s="42" t="s">
        <v>28</v>
      </c>
      <c r="D340" s="44">
        <v>3.08</v>
      </c>
      <c r="E340" s="44">
        <v>3.19</v>
      </c>
      <c r="F340">
        <v>2017</v>
      </c>
    </row>
    <row r="341" spans="1:6" ht="15" customHeight="1" x14ac:dyDescent="0.3">
      <c r="A341" s="42" t="s">
        <v>448</v>
      </c>
      <c r="B341" s="43">
        <v>42774</v>
      </c>
      <c r="C341" s="42" t="s">
        <v>28</v>
      </c>
      <c r="D341" s="44">
        <v>3.31</v>
      </c>
      <c r="E341" s="44">
        <v>3.3</v>
      </c>
      <c r="F341">
        <v>2017</v>
      </c>
    </row>
    <row r="342" spans="1:6" ht="15" customHeight="1" x14ac:dyDescent="0.3">
      <c r="A342" s="42" t="s">
        <v>450</v>
      </c>
      <c r="B342" s="43">
        <v>42801</v>
      </c>
      <c r="C342" s="42" t="s">
        <v>28</v>
      </c>
      <c r="D342" s="44">
        <v>2.87</v>
      </c>
      <c r="E342" s="44">
        <v>2.9</v>
      </c>
      <c r="F342">
        <v>2017</v>
      </c>
    </row>
    <row r="343" spans="1:6" ht="15" customHeight="1" x14ac:dyDescent="0.3">
      <c r="A343" s="42" t="s">
        <v>451</v>
      </c>
      <c r="B343" s="43">
        <v>42829</v>
      </c>
      <c r="C343" s="42" t="s">
        <v>28</v>
      </c>
      <c r="D343" s="44">
        <v>5.0599999999999996</v>
      </c>
      <c r="E343" s="44">
        <v>5.0599999999999996</v>
      </c>
      <c r="F343">
        <v>2017</v>
      </c>
    </row>
    <row r="344" spans="1:6" ht="15" customHeight="1" x14ac:dyDescent="0.3">
      <c r="A344" s="42" t="s">
        <v>452</v>
      </c>
      <c r="B344" s="43">
        <v>42858</v>
      </c>
      <c r="C344" s="42" t="s">
        <v>28</v>
      </c>
      <c r="D344" s="44">
        <v>10.62</v>
      </c>
      <c r="E344" s="44">
        <v>10.16</v>
      </c>
      <c r="F344">
        <v>2017</v>
      </c>
    </row>
    <row r="345" spans="1:6" ht="15" customHeight="1" x14ac:dyDescent="0.3">
      <c r="A345" s="42" t="s">
        <v>453</v>
      </c>
      <c r="B345" s="43">
        <v>42892</v>
      </c>
      <c r="C345" s="42" t="s">
        <v>28</v>
      </c>
      <c r="D345" s="44">
        <v>15.17</v>
      </c>
      <c r="E345" s="44">
        <v>15.05</v>
      </c>
      <c r="F345">
        <v>2017</v>
      </c>
    </row>
    <row r="346" spans="1:6" ht="15" customHeight="1" x14ac:dyDescent="0.3">
      <c r="A346" s="42" t="s">
        <v>454</v>
      </c>
      <c r="B346" s="43">
        <v>42907</v>
      </c>
      <c r="C346" s="42" t="s">
        <v>28</v>
      </c>
      <c r="D346" s="44">
        <v>17.82</v>
      </c>
      <c r="E346" s="44">
        <v>15.64</v>
      </c>
      <c r="F346">
        <v>2017</v>
      </c>
    </row>
    <row r="347" spans="1:6" ht="15" customHeight="1" x14ac:dyDescent="0.3">
      <c r="A347" s="42" t="s">
        <v>455</v>
      </c>
      <c r="B347" s="43">
        <v>42922</v>
      </c>
      <c r="C347" s="42" t="s">
        <v>28</v>
      </c>
      <c r="D347" s="44">
        <v>22.21</v>
      </c>
      <c r="E347" s="44">
        <v>21.52</v>
      </c>
      <c r="F347">
        <v>2017</v>
      </c>
    </row>
    <row r="348" spans="1:6" ht="15" customHeight="1" x14ac:dyDescent="0.3">
      <c r="A348" s="42" t="s">
        <v>456</v>
      </c>
      <c r="B348" s="43">
        <v>42934</v>
      </c>
      <c r="C348" s="42" t="s">
        <v>28</v>
      </c>
      <c r="D348" s="44">
        <v>23.03</v>
      </c>
      <c r="E348" s="44">
        <v>21.79</v>
      </c>
      <c r="F348">
        <v>2017</v>
      </c>
    </row>
    <row r="349" spans="1:6" ht="15" customHeight="1" x14ac:dyDescent="0.3">
      <c r="A349" s="42" t="s">
        <v>457</v>
      </c>
      <c r="B349" s="43">
        <v>42948</v>
      </c>
      <c r="C349" s="42" t="s">
        <v>28</v>
      </c>
      <c r="D349" s="44">
        <v>22.58</v>
      </c>
      <c r="E349" s="44">
        <v>21.78</v>
      </c>
      <c r="F349">
        <v>2017</v>
      </c>
    </row>
    <row r="350" spans="1:6" ht="15" customHeight="1" x14ac:dyDescent="0.3">
      <c r="A350" s="42" t="s">
        <v>458</v>
      </c>
      <c r="B350" s="43">
        <v>42962</v>
      </c>
      <c r="C350" s="42" t="s">
        <v>28</v>
      </c>
      <c r="D350" s="44">
        <v>23.22</v>
      </c>
      <c r="E350" s="44">
        <v>22.29</v>
      </c>
      <c r="F350">
        <v>2017</v>
      </c>
    </row>
    <row r="351" spans="1:6" ht="15" customHeight="1" x14ac:dyDescent="0.3">
      <c r="A351" s="42" t="s">
        <v>459</v>
      </c>
      <c r="B351" s="43">
        <v>42975</v>
      </c>
      <c r="C351" s="42" t="s">
        <v>28</v>
      </c>
      <c r="D351" s="44">
        <v>22.51</v>
      </c>
      <c r="E351" s="44">
        <v>22.49</v>
      </c>
      <c r="F351">
        <v>2017</v>
      </c>
    </row>
    <row r="352" spans="1:6" ht="15" customHeight="1" x14ac:dyDescent="0.3">
      <c r="A352" s="42" t="s">
        <v>460</v>
      </c>
      <c r="B352" s="43">
        <v>43018</v>
      </c>
      <c r="C352" s="42" t="s">
        <v>28</v>
      </c>
      <c r="D352" s="44">
        <v>21.39</v>
      </c>
      <c r="E352" s="44">
        <v>21.38</v>
      </c>
      <c r="F352">
        <v>2017</v>
      </c>
    </row>
    <row r="353" spans="1:6" ht="15" customHeight="1" x14ac:dyDescent="0.3">
      <c r="A353" s="42" t="s">
        <v>461</v>
      </c>
      <c r="B353" s="43">
        <v>43052</v>
      </c>
      <c r="C353" s="42" t="s">
        <v>28</v>
      </c>
      <c r="D353" s="44">
        <v>12.77</v>
      </c>
      <c r="E353" s="44">
        <v>12.76</v>
      </c>
      <c r="F353">
        <v>2017</v>
      </c>
    </row>
    <row r="354" spans="1:6" ht="15" customHeight="1" x14ac:dyDescent="0.3">
      <c r="A354" s="42" t="s">
        <v>462</v>
      </c>
      <c r="B354" s="43">
        <v>43069</v>
      </c>
      <c r="C354" s="42" t="s">
        <v>28</v>
      </c>
      <c r="D354" s="44">
        <v>9.51</v>
      </c>
      <c r="E354" s="44">
        <v>9.57</v>
      </c>
      <c r="F354">
        <v>2017</v>
      </c>
    </row>
    <row r="355" spans="1:6" ht="15" customHeight="1" x14ac:dyDescent="0.3">
      <c r="A355" s="42" t="s">
        <v>463</v>
      </c>
      <c r="B355" s="43">
        <v>43111</v>
      </c>
      <c r="C355" s="42" t="s">
        <v>28</v>
      </c>
      <c r="D355" s="44">
        <v>1.1299999999999999</v>
      </c>
      <c r="E355" s="44">
        <v>1.1299999999999999</v>
      </c>
      <c r="F355">
        <v>2018</v>
      </c>
    </row>
    <row r="356" spans="1:6" ht="15" customHeight="1" x14ac:dyDescent="0.3">
      <c r="A356" s="42" t="s">
        <v>464</v>
      </c>
      <c r="B356" s="43">
        <v>43139</v>
      </c>
      <c r="C356" s="42" t="s">
        <v>28</v>
      </c>
      <c r="D356" s="44">
        <v>0.85</v>
      </c>
      <c r="E356" s="44">
        <v>1.02</v>
      </c>
      <c r="F356">
        <v>2018</v>
      </c>
    </row>
    <row r="357" spans="1:6" ht="15" customHeight="1" x14ac:dyDescent="0.3">
      <c r="A357" s="42" t="s">
        <v>466</v>
      </c>
      <c r="B357" s="43">
        <v>43178</v>
      </c>
      <c r="C357" s="42" t="s">
        <v>28</v>
      </c>
      <c r="D357" s="44">
        <v>2.96</v>
      </c>
      <c r="E357" s="44">
        <v>2.98</v>
      </c>
      <c r="F357">
        <v>2018</v>
      </c>
    </row>
    <row r="358" spans="1:6" ht="15" customHeight="1" x14ac:dyDescent="0.3">
      <c r="A358" s="42" t="s">
        <v>467</v>
      </c>
      <c r="B358" s="43">
        <v>43200</v>
      </c>
      <c r="C358" s="42" t="s">
        <v>28</v>
      </c>
      <c r="D358" s="44">
        <v>4.38</v>
      </c>
      <c r="E358" s="44">
        <v>4.3600000000000003</v>
      </c>
      <c r="F358">
        <v>2018</v>
      </c>
    </row>
    <row r="359" spans="1:6" ht="15" customHeight="1" x14ac:dyDescent="0.3">
      <c r="A359" s="42" t="s">
        <v>468</v>
      </c>
      <c r="B359" s="43">
        <v>43222</v>
      </c>
      <c r="C359" s="42" t="s">
        <v>28</v>
      </c>
      <c r="D359" s="44">
        <v>8.1</v>
      </c>
      <c r="E359" s="44">
        <v>7.2</v>
      </c>
      <c r="F359">
        <v>2018</v>
      </c>
    </row>
    <row r="360" spans="1:6" ht="15" customHeight="1" x14ac:dyDescent="0.3">
      <c r="A360" s="42" t="s">
        <v>469</v>
      </c>
      <c r="B360" s="43">
        <v>43256</v>
      </c>
      <c r="C360" s="42" t="s">
        <v>28</v>
      </c>
      <c r="D360" s="44">
        <v>15.8</v>
      </c>
      <c r="E360" s="44">
        <v>15.67</v>
      </c>
      <c r="F360">
        <v>2018</v>
      </c>
    </row>
    <row r="361" spans="1:6" ht="15" customHeight="1" x14ac:dyDescent="0.3">
      <c r="A361" s="42" t="s">
        <v>470</v>
      </c>
      <c r="B361" s="43">
        <v>43263</v>
      </c>
      <c r="C361" s="42" t="s">
        <v>28</v>
      </c>
      <c r="D361" s="44">
        <v>17</v>
      </c>
      <c r="E361" s="44">
        <v>16.420000000000002</v>
      </c>
      <c r="F361">
        <v>2018</v>
      </c>
    </row>
    <row r="362" spans="1:6" ht="15" customHeight="1" x14ac:dyDescent="0.3">
      <c r="A362" s="42" t="s">
        <v>471</v>
      </c>
      <c r="B362" s="43">
        <v>43286</v>
      </c>
      <c r="C362" s="42" t="s">
        <v>28</v>
      </c>
      <c r="D362" s="44">
        <v>20.9</v>
      </c>
      <c r="E362" s="44">
        <v>17.77</v>
      </c>
      <c r="F362">
        <v>2018</v>
      </c>
    </row>
    <row r="363" spans="1:6" ht="15" customHeight="1" x14ac:dyDescent="0.3">
      <c r="A363" s="42" t="s">
        <v>472</v>
      </c>
      <c r="B363" s="43">
        <v>43297</v>
      </c>
      <c r="C363" s="42" t="s">
        <v>28</v>
      </c>
      <c r="D363" s="44">
        <v>19.78</v>
      </c>
      <c r="E363" s="44">
        <v>19.059999999999999</v>
      </c>
      <c r="F363">
        <v>2018</v>
      </c>
    </row>
    <row r="364" spans="1:6" ht="15" customHeight="1" x14ac:dyDescent="0.3">
      <c r="A364" s="42" t="s">
        <v>473</v>
      </c>
      <c r="B364" s="43">
        <v>43313</v>
      </c>
      <c r="C364" s="42" t="s">
        <v>28</v>
      </c>
      <c r="D364" s="44">
        <v>24.1</v>
      </c>
      <c r="E364" s="44">
        <v>23.34</v>
      </c>
      <c r="F364">
        <v>2018</v>
      </c>
    </row>
    <row r="365" spans="1:6" ht="15" customHeight="1" x14ac:dyDescent="0.3">
      <c r="A365" s="42" t="s">
        <v>474</v>
      </c>
      <c r="B365" s="43">
        <v>43327</v>
      </c>
      <c r="C365" s="42" t="s">
        <v>28</v>
      </c>
      <c r="D365" s="44">
        <v>23.71</v>
      </c>
      <c r="E365" s="44">
        <v>22.82</v>
      </c>
      <c r="F365">
        <v>2018</v>
      </c>
    </row>
    <row r="366" spans="1:6" ht="15" customHeight="1" x14ac:dyDescent="0.3">
      <c r="A366" s="42" t="s">
        <v>475</v>
      </c>
      <c r="B366" s="43">
        <v>43339</v>
      </c>
      <c r="C366" s="42" t="s">
        <v>28</v>
      </c>
      <c r="D366" s="44">
        <v>23.31</v>
      </c>
      <c r="E366" s="44">
        <v>22.86</v>
      </c>
      <c r="F366">
        <v>2018</v>
      </c>
    </row>
    <row r="367" spans="1:6" ht="15" customHeight="1" x14ac:dyDescent="0.3">
      <c r="A367" s="42" t="s">
        <v>476</v>
      </c>
      <c r="B367" s="43">
        <v>43355</v>
      </c>
      <c r="C367" s="42" t="s">
        <v>28</v>
      </c>
      <c r="D367" s="44">
        <v>21.74</v>
      </c>
      <c r="E367" s="44">
        <v>21.73</v>
      </c>
      <c r="F367">
        <v>2018</v>
      </c>
    </row>
    <row r="368" spans="1:6" ht="15" customHeight="1" x14ac:dyDescent="0.3">
      <c r="A368" s="42" t="s">
        <v>477</v>
      </c>
      <c r="B368" s="43">
        <v>43376</v>
      </c>
      <c r="C368" s="42" t="s">
        <v>28</v>
      </c>
      <c r="D368" s="44">
        <v>20.96</v>
      </c>
      <c r="E368" s="44">
        <v>21.12</v>
      </c>
      <c r="F368">
        <v>2018</v>
      </c>
    </row>
    <row r="369" spans="1:6" ht="15" customHeight="1" x14ac:dyDescent="0.3">
      <c r="A369" s="42" t="s">
        <v>478</v>
      </c>
      <c r="B369" s="43">
        <v>43410</v>
      </c>
      <c r="C369" s="42" t="s">
        <v>28</v>
      </c>
      <c r="D369" s="44">
        <v>13.96</v>
      </c>
      <c r="E369" s="44">
        <v>14.14</v>
      </c>
      <c r="F369">
        <v>2018</v>
      </c>
    </row>
    <row r="370" spans="1:6" ht="15" customHeight="1" x14ac:dyDescent="0.3">
      <c r="A370" s="42" t="s">
        <v>479</v>
      </c>
      <c r="B370" s="43">
        <v>43437</v>
      </c>
      <c r="C370" s="42" t="s">
        <v>28</v>
      </c>
      <c r="D370" s="44">
        <v>8.41</v>
      </c>
      <c r="E370" s="44">
        <v>8.61</v>
      </c>
      <c r="F370">
        <v>2018</v>
      </c>
    </row>
    <row r="371" spans="1:6" ht="15" customHeight="1" x14ac:dyDescent="0.3">
      <c r="A371" s="42" t="s">
        <v>6</v>
      </c>
      <c r="B371" s="43">
        <v>43468</v>
      </c>
      <c r="C371" s="42" t="s">
        <v>28</v>
      </c>
      <c r="D371" s="44">
        <v>5.61</v>
      </c>
      <c r="E371" s="44">
        <v>5.65</v>
      </c>
      <c r="F371">
        <v>2019</v>
      </c>
    </row>
    <row r="372" spans="1:6" ht="15" customHeight="1" x14ac:dyDescent="0.3">
      <c r="A372" s="42" t="s">
        <v>7</v>
      </c>
      <c r="B372" s="43">
        <v>43503</v>
      </c>
      <c r="C372" s="42" t="s">
        <v>28</v>
      </c>
      <c r="D372" s="44">
        <v>2.2000000000000002</v>
      </c>
      <c r="E372" s="44">
        <v>2.16</v>
      </c>
      <c r="F372">
        <v>2019</v>
      </c>
    </row>
    <row r="373" spans="1:6" ht="15" customHeight="1" x14ac:dyDescent="0.3">
      <c r="A373" s="42" t="s">
        <v>9</v>
      </c>
      <c r="B373" s="43">
        <v>43529</v>
      </c>
      <c r="C373" s="42" t="s">
        <v>28</v>
      </c>
      <c r="D373" s="44">
        <v>1.65</v>
      </c>
      <c r="E373" s="44">
        <v>1.85</v>
      </c>
      <c r="F373">
        <v>2019</v>
      </c>
    </row>
    <row r="374" spans="1:6" ht="15" customHeight="1" x14ac:dyDescent="0.3">
      <c r="A374" s="42" t="s">
        <v>10</v>
      </c>
      <c r="B374" s="43">
        <v>43558</v>
      </c>
      <c r="C374" s="42" t="s">
        <v>28</v>
      </c>
      <c r="D374" s="44">
        <v>5.03</v>
      </c>
      <c r="E374" s="44">
        <v>5</v>
      </c>
      <c r="F374">
        <v>2019</v>
      </c>
    </row>
    <row r="375" spans="1:6" ht="15" customHeight="1" x14ac:dyDescent="0.3">
      <c r="A375" s="42" t="s">
        <v>11</v>
      </c>
      <c r="B375" s="43">
        <v>43592</v>
      </c>
      <c r="C375" s="42" t="s">
        <v>28</v>
      </c>
      <c r="D375" s="44">
        <v>11.56</v>
      </c>
      <c r="E375" s="44">
        <v>10.55</v>
      </c>
      <c r="F375">
        <v>2019</v>
      </c>
    </row>
    <row r="376" spans="1:6" ht="15" customHeight="1" x14ac:dyDescent="0.3">
      <c r="A376" s="42" t="s">
        <v>12</v>
      </c>
      <c r="B376" s="43">
        <v>43615</v>
      </c>
      <c r="C376" s="42" t="s">
        <v>28</v>
      </c>
      <c r="D376" s="44">
        <v>15.15</v>
      </c>
      <c r="E376" s="44">
        <v>14.51</v>
      </c>
      <c r="F376">
        <v>2019</v>
      </c>
    </row>
    <row r="377" spans="1:6" ht="15" customHeight="1" x14ac:dyDescent="0.3">
      <c r="A377" s="42" t="s">
        <v>13</v>
      </c>
      <c r="B377" s="43">
        <v>43628</v>
      </c>
      <c r="C377" s="42" t="s">
        <v>28</v>
      </c>
      <c r="D377" s="44">
        <v>16.559999999999999</v>
      </c>
      <c r="E377" s="44">
        <v>16.41</v>
      </c>
      <c r="F377">
        <v>2019</v>
      </c>
    </row>
    <row r="378" spans="1:6" ht="15" customHeight="1" x14ac:dyDescent="0.3">
      <c r="A378" s="42" t="s">
        <v>14</v>
      </c>
      <c r="B378" s="43">
        <v>43648</v>
      </c>
      <c r="C378" s="42" t="s">
        <v>28</v>
      </c>
      <c r="D378" s="44">
        <v>16.32</v>
      </c>
      <c r="E378" s="44">
        <v>15.45</v>
      </c>
      <c r="F378">
        <v>2019</v>
      </c>
    </row>
    <row r="379" spans="1:6" ht="15" customHeight="1" x14ac:dyDescent="0.3">
      <c r="A379" s="42" t="s">
        <v>15</v>
      </c>
      <c r="B379" s="43">
        <v>43661</v>
      </c>
      <c r="C379" s="42" t="s">
        <v>28</v>
      </c>
      <c r="D379" s="44">
        <v>19.3</v>
      </c>
      <c r="E379" s="44">
        <v>17.16</v>
      </c>
      <c r="F379">
        <v>2019</v>
      </c>
    </row>
    <row r="380" spans="1:6" ht="15" customHeight="1" x14ac:dyDescent="0.3">
      <c r="A380" s="42" t="s">
        <v>16</v>
      </c>
      <c r="B380" s="43">
        <v>43676</v>
      </c>
      <c r="C380" s="42" t="s">
        <v>28</v>
      </c>
      <c r="D380" s="46">
        <v>21.77</v>
      </c>
      <c r="E380" s="46">
        <v>18.239999999999998</v>
      </c>
      <c r="F380">
        <v>2019</v>
      </c>
    </row>
    <row r="381" spans="1:6" ht="15" customHeight="1" x14ac:dyDescent="0.3">
      <c r="A381" s="42" t="s">
        <v>17</v>
      </c>
      <c r="B381" s="43">
        <v>43689</v>
      </c>
      <c r="C381" s="42" t="s">
        <v>28</v>
      </c>
      <c r="D381" s="44">
        <v>20.97</v>
      </c>
      <c r="E381" s="44">
        <v>20.52</v>
      </c>
      <c r="F381">
        <v>2019</v>
      </c>
    </row>
    <row r="382" spans="1:6" ht="15" customHeight="1" x14ac:dyDescent="0.3">
      <c r="A382" s="42" t="s">
        <v>18</v>
      </c>
      <c r="B382" s="43">
        <v>43705</v>
      </c>
      <c r="C382" s="42" t="s">
        <v>28</v>
      </c>
      <c r="D382" s="44">
        <v>22.53</v>
      </c>
      <c r="E382" s="44">
        <v>22.52</v>
      </c>
      <c r="F382">
        <v>2019</v>
      </c>
    </row>
    <row r="383" spans="1:6" ht="15" customHeight="1" x14ac:dyDescent="0.3">
      <c r="A383" s="42" t="s">
        <v>19</v>
      </c>
      <c r="B383" s="43">
        <v>43718</v>
      </c>
      <c r="C383" s="42" t="s">
        <v>28</v>
      </c>
      <c r="D383" s="44">
        <v>21.61</v>
      </c>
      <c r="E383" s="44">
        <v>21.62</v>
      </c>
      <c r="F383">
        <v>2019</v>
      </c>
    </row>
    <row r="384" spans="1:6" ht="15" customHeight="1" x14ac:dyDescent="0.3">
      <c r="A384" s="42" t="s">
        <v>39</v>
      </c>
      <c r="B384" s="43">
        <v>43739</v>
      </c>
      <c r="C384" s="42" t="s">
        <v>28</v>
      </c>
      <c r="D384" s="44">
        <v>20.99</v>
      </c>
      <c r="E384" s="44">
        <v>20.99</v>
      </c>
      <c r="F384">
        <v>2019</v>
      </c>
    </row>
    <row r="385" spans="1:6" ht="15" customHeight="1" x14ac:dyDescent="0.3">
      <c r="A385" s="42" t="s">
        <v>40</v>
      </c>
      <c r="B385" s="43">
        <v>43774</v>
      </c>
      <c r="C385" s="42" t="s">
        <v>28</v>
      </c>
      <c r="D385" s="44">
        <v>14.95</v>
      </c>
      <c r="E385" s="44">
        <v>14.98</v>
      </c>
      <c r="F385">
        <v>2019</v>
      </c>
    </row>
    <row r="386" spans="1:6" ht="15" customHeight="1" x14ac:dyDescent="0.3">
      <c r="A386" s="42" t="s">
        <v>41</v>
      </c>
      <c r="B386" s="43">
        <v>43804</v>
      </c>
      <c r="C386" s="42" t="s">
        <v>28</v>
      </c>
      <c r="D386" s="44">
        <v>6.09</v>
      </c>
      <c r="E386" s="44">
        <v>6.09</v>
      </c>
      <c r="F386">
        <v>2019</v>
      </c>
    </row>
    <row r="387" spans="1:6" ht="15" customHeight="1" x14ac:dyDescent="0.3">
      <c r="A387" s="42" t="s">
        <v>502</v>
      </c>
      <c r="B387" s="43">
        <v>43839</v>
      </c>
      <c r="C387" s="42" t="s">
        <v>28</v>
      </c>
      <c r="D387" s="44">
        <v>4.26</v>
      </c>
      <c r="E387" s="44">
        <v>4.3899999999999997</v>
      </c>
      <c r="F387">
        <v>2020</v>
      </c>
    </row>
    <row r="388" spans="1:6" ht="15" customHeight="1" x14ac:dyDescent="0.3">
      <c r="A388" s="42" t="s">
        <v>503</v>
      </c>
      <c r="B388" s="43">
        <v>43864</v>
      </c>
      <c r="C388" s="42" t="s">
        <v>28</v>
      </c>
      <c r="D388" s="45"/>
      <c r="E388" s="45"/>
      <c r="F388">
        <v>2020</v>
      </c>
    </row>
    <row r="389" spans="1:6" ht="15" customHeight="1" x14ac:dyDescent="0.3">
      <c r="A389" s="42" t="s">
        <v>504</v>
      </c>
      <c r="B389" s="43">
        <v>43900</v>
      </c>
      <c r="C389" s="42" t="s">
        <v>28</v>
      </c>
      <c r="D389" s="44">
        <v>4.82</v>
      </c>
      <c r="E389" s="44">
        <v>4.6399999999999997</v>
      </c>
      <c r="F389">
        <v>2020</v>
      </c>
    </row>
    <row r="390" spans="1:6" ht="15" customHeight="1" x14ac:dyDescent="0.3">
      <c r="A390" s="42" t="s">
        <v>510</v>
      </c>
      <c r="B390" s="43">
        <v>43999</v>
      </c>
      <c r="C390" s="42" t="s">
        <v>28</v>
      </c>
      <c r="D390" s="44">
        <v>17.920000000000002</v>
      </c>
      <c r="E390" s="44">
        <v>17.45</v>
      </c>
      <c r="F390">
        <v>2020</v>
      </c>
    </row>
    <row r="391" spans="1:6" ht="15" customHeight="1" x14ac:dyDescent="0.3">
      <c r="A391" s="42" t="s">
        <v>505</v>
      </c>
      <c r="B391" s="43">
        <v>44019</v>
      </c>
      <c r="C391" s="42" t="s">
        <v>28</v>
      </c>
      <c r="D391" s="44">
        <v>21.72</v>
      </c>
      <c r="E391" s="44">
        <v>18.829999999999998</v>
      </c>
      <c r="F391">
        <v>2020</v>
      </c>
    </row>
    <row r="392" spans="1:6" ht="15" customHeight="1" x14ac:dyDescent="0.3">
      <c r="A392" s="42" t="s">
        <v>511</v>
      </c>
      <c r="B392" s="43">
        <v>44032</v>
      </c>
      <c r="C392" s="42" t="s">
        <v>28</v>
      </c>
      <c r="D392" s="46">
        <v>22.53</v>
      </c>
      <c r="E392" s="44">
        <v>18.45</v>
      </c>
      <c r="F392">
        <v>2020</v>
      </c>
    </row>
    <row r="393" spans="1:6" ht="15" customHeight="1" x14ac:dyDescent="0.3">
      <c r="A393" s="42" t="s">
        <v>506</v>
      </c>
      <c r="B393" s="43">
        <v>44046</v>
      </c>
      <c r="C393" s="42" t="s">
        <v>28</v>
      </c>
      <c r="D393" s="44">
        <v>25.52</v>
      </c>
      <c r="E393" s="44">
        <v>19.7</v>
      </c>
      <c r="F393">
        <v>2020</v>
      </c>
    </row>
    <row r="394" spans="1:6" ht="15" customHeight="1" x14ac:dyDescent="0.3">
      <c r="A394" s="42" t="s">
        <v>512</v>
      </c>
      <c r="B394" s="43">
        <v>44075</v>
      </c>
      <c r="C394" s="42" t="s">
        <v>28</v>
      </c>
      <c r="D394" s="44">
        <v>23.1</v>
      </c>
      <c r="E394" s="44">
        <v>23.09</v>
      </c>
      <c r="F394">
        <v>2020</v>
      </c>
    </row>
    <row r="395" spans="1:6" ht="15" customHeight="1" x14ac:dyDescent="0.3">
      <c r="A395" s="42" t="s">
        <v>507</v>
      </c>
      <c r="B395" s="43">
        <v>44083</v>
      </c>
      <c r="C395" s="42" t="s">
        <v>28</v>
      </c>
      <c r="D395" s="44">
        <v>23.55</v>
      </c>
      <c r="E395" s="44">
        <v>23.5</v>
      </c>
      <c r="F395">
        <v>2020</v>
      </c>
    </row>
    <row r="396" spans="1:6" ht="15" customHeight="1" x14ac:dyDescent="0.3">
      <c r="A396" s="42" t="s">
        <v>508</v>
      </c>
      <c r="B396" s="43">
        <v>44118</v>
      </c>
      <c r="C396" s="42" t="s">
        <v>28</v>
      </c>
      <c r="D396" s="44">
        <v>17.600000000000001</v>
      </c>
      <c r="E396" s="44">
        <v>17.579999999999998</v>
      </c>
      <c r="F396">
        <v>2020</v>
      </c>
    </row>
    <row r="397" spans="1:6" ht="15" customHeight="1" x14ac:dyDescent="0.3">
      <c r="A397" s="42" t="s">
        <v>509</v>
      </c>
      <c r="B397" s="43">
        <v>44139</v>
      </c>
      <c r="C397" s="42" t="s">
        <v>28</v>
      </c>
      <c r="D397" s="44">
        <v>12.28</v>
      </c>
      <c r="E397" s="44">
        <v>12.63</v>
      </c>
      <c r="F397">
        <v>2020</v>
      </c>
    </row>
    <row r="398" spans="1:6" ht="15" customHeight="1" x14ac:dyDescent="0.3">
      <c r="A398" s="58" t="s">
        <v>522</v>
      </c>
      <c r="B398" s="59">
        <v>44265</v>
      </c>
      <c r="C398" s="58" t="s">
        <v>28</v>
      </c>
      <c r="D398" s="60">
        <v>2.7</v>
      </c>
      <c r="E398" s="60">
        <v>2.37</v>
      </c>
      <c r="F398">
        <v>2021</v>
      </c>
    </row>
    <row r="399" spans="1:6" ht="15" customHeight="1" x14ac:dyDescent="0.3">
      <c r="A399" s="58" t="s">
        <v>523</v>
      </c>
      <c r="B399" s="59">
        <v>44293</v>
      </c>
      <c r="C399" s="58" t="s">
        <v>28</v>
      </c>
      <c r="D399" s="60">
        <v>6.13</v>
      </c>
      <c r="E399" s="60">
        <v>5.38</v>
      </c>
      <c r="F399">
        <v>2021</v>
      </c>
    </row>
    <row r="400" spans="1:6" ht="15" customHeight="1" x14ac:dyDescent="0.3">
      <c r="A400" s="58" t="s">
        <v>524</v>
      </c>
      <c r="B400" s="59">
        <v>44321</v>
      </c>
      <c r="C400" s="58" t="s">
        <v>28</v>
      </c>
      <c r="D400" s="60">
        <v>10.29</v>
      </c>
      <c r="E400" s="60">
        <v>9.9700000000000006</v>
      </c>
      <c r="F400">
        <v>2021</v>
      </c>
    </row>
    <row r="401" spans="1:6" ht="15" customHeight="1" x14ac:dyDescent="0.3">
      <c r="A401" s="58" t="s">
        <v>525</v>
      </c>
      <c r="B401" s="59">
        <v>44355</v>
      </c>
      <c r="C401" s="58" t="s">
        <v>28</v>
      </c>
      <c r="D401" s="60">
        <v>13.84</v>
      </c>
      <c r="E401" s="60">
        <v>12.7</v>
      </c>
      <c r="F401">
        <v>2021</v>
      </c>
    </row>
    <row r="402" spans="1:6" ht="15" customHeight="1" x14ac:dyDescent="0.3">
      <c r="A402" s="58" t="s">
        <v>526</v>
      </c>
      <c r="B402" s="59">
        <v>44369</v>
      </c>
      <c r="C402" s="58" t="s">
        <v>28</v>
      </c>
      <c r="D402" s="61"/>
      <c r="E402" s="60">
        <v>16.079999999999998</v>
      </c>
      <c r="F402">
        <v>2021</v>
      </c>
    </row>
    <row r="403" spans="1:6" ht="15" customHeight="1" x14ac:dyDescent="0.3">
      <c r="A403" s="58" t="s">
        <v>527</v>
      </c>
      <c r="B403" s="59">
        <v>44385</v>
      </c>
      <c r="C403" s="58" t="s">
        <v>28</v>
      </c>
      <c r="D403" s="60">
        <v>21.52</v>
      </c>
      <c r="E403" s="60">
        <v>17.89</v>
      </c>
      <c r="F403">
        <v>2021</v>
      </c>
    </row>
    <row r="404" spans="1:6" ht="15" customHeight="1" x14ac:dyDescent="0.3">
      <c r="A404" s="58" t="s">
        <v>528</v>
      </c>
      <c r="B404" s="59">
        <v>44396</v>
      </c>
      <c r="C404" s="58" t="s">
        <v>28</v>
      </c>
      <c r="D404" s="60">
        <v>22.73</v>
      </c>
      <c r="E404" s="60">
        <v>19.97</v>
      </c>
      <c r="F404">
        <v>2021</v>
      </c>
    </row>
    <row r="405" spans="1:6" ht="15" customHeight="1" x14ac:dyDescent="0.3">
      <c r="A405" s="58" t="s">
        <v>529</v>
      </c>
      <c r="B405" s="59">
        <v>44411</v>
      </c>
      <c r="C405" s="58" t="s">
        <v>28</v>
      </c>
      <c r="D405" s="60">
        <v>22.32</v>
      </c>
      <c r="E405" s="60">
        <v>21.58</v>
      </c>
      <c r="F405">
        <v>2021</v>
      </c>
    </row>
    <row r="406" spans="1:6" ht="15" customHeight="1" x14ac:dyDescent="0.3">
      <c r="A406" s="58" t="s">
        <v>530</v>
      </c>
      <c r="B406" s="59">
        <v>44424</v>
      </c>
      <c r="C406" s="58" t="s">
        <v>28</v>
      </c>
      <c r="D406" s="60">
        <v>23.06</v>
      </c>
      <c r="E406" s="60">
        <v>22.48</v>
      </c>
      <c r="F406">
        <v>2021</v>
      </c>
    </row>
    <row r="407" spans="1:6" ht="15" customHeight="1" x14ac:dyDescent="0.3">
      <c r="A407" s="58" t="s">
        <v>531</v>
      </c>
      <c r="B407" s="59">
        <v>44439</v>
      </c>
      <c r="C407" s="58" t="s">
        <v>28</v>
      </c>
      <c r="D407" s="60">
        <v>23.88</v>
      </c>
      <c r="E407" s="60">
        <v>23.2</v>
      </c>
      <c r="F407">
        <v>2021</v>
      </c>
    </row>
    <row r="408" spans="1:6" ht="15" customHeight="1" x14ac:dyDescent="0.3">
      <c r="A408" s="58" t="s">
        <v>532</v>
      </c>
      <c r="B408" s="59">
        <v>44452</v>
      </c>
      <c r="C408" s="58" t="s">
        <v>28</v>
      </c>
      <c r="D408" s="60">
        <v>22.62</v>
      </c>
      <c r="E408" s="60">
        <v>22.56</v>
      </c>
      <c r="F408">
        <v>2021</v>
      </c>
    </row>
    <row r="409" spans="1:6" ht="15" customHeight="1" x14ac:dyDescent="0.3">
      <c r="A409" s="58" t="s">
        <v>533</v>
      </c>
      <c r="B409" s="59">
        <v>44474</v>
      </c>
      <c r="C409" s="58" t="s">
        <v>28</v>
      </c>
      <c r="D409" s="60">
        <v>20.9</v>
      </c>
      <c r="E409" s="60">
        <v>20.9</v>
      </c>
      <c r="F409">
        <v>2021</v>
      </c>
    </row>
    <row r="410" spans="1:6" ht="15" customHeight="1" x14ac:dyDescent="0.3">
      <c r="A410" s="58" t="s">
        <v>534</v>
      </c>
      <c r="B410" s="59">
        <v>44508</v>
      </c>
      <c r="C410" s="58" t="s">
        <v>28</v>
      </c>
      <c r="D410" s="60">
        <v>13.67</v>
      </c>
      <c r="E410" s="60">
        <v>13.69</v>
      </c>
      <c r="F410">
        <v>2021</v>
      </c>
    </row>
    <row r="411" spans="1:6" ht="15" customHeight="1" x14ac:dyDescent="0.3">
      <c r="A411" s="58" t="s">
        <v>535</v>
      </c>
      <c r="B411" s="59">
        <v>44537</v>
      </c>
      <c r="C411" s="58" t="s">
        <v>28</v>
      </c>
      <c r="D411" s="60">
        <v>8.4600000000000009</v>
      </c>
      <c r="E411" s="60">
        <v>8.49</v>
      </c>
      <c r="F411">
        <v>2021</v>
      </c>
    </row>
    <row r="412" spans="1:6" ht="15" customHeight="1" x14ac:dyDescent="0.3">
      <c r="A412" s="88" t="s">
        <v>539</v>
      </c>
      <c r="B412" s="89">
        <v>44594</v>
      </c>
      <c r="C412" s="88" t="s">
        <v>28</v>
      </c>
      <c r="D412" s="90">
        <v>1.5</v>
      </c>
      <c r="E412" s="90">
        <v>1.49</v>
      </c>
      <c r="F412">
        <v>2022</v>
      </c>
    </row>
    <row r="413" spans="1:6" ht="15" customHeight="1" x14ac:dyDescent="0.3">
      <c r="A413" s="88" t="s">
        <v>540</v>
      </c>
      <c r="B413" s="89">
        <v>44607</v>
      </c>
      <c r="C413" s="88" t="s">
        <v>28</v>
      </c>
      <c r="D413" s="90">
        <v>1.98</v>
      </c>
      <c r="E413" s="90">
        <v>2.27</v>
      </c>
      <c r="F413">
        <v>2022</v>
      </c>
    </row>
    <row r="414" spans="1:6" ht="15" customHeight="1" x14ac:dyDescent="0.3">
      <c r="A414" s="88" t="s">
        <v>541</v>
      </c>
      <c r="B414" s="89">
        <v>44623</v>
      </c>
      <c r="C414" s="88" t="s">
        <v>28</v>
      </c>
      <c r="D414" s="90">
        <v>2.97</v>
      </c>
      <c r="E414" s="90">
        <v>2.88</v>
      </c>
      <c r="F414">
        <v>2022</v>
      </c>
    </row>
    <row r="415" spans="1:6" ht="15" customHeight="1" x14ac:dyDescent="0.3">
      <c r="A415" s="88" t="s">
        <v>542</v>
      </c>
      <c r="B415" s="89">
        <v>44656</v>
      </c>
      <c r="C415" s="88" t="s">
        <v>28</v>
      </c>
      <c r="D415" s="90">
        <v>5.73</v>
      </c>
      <c r="E415" s="90">
        <v>5.52</v>
      </c>
      <c r="F415">
        <v>2022</v>
      </c>
    </row>
    <row r="416" spans="1:6" ht="15" customHeight="1" x14ac:dyDescent="0.3">
      <c r="A416" s="88" t="s">
        <v>543</v>
      </c>
      <c r="B416" s="89">
        <v>44686</v>
      </c>
      <c r="C416" s="88" t="s">
        <v>28</v>
      </c>
      <c r="D416" s="90">
        <v>10.09</v>
      </c>
      <c r="E416" s="90">
        <v>9.85</v>
      </c>
      <c r="F416">
        <v>2022</v>
      </c>
    </row>
    <row r="417" spans="1:6" ht="15" customHeight="1" x14ac:dyDescent="0.3">
      <c r="A417" s="88" t="s">
        <v>544</v>
      </c>
      <c r="B417" s="89">
        <v>44715</v>
      </c>
      <c r="C417" s="88" t="s">
        <v>28</v>
      </c>
      <c r="D417" s="90">
        <v>16.940000000000001</v>
      </c>
      <c r="E417" s="90">
        <v>16.12</v>
      </c>
      <c r="F417">
        <v>2022</v>
      </c>
    </row>
    <row r="418" spans="1:6" ht="15" customHeight="1" x14ac:dyDescent="0.3">
      <c r="A418" s="88" t="s">
        <v>545</v>
      </c>
      <c r="B418" s="89">
        <v>44726</v>
      </c>
      <c r="C418" s="88" t="s">
        <v>28</v>
      </c>
      <c r="D418" s="90">
        <v>15.47</v>
      </c>
      <c r="E418" s="90">
        <v>13.93</v>
      </c>
      <c r="F418">
        <v>2022</v>
      </c>
    </row>
    <row r="419" spans="1:6" ht="15" customHeight="1" x14ac:dyDescent="0.3">
      <c r="A419" s="88" t="s">
        <v>546</v>
      </c>
      <c r="B419" s="89">
        <v>44749</v>
      </c>
      <c r="C419" s="88" t="s">
        <v>28</v>
      </c>
      <c r="D419" s="90">
        <v>20.34</v>
      </c>
      <c r="E419" s="90">
        <v>19.05</v>
      </c>
      <c r="F419">
        <v>2022</v>
      </c>
    </row>
    <row r="420" spans="1:6" ht="15" customHeight="1" x14ac:dyDescent="0.3">
      <c r="A420" s="88" t="s">
        <v>547</v>
      </c>
      <c r="B420" s="89">
        <v>44761</v>
      </c>
      <c r="C420" s="88" t="s">
        <v>28</v>
      </c>
      <c r="D420" s="90">
        <v>22.06</v>
      </c>
      <c r="E420" s="90">
        <v>21.15</v>
      </c>
      <c r="F420">
        <v>2022</v>
      </c>
    </row>
    <row r="421" spans="1:6" ht="15" customHeight="1" x14ac:dyDescent="0.3">
      <c r="A421" s="88" t="s">
        <v>548</v>
      </c>
      <c r="B421" s="89">
        <v>44775</v>
      </c>
      <c r="C421" s="88" t="s">
        <v>28</v>
      </c>
      <c r="D421" s="90">
        <v>21.93</v>
      </c>
      <c r="E421" s="90">
        <v>21.37</v>
      </c>
      <c r="F421">
        <v>2022</v>
      </c>
    </row>
    <row r="422" spans="1:6" ht="15" customHeight="1" x14ac:dyDescent="0.3">
      <c r="A422" s="88" t="s">
        <v>549</v>
      </c>
      <c r="B422" s="89">
        <v>44790</v>
      </c>
      <c r="C422" s="88" t="s">
        <v>28</v>
      </c>
      <c r="D422" s="90">
        <v>23.27</v>
      </c>
      <c r="E422" s="90">
        <v>23.17</v>
      </c>
      <c r="F422">
        <v>2022</v>
      </c>
    </row>
    <row r="423" spans="1:6" ht="15" customHeight="1" x14ac:dyDescent="0.3">
      <c r="A423" s="88" t="s">
        <v>550</v>
      </c>
      <c r="B423" s="89">
        <v>44805</v>
      </c>
      <c r="C423" s="88" t="s">
        <v>28</v>
      </c>
      <c r="D423" s="90">
        <v>24.19</v>
      </c>
      <c r="E423" s="90">
        <v>23.93</v>
      </c>
      <c r="F423">
        <v>2022</v>
      </c>
    </row>
    <row r="424" spans="1:6" ht="15" customHeight="1" x14ac:dyDescent="0.3">
      <c r="A424" s="88" t="s">
        <v>551</v>
      </c>
      <c r="B424" s="89">
        <v>44817</v>
      </c>
      <c r="C424" s="88" t="s">
        <v>28</v>
      </c>
      <c r="D424" s="90">
        <v>23.18</v>
      </c>
      <c r="E424" s="90">
        <v>23.21</v>
      </c>
      <c r="F424">
        <v>2022</v>
      </c>
    </row>
    <row r="425" spans="1:6" ht="15" customHeight="1" x14ac:dyDescent="0.3">
      <c r="A425" s="88" t="s">
        <v>552</v>
      </c>
      <c r="B425" s="89">
        <v>44845</v>
      </c>
      <c r="C425" s="88" t="s">
        <v>28</v>
      </c>
      <c r="D425" s="90">
        <v>16.75</v>
      </c>
      <c r="E425" s="90">
        <v>16.75</v>
      </c>
      <c r="F425">
        <v>2022</v>
      </c>
    </row>
    <row r="426" spans="1:6" ht="15" customHeight="1" x14ac:dyDescent="0.3">
      <c r="A426" s="88" t="s">
        <v>553</v>
      </c>
      <c r="B426" s="89">
        <v>44874</v>
      </c>
      <c r="C426" s="88" t="s">
        <v>28</v>
      </c>
      <c r="D426" s="90">
        <v>15.32</v>
      </c>
      <c r="E426" s="90">
        <v>15.32</v>
      </c>
      <c r="F426">
        <v>2022</v>
      </c>
    </row>
    <row r="427" spans="1:6" ht="15" customHeight="1" x14ac:dyDescent="0.3">
      <c r="A427" s="88" t="s">
        <v>556</v>
      </c>
      <c r="B427" s="89">
        <v>44900</v>
      </c>
      <c r="C427" s="88" t="s">
        <v>28</v>
      </c>
      <c r="D427" s="90">
        <v>10.07</v>
      </c>
      <c r="E427" s="90">
        <v>10.07</v>
      </c>
      <c r="F427">
        <v>2022</v>
      </c>
    </row>
    <row r="428" spans="1:6" ht="15" customHeight="1" x14ac:dyDescent="0.3">
      <c r="A428" s="58" t="s">
        <v>557</v>
      </c>
      <c r="B428" s="59">
        <v>44931</v>
      </c>
      <c r="C428" s="58" t="s">
        <v>28</v>
      </c>
      <c r="D428" s="60">
        <v>5.91</v>
      </c>
      <c r="E428" s="60">
        <v>5.94</v>
      </c>
      <c r="F428">
        <v>2023</v>
      </c>
    </row>
    <row r="429" spans="1:6" ht="15" customHeight="1" x14ac:dyDescent="0.3">
      <c r="A429" s="58" t="s">
        <v>558</v>
      </c>
      <c r="B429" s="59">
        <v>44964</v>
      </c>
      <c r="C429" s="58" t="s">
        <v>28</v>
      </c>
      <c r="D429" s="60">
        <v>3.31</v>
      </c>
      <c r="E429" s="60">
        <v>3.28</v>
      </c>
      <c r="F429">
        <v>2023</v>
      </c>
    </row>
    <row r="430" spans="1:6" ht="15" customHeight="1" x14ac:dyDescent="0.3">
      <c r="A430" s="58" t="s">
        <v>559</v>
      </c>
      <c r="B430" s="59">
        <v>45034</v>
      </c>
      <c r="C430" s="58" t="s">
        <v>28</v>
      </c>
      <c r="D430" s="60">
        <v>10.29</v>
      </c>
      <c r="E430" s="60">
        <v>8.24</v>
      </c>
      <c r="F430">
        <v>2023</v>
      </c>
    </row>
    <row r="431" spans="1:6" ht="15" customHeight="1" x14ac:dyDescent="0.3">
      <c r="A431" s="58" t="s">
        <v>560</v>
      </c>
      <c r="B431" s="59">
        <v>45050</v>
      </c>
      <c r="C431" s="58" t="s">
        <v>28</v>
      </c>
      <c r="D431" s="60">
        <v>10.43</v>
      </c>
      <c r="E431" s="60">
        <v>10.16</v>
      </c>
      <c r="F431">
        <v>2023</v>
      </c>
    </row>
    <row r="432" spans="1:6" ht="15" customHeight="1" x14ac:dyDescent="0.3">
      <c r="A432" s="58" t="s">
        <v>561</v>
      </c>
      <c r="B432" s="59">
        <v>45078</v>
      </c>
      <c r="C432" s="58" t="s">
        <v>28</v>
      </c>
      <c r="D432" s="60">
        <v>16.91</v>
      </c>
      <c r="E432" s="60">
        <v>15.76</v>
      </c>
      <c r="F432">
        <v>2023</v>
      </c>
    </row>
    <row r="433" spans="1:6" ht="15" customHeight="1" x14ac:dyDescent="0.3">
      <c r="A433" s="58" t="s">
        <v>562</v>
      </c>
      <c r="B433" s="59">
        <v>45100</v>
      </c>
      <c r="C433" s="58" t="s">
        <v>28</v>
      </c>
      <c r="D433" s="60">
        <v>18.75</v>
      </c>
      <c r="E433" s="60">
        <v>18.510000000000002</v>
      </c>
      <c r="F433">
        <v>2023</v>
      </c>
    </row>
    <row r="434" spans="1:6" ht="15" customHeight="1" x14ac:dyDescent="0.3">
      <c r="A434" s="58" t="s">
        <v>563</v>
      </c>
      <c r="B434" s="59">
        <v>45113</v>
      </c>
      <c r="C434" s="58" t="s">
        <v>28</v>
      </c>
      <c r="D434" s="60">
        <v>20.149999999999999</v>
      </c>
      <c r="E434" s="60">
        <v>19.11</v>
      </c>
      <c r="F434">
        <v>2023</v>
      </c>
    </row>
    <row r="435" spans="1:6" ht="15" customHeight="1" x14ac:dyDescent="0.3">
      <c r="A435" s="58" t="s">
        <v>564</v>
      </c>
      <c r="B435" s="59">
        <v>45124</v>
      </c>
      <c r="C435" s="58" t="s">
        <v>28</v>
      </c>
      <c r="D435" s="60">
        <v>23.1</v>
      </c>
      <c r="E435" s="60">
        <v>20.32</v>
      </c>
      <c r="F435">
        <v>2023</v>
      </c>
    </row>
    <row r="436" spans="1:6" ht="15" customHeight="1" x14ac:dyDescent="0.3">
      <c r="A436" s="58" t="s">
        <v>565</v>
      </c>
      <c r="B436" s="59">
        <v>45140</v>
      </c>
      <c r="C436" s="58" t="s">
        <v>28</v>
      </c>
      <c r="D436" s="60">
        <v>22.32</v>
      </c>
      <c r="E436" s="60">
        <v>22.3</v>
      </c>
      <c r="F436">
        <v>2023</v>
      </c>
    </row>
    <row r="437" spans="1:6" ht="15" customHeight="1" x14ac:dyDescent="0.3">
      <c r="A437" s="58" t="s">
        <v>566</v>
      </c>
      <c r="B437" s="59">
        <v>45152</v>
      </c>
      <c r="C437" s="58" t="s">
        <v>28</v>
      </c>
      <c r="D437" s="60">
        <v>23.04</v>
      </c>
      <c r="E437" s="60">
        <v>21.75</v>
      </c>
      <c r="F437">
        <v>2023</v>
      </c>
    </row>
    <row r="438" spans="1:6" ht="15" customHeight="1" x14ac:dyDescent="0.3">
      <c r="A438" s="58" t="s">
        <v>567</v>
      </c>
      <c r="B438" s="59">
        <v>45174</v>
      </c>
      <c r="C438" s="58" t="s">
        <v>28</v>
      </c>
      <c r="D438" s="60">
        <v>23.15</v>
      </c>
      <c r="E438" s="60">
        <v>22.86</v>
      </c>
      <c r="F438">
        <v>2023</v>
      </c>
    </row>
    <row r="439" spans="1:6" ht="15" customHeight="1" x14ac:dyDescent="0.3">
      <c r="A439" s="58" t="s">
        <v>568</v>
      </c>
      <c r="B439" s="59">
        <v>45209</v>
      </c>
      <c r="C439" s="58" t="s">
        <v>28</v>
      </c>
      <c r="D439" s="60">
        <v>18.71</v>
      </c>
      <c r="E439" s="60">
        <v>18.75</v>
      </c>
      <c r="F439">
        <v>2023</v>
      </c>
    </row>
    <row r="440" spans="1:6" ht="15" customHeight="1" x14ac:dyDescent="0.3">
      <c r="A440" s="58" t="s">
        <v>569</v>
      </c>
      <c r="B440" s="59">
        <v>45238</v>
      </c>
      <c r="C440" s="58" t="s">
        <v>28</v>
      </c>
      <c r="D440" s="60">
        <v>13.95</v>
      </c>
      <c r="E440" s="60">
        <v>13.99</v>
      </c>
      <c r="F440">
        <v>2023</v>
      </c>
    </row>
    <row r="441" spans="1:6" ht="15" customHeight="1" x14ac:dyDescent="0.3">
      <c r="A441" s="58" t="s">
        <v>570</v>
      </c>
      <c r="B441" s="59">
        <v>45266</v>
      </c>
      <c r="C441" s="58" t="s">
        <v>28</v>
      </c>
      <c r="D441" s="60">
        <v>9.4499999999999993</v>
      </c>
      <c r="E441" s="60">
        <v>9.5299999999999994</v>
      </c>
      <c r="F441">
        <v>2023</v>
      </c>
    </row>
    <row r="442" spans="1:6" ht="15" customHeight="1" x14ac:dyDescent="0.3">
      <c r="A442" s="88" t="s">
        <v>571</v>
      </c>
      <c r="B442" s="89">
        <v>45299</v>
      </c>
      <c r="C442" s="88" t="s">
        <v>28</v>
      </c>
      <c r="D442" s="90">
        <v>6.1</v>
      </c>
      <c r="E442" s="90">
        <v>6.1</v>
      </c>
      <c r="F442">
        <v>2024</v>
      </c>
    </row>
    <row r="443" spans="1:6" ht="15" customHeight="1" x14ac:dyDescent="0.3">
      <c r="A443" s="88" t="s">
        <v>572</v>
      </c>
      <c r="B443" s="89">
        <v>45328</v>
      </c>
      <c r="C443" s="88" t="s">
        <v>28</v>
      </c>
      <c r="D443" s="90">
        <v>3.7</v>
      </c>
      <c r="E443" s="90">
        <v>3.69</v>
      </c>
      <c r="F443">
        <v>2024</v>
      </c>
    </row>
    <row r="444" spans="1:6" ht="15" customHeight="1" x14ac:dyDescent="0.3">
      <c r="A444" s="88" t="s">
        <v>573</v>
      </c>
      <c r="B444" s="89">
        <v>45344</v>
      </c>
      <c r="C444" s="88" t="s">
        <v>28</v>
      </c>
      <c r="D444" s="90">
        <v>3.35</v>
      </c>
      <c r="E444" s="90">
        <v>3.56</v>
      </c>
      <c r="F444">
        <v>2024</v>
      </c>
    </row>
    <row r="445" spans="1:6" ht="15" customHeight="1" x14ac:dyDescent="0.3">
      <c r="A445" s="88" t="s">
        <v>574</v>
      </c>
      <c r="B445" s="89">
        <v>45357</v>
      </c>
      <c r="C445" s="88" t="s">
        <v>28</v>
      </c>
      <c r="D445" s="90">
        <v>5.19</v>
      </c>
      <c r="E445" s="90">
        <v>4.7699999999999996</v>
      </c>
      <c r="F445">
        <v>2024</v>
      </c>
    </row>
    <row r="446" spans="1:6" ht="15" customHeight="1" x14ac:dyDescent="0.3">
      <c r="A446" s="88" t="s">
        <v>575</v>
      </c>
      <c r="B446" s="89">
        <v>45369</v>
      </c>
      <c r="C446" s="88" t="s">
        <v>28</v>
      </c>
      <c r="D446" s="90">
        <v>6.37</v>
      </c>
      <c r="E446" s="90">
        <v>5.77</v>
      </c>
      <c r="F446">
        <v>2024</v>
      </c>
    </row>
    <row r="447" spans="1:6" ht="15" customHeight="1" x14ac:dyDescent="0.3">
      <c r="A447" s="88" t="s">
        <v>576</v>
      </c>
      <c r="B447" s="89">
        <v>45390</v>
      </c>
      <c r="C447" s="88" t="s">
        <v>28</v>
      </c>
      <c r="D447" s="90">
        <v>6.47</v>
      </c>
      <c r="E447" s="90">
        <v>6.41</v>
      </c>
      <c r="F447">
        <v>2024</v>
      </c>
    </row>
    <row r="448" spans="1:6" ht="15" customHeight="1" x14ac:dyDescent="0.3">
      <c r="A448" s="88" t="s">
        <v>577</v>
      </c>
      <c r="B448" s="89">
        <v>45415</v>
      </c>
      <c r="C448" s="88" t="s">
        <v>28</v>
      </c>
      <c r="D448" s="90">
        <v>12.22</v>
      </c>
      <c r="E448" s="90">
        <v>12.16</v>
      </c>
      <c r="F448">
        <v>2024</v>
      </c>
    </row>
    <row r="449" spans="1:6" ht="15" customHeight="1" x14ac:dyDescent="0.3">
      <c r="A449" s="88" t="s">
        <v>578</v>
      </c>
      <c r="B449" s="89">
        <v>45447</v>
      </c>
      <c r="C449" s="88" t="s">
        <v>28</v>
      </c>
      <c r="D449" s="90">
        <v>16.84</v>
      </c>
      <c r="E449" s="90">
        <v>12.9</v>
      </c>
      <c r="F449">
        <v>2024</v>
      </c>
    </row>
    <row r="450" spans="1:6" ht="15" customHeight="1" x14ac:dyDescent="0.3">
      <c r="A450" s="88" t="s">
        <v>579</v>
      </c>
      <c r="B450" s="89">
        <v>45460</v>
      </c>
      <c r="C450" s="88" t="s">
        <v>28</v>
      </c>
      <c r="D450" s="90">
        <v>18.190000000000001</v>
      </c>
      <c r="E450" s="90">
        <v>13.62</v>
      </c>
      <c r="F450">
        <v>2024</v>
      </c>
    </row>
    <row r="451" spans="1:6" ht="15" customHeight="1" x14ac:dyDescent="0.3">
      <c r="A451" s="88" t="s">
        <v>580</v>
      </c>
      <c r="B451" s="89">
        <v>45475</v>
      </c>
      <c r="C451" s="88" t="s">
        <v>28</v>
      </c>
      <c r="D451" s="90">
        <v>18.54</v>
      </c>
      <c r="E451" s="90">
        <v>17.78</v>
      </c>
      <c r="F451">
        <v>2024</v>
      </c>
    </row>
    <row r="452" spans="1:6" ht="15" customHeight="1" x14ac:dyDescent="0.3">
      <c r="A452" s="88" t="s">
        <v>581</v>
      </c>
      <c r="B452" s="89">
        <v>45489</v>
      </c>
      <c r="C452" s="88" t="s">
        <v>28</v>
      </c>
      <c r="D452" s="90">
        <v>20.53</v>
      </c>
      <c r="E452" s="90">
        <v>17.96</v>
      </c>
      <c r="F452">
        <v>2024</v>
      </c>
    </row>
    <row r="453" spans="1:6" ht="15" customHeight="1" x14ac:dyDescent="0.3">
      <c r="A453" s="88" t="s">
        <v>582</v>
      </c>
      <c r="B453" s="89">
        <v>45504</v>
      </c>
      <c r="C453" s="88" t="s">
        <v>28</v>
      </c>
      <c r="D453" s="90">
        <v>23.12</v>
      </c>
      <c r="E453" s="90">
        <v>22.05</v>
      </c>
      <c r="F453">
        <v>2024</v>
      </c>
    </row>
    <row r="454" spans="1:6" ht="15" customHeight="1" x14ac:dyDescent="0.3">
      <c r="A454" s="88" t="s">
        <v>583</v>
      </c>
      <c r="B454" s="89">
        <v>45516</v>
      </c>
      <c r="C454" s="88" t="s">
        <v>28</v>
      </c>
      <c r="D454" s="90">
        <v>22.62</v>
      </c>
      <c r="E454" s="90">
        <v>22.26</v>
      </c>
      <c r="F454">
        <v>2024</v>
      </c>
    </row>
    <row r="455" spans="1:6" ht="15" customHeight="1" x14ac:dyDescent="0.3">
      <c r="A455" s="88" t="s">
        <v>584</v>
      </c>
      <c r="B455" s="89">
        <v>45531</v>
      </c>
      <c r="C455" s="88" t="s">
        <v>28</v>
      </c>
      <c r="D455" s="90">
        <v>23.14</v>
      </c>
      <c r="E455" s="90">
        <v>22.57</v>
      </c>
      <c r="F455">
        <v>2024</v>
      </c>
    </row>
    <row r="456" spans="1:6" ht="15" customHeight="1" x14ac:dyDescent="0.3">
      <c r="A456" s="136" t="s">
        <v>585</v>
      </c>
      <c r="B456" s="34">
        <v>45568</v>
      </c>
      <c r="C456" s="136" t="s">
        <v>28</v>
      </c>
      <c r="D456" s="137">
        <v>19.87</v>
      </c>
      <c r="E456" s="137">
        <v>19.87</v>
      </c>
      <c r="F456">
        <v>2024</v>
      </c>
    </row>
    <row r="457" spans="1:6" ht="15" customHeight="1" x14ac:dyDescent="0.3">
      <c r="A457" t="s">
        <v>601</v>
      </c>
      <c r="B457" s="34">
        <v>45687</v>
      </c>
      <c r="C457" s="206" t="s">
        <v>28</v>
      </c>
      <c r="D457">
        <v>1.49</v>
      </c>
      <c r="E457">
        <v>1.53</v>
      </c>
      <c r="F457">
        <v>2025</v>
      </c>
    </row>
    <row r="458" spans="1:6" ht="15" customHeight="1" x14ac:dyDescent="0.3">
      <c r="A458" t="s">
        <v>593</v>
      </c>
      <c r="B458" s="34">
        <v>45727</v>
      </c>
      <c r="C458" s="206" t="s">
        <v>28</v>
      </c>
      <c r="D458">
        <v>2.81</v>
      </c>
      <c r="E458">
        <v>2.42</v>
      </c>
      <c r="F458">
        <v>2025</v>
      </c>
    </row>
    <row r="459" spans="1:6" ht="15" customHeight="1" x14ac:dyDescent="0.3">
      <c r="A459" t="s">
        <v>594</v>
      </c>
      <c r="B459" s="34">
        <v>45748</v>
      </c>
      <c r="C459" s="206" t="s">
        <v>28</v>
      </c>
      <c r="D459">
        <v>6.13</v>
      </c>
      <c r="E459">
        <v>6.1</v>
      </c>
      <c r="F459">
        <v>2025</v>
      </c>
    </row>
    <row r="460" spans="1:6" ht="15" customHeight="1" x14ac:dyDescent="0.3">
      <c r="A460" t="s">
        <v>595</v>
      </c>
      <c r="B460" s="34">
        <v>45783</v>
      </c>
      <c r="C460" s="206" t="s">
        <v>28</v>
      </c>
      <c r="D460">
        <v>11.19</v>
      </c>
      <c r="E460">
        <v>11.16</v>
      </c>
      <c r="F460">
        <v>2025</v>
      </c>
    </row>
    <row r="461" spans="1:6" ht="15" customHeight="1" x14ac:dyDescent="0.3">
      <c r="A461" t="s">
        <v>596</v>
      </c>
      <c r="B461" s="34">
        <v>45811</v>
      </c>
      <c r="C461" s="206" t="s">
        <v>28</v>
      </c>
      <c r="D461">
        <v>14.36</v>
      </c>
      <c r="E461">
        <v>13.77</v>
      </c>
      <c r="F461">
        <v>2025</v>
      </c>
    </row>
    <row r="462" spans="1:6" ht="15" customHeight="1" x14ac:dyDescent="0.3">
      <c r="A462" t="s">
        <v>597</v>
      </c>
      <c r="B462" s="34">
        <v>45839</v>
      </c>
      <c r="C462" s="206" t="s">
        <v>28</v>
      </c>
      <c r="D462">
        <v>20.98</v>
      </c>
      <c r="E462">
        <v>19.739999999999998</v>
      </c>
      <c r="F462">
        <v>2025</v>
      </c>
    </row>
    <row r="463" spans="1:6" ht="15" customHeight="1" x14ac:dyDescent="0.3">
      <c r="A463" t="s">
        <v>598</v>
      </c>
      <c r="B463" s="34">
        <v>45852</v>
      </c>
      <c r="C463" s="206" t="s">
        <v>28</v>
      </c>
      <c r="D463">
        <v>24.26</v>
      </c>
      <c r="E463">
        <v>20.350000000000001</v>
      </c>
      <c r="F463">
        <v>2025</v>
      </c>
    </row>
    <row r="464" spans="1:6" ht="15" customHeight="1" x14ac:dyDescent="0.3">
      <c r="A464" t="s">
        <v>599</v>
      </c>
      <c r="B464" s="34">
        <v>45868</v>
      </c>
      <c r="C464" s="206" t="s">
        <v>28</v>
      </c>
      <c r="D464">
        <v>23.84</v>
      </c>
      <c r="E464">
        <v>21.45</v>
      </c>
      <c r="F464">
        <v>2025</v>
      </c>
    </row>
    <row r="465" spans="1:6" ht="15" customHeight="1" x14ac:dyDescent="0.3">
      <c r="A465" t="s">
        <v>600</v>
      </c>
      <c r="B465" s="34">
        <v>45880</v>
      </c>
      <c r="C465" s="206" t="s">
        <v>28</v>
      </c>
      <c r="D465">
        <v>23.62</v>
      </c>
      <c r="E465">
        <v>22.61</v>
      </c>
      <c r="F465">
        <v>2025</v>
      </c>
    </row>
    <row r="466" spans="1:6" ht="15" customHeight="1" x14ac:dyDescent="0.3">
      <c r="A466" t="s">
        <v>603</v>
      </c>
      <c r="B466" s="34">
        <v>45896</v>
      </c>
      <c r="C466" s="206" t="s">
        <v>28</v>
      </c>
      <c r="D466">
        <v>22.2</v>
      </c>
      <c r="E466">
        <v>22.18</v>
      </c>
      <c r="F466">
        <v>2025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56"/>
  <sheetViews>
    <sheetView workbookViewId="0">
      <pane ySplit="1" topLeftCell="A436" activePane="bottomLeft" state="frozen"/>
      <selection pane="bottomLeft" activeCell="F448" sqref="F448:F456"/>
    </sheetView>
  </sheetViews>
  <sheetFormatPr defaultRowHeight="15" customHeight="1" x14ac:dyDescent="0.3"/>
  <cols>
    <col min="1" max="1" width="10.44140625" bestFit="1" customWidth="1"/>
    <col min="2" max="2" width="10.6640625" bestFit="1" customWidth="1"/>
    <col min="3" max="3" width="13.109375" bestFit="1" customWidth="1"/>
    <col min="4" max="5" width="7.5546875" bestFit="1" customWidth="1"/>
    <col min="9" max="9" width="12.5546875" bestFit="1" customWidth="1"/>
    <col min="10" max="10" width="16.88671875" bestFit="1" customWidth="1"/>
    <col min="11" max="11" width="17" bestFit="1" customWidth="1"/>
    <col min="12" max="12" width="20.44140625" bestFit="1" customWidth="1"/>
    <col min="15" max="15" width="17.6640625" bestFit="1" customWidth="1"/>
    <col min="16" max="16" width="17.88671875" bestFit="1" customWidth="1"/>
  </cols>
  <sheetData>
    <row r="1" spans="1:17" ht="15" customHeight="1" x14ac:dyDescent="0.3">
      <c r="A1" s="41" t="s">
        <v>1</v>
      </c>
      <c r="B1" s="41" t="s">
        <v>3</v>
      </c>
      <c r="C1" s="41" t="s">
        <v>2</v>
      </c>
      <c r="D1" s="41" t="s">
        <v>4</v>
      </c>
      <c r="E1" s="41" t="s">
        <v>5</v>
      </c>
      <c r="F1" s="48" t="s">
        <v>521</v>
      </c>
      <c r="I1" s="47" t="s">
        <v>515</v>
      </c>
      <c r="J1" t="s">
        <v>519</v>
      </c>
      <c r="K1" t="s">
        <v>518</v>
      </c>
      <c r="L1" t="s">
        <v>520</v>
      </c>
      <c r="N1" t="s">
        <v>515</v>
      </c>
      <c r="O1" t="s">
        <v>519</v>
      </c>
      <c r="P1" t="s">
        <v>518</v>
      </c>
      <c r="Q1" t="s">
        <v>520</v>
      </c>
    </row>
    <row r="2" spans="1:17" ht="15" customHeight="1" x14ac:dyDescent="0.3">
      <c r="A2" s="42" t="s">
        <v>79</v>
      </c>
      <c r="B2" s="43">
        <v>34506</v>
      </c>
      <c r="C2" s="42" t="s">
        <v>34</v>
      </c>
      <c r="D2" s="44">
        <v>18.25</v>
      </c>
      <c r="E2" s="45"/>
      <c r="F2">
        <v>1994</v>
      </c>
      <c r="I2" s="9">
        <v>1994</v>
      </c>
      <c r="J2">
        <v>19.574285714285711</v>
      </c>
      <c r="K2">
        <v>9.43</v>
      </c>
      <c r="L2">
        <v>7</v>
      </c>
      <c r="N2">
        <v>1995</v>
      </c>
      <c r="O2">
        <v>14.064666666666666</v>
      </c>
      <c r="P2">
        <v>12.982142857142858</v>
      </c>
      <c r="Q2">
        <v>15</v>
      </c>
    </row>
    <row r="3" spans="1:17" ht="15" customHeight="1" x14ac:dyDescent="0.3">
      <c r="A3" s="42" t="s">
        <v>80</v>
      </c>
      <c r="B3" s="43">
        <v>34521</v>
      </c>
      <c r="C3" s="42" t="s">
        <v>34</v>
      </c>
      <c r="D3" s="44">
        <v>18.940000000000001</v>
      </c>
      <c r="E3" s="45"/>
      <c r="F3">
        <v>1994</v>
      </c>
      <c r="I3" s="9">
        <v>1995</v>
      </c>
      <c r="J3">
        <v>14.064666666666666</v>
      </c>
      <c r="K3">
        <v>12.982142857142858</v>
      </c>
      <c r="L3">
        <v>15</v>
      </c>
      <c r="N3">
        <v>1996</v>
      </c>
      <c r="O3">
        <v>13.749285714285715</v>
      </c>
      <c r="P3">
        <v>12.006153846153845</v>
      </c>
      <c r="Q3">
        <v>14</v>
      </c>
    </row>
    <row r="4" spans="1:17" ht="15" customHeight="1" x14ac:dyDescent="0.3">
      <c r="A4" s="42" t="s">
        <v>81</v>
      </c>
      <c r="B4" s="43">
        <v>34535</v>
      </c>
      <c r="C4" s="42" t="s">
        <v>34</v>
      </c>
      <c r="D4" s="44">
        <v>21.94</v>
      </c>
      <c r="E4" s="45"/>
      <c r="F4">
        <v>1994</v>
      </c>
      <c r="I4" s="9">
        <v>1996</v>
      </c>
      <c r="J4">
        <v>13.749285714285715</v>
      </c>
      <c r="K4">
        <v>12.006153846153845</v>
      </c>
      <c r="L4">
        <v>14</v>
      </c>
      <c r="N4">
        <v>1997</v>
      </c>
      <c r="O4">
        <v>13.690769230769231</v>
      </c>
      <c r="P4">
        <v>11.157</v>
      </c>
      <c r="Q4">
        <v>13</v>
      </c>
    </row>
    <row r="5" spans="1:17" ht="15" customHeight="1" x14ac:dyDescent="0.3">
      <c r="A5" s="42" t="s">
        <v>82</v>
      </c>
      <c r="B5" s="43">
        <v>34549</v>
      </c>
      <c r="C5" s="42" t="s">
        <v>34</v>
      </c>
      <c r="D5" s="46">
        <v>23.78</v>
      </c>
      <c r="E5" s="45"/>
      <c r="F5">
        <v>1994</v>
      </c>
      <c r="I5" s="9">
        <v>1997</v>
      </c>
      <c r="J5">
        <v>13.690769230769231</v>
      </c>
      <c r="K5">
        <v>11.157</v>
      </c>
      <c r="L5">
        <v>13</v>
      </c>
      <c r="N5">
        <v>1998</v>
      </c>
      <c r="O5">
        <v>16.445006666666664</v>
      </c>
      <c r="P5">
        <v>14.535678571428573</v>
      </c>
      <c r="Q5">
        <v>16</v>
      </c>
    </row>
    <row r="6" spans="1:17" ht="15" customHeight="1" x14ac:dyDescent="0.3">
      <c r="A6" s="42" t="s">
        <v>83</v>
      </c>
      <c r="B6" s="43">
        <v>34562</v>
      </c>
      <c r="C6" s="42" t="s">
        <v>34</v>
      </c>
      <c r="D6" s="44">
        <v>22.2</v>
      </c>
      <c r="E6" s="45"/>
      <c r="F6">
        <v>1994</v>
      </c>
      <c r="I6" s="9">
        <v>1998</v>
      </c>
      <c r="J6">
        <v>16.445006666666664</v>
      </c>
      <c r="K6">
        <v>14.535678571428573</v>
      </c>
      <c r="L6">
        <v>16</v>
      </c>
      <c r="N6">
        <v>1999</v>
      </c>
      <c r="O6">
        <v>14.888000000000002</v>
      </c>
      <c r="P6">
        <v>13.947333333333335</v>
      </c>
      <c r="Q6">
        <v>15</v>
      </c>
    </row>
    <row r="7" spans="1:17" ht="15" customHeight="1" x14ac:dyDescent="0.3">
      <c r="A7" s="42" t="s">
        <v>84</v>
      </c>
      <c r="B7" s="43">
        <v>34577</v>
      </c>
      <c r="C7" s="42" t="s">
        <v>34</v>
      </c>
      <c r="D7" s="44">
        <v>22.46</v>
      </c>
      <c r="E7" s="45"/>
      <c r="F7">
        <v>1994</v>
      </c>
      <c r="I7" s="9">
        <v>1999</v>
      </c>
      <c r="J7">
        <v>14.888000000000002</v>
      </c>
      <c r="K7">
        <v>13.947333333333335</v>
      </c>
      <c r="L7">
        <v>15</v>
      </c>
      <c r="N7">
        <v>2000</v>
      </c>
      <c r="O7">
        <v>14.539285714285715</v>
      </c>
      <c r="P7">
        <v>13.770714285714288</v>
      </c>
      <c r="Q7">
        <v>14</v>
      </c>
    </row>
    <row r="8" spans="1:17" ht="15" customHeight="1" x14ac:dyDescent="0.3">
      <c r="A8" s="42" t="s">
        <v>88</v>
      </c>
      <c r="B8" s="43">
        <v>34673</v>
      </c>
      <c r="C8" s="42" t="s">
        <v>34</v>
      </c>
      <c r="D8" s="44">
        <v>9.4499999999999993</v>
      </c>
      <c r="E8" s="44">
        <v>9.43</v>
      </c>
      <c r="F8">
        <v>1994</v>
      </c>
      <c r="I8" s="9">
        <v>2000</v>
      </c>
      <c r="J8">
        <v>14.539285714285715</v>
      </c>
      <c r="K8">
        <v>13.770714285714288</v>
      </c>
      <c r="L8">
        <v>14</v>
      </c>
      <c r="N8">
        <v>2001</v>
      </c>
      <c r="O8">
        <v>14.182142857142855</v>
      </c>
      <c r="P8">
        <v>13.274285714285714</v>
      </c>
      <c r="Q8">
        <v>15</v>
      </c>
    </row>
    <row r="9" spans="1:17" ht="15" customHeight="1" x14ac:dyDescent="0.3">
      <c r="A9" s="42" t="s">
        <v>89</v>
      </c>
      <c r="B9" s="43">
        <v>34703</v>
      </c>
      <c r="C9" s="42" t="s">
        <v>34</v>
      </c>
      <c r="D9" s="44">
        <v>5.24</v>
      </c>
      <c r="E9" s="44">
        <v>5.23</v>
      </c>
      <c r="F9">
        <v>1995</v>
      </c>
      <c r="I9" s="9">
        <v>2001</v>
      </c>
      <c r="J9">
        <v>14.182142857142855</v>
      </c>
      <c r="K9">
        <v>13.274285714285714</v>
      </c>
      <c r="L9">
        <v>15</v>
      </c>
      <c r="N9">
        <v>2002</v>
      </c>
      <c r="O9">
        <v>14.182142857142859</v>
      </c>
      <c r="P9">
        <v>13.572142857142859</v>
      </c>
      <c r="Q9">
        <v>14</v>
      </c>
    </row>
    <row r="10" spans="1:17" ht="15" customHeight="1" x14ac:dyDescent="0.3">
      <c r="A10" s="42" t="s">
        <v>90</v>
      </c>
      <c r="B10" s="43">
        <v>34738</v>
      </c>
      <c r="C10" s="42" t="s">
        <v>34</v>
      </c>
      <c r="D10" s="44">
        <v>1.2</v>
      </c>
      <c r="E10" s="44">
        <v>1.2</v>
      </c>
      <c r="F10">
        <v>1995</v>
      </c>
      <c r="I10" s="9">
        <v>2002</v>
      </c>
      <c r="J10">
        <v>14.182142857142859</v>
      </c>
      <c r="K10">
        <v>13.572142857142859</v>
      </c>
      <c r="L10">
        <v>14</v>
      </c>
      <c r="N10">
        <v>2003</v>
      </c>
      <c r="O10">
        <v>13.337857142857144</v>
      </c>
      <c r="P10">
        <v>12.261428571428572</v>
      </c>
      <c r="Q10">
        <v>14</v>
      </c>
    </row>
    <row r="11" spans="1:17" ht="15" customHeight="1" x14ac:dyDescent="0.3">
      <c r="A11" s="42" t="s">
        <v>91</v>
      </c>
      <c r="B11" s="43">
        <v>34766</v>
      </c>
      <c r="C11" s="42" t="s">
        <v>34</v>
      </c>
      <c r="D11" s="44">
        <v>2.2000000000000002</v>
      </c>
      <c r="E11" s="44">
        <v>1.83</v>
      </c>
      <c r="F11">
        <v>1995</v>
      </c>
      <c r="I11" s="9">
        <v>2003</v>
      </c>
      <c r="J11">
        <v>13.337857142857144</v>
      </c>
      <c r="K11">
        <v>12.261428571428572</v>
      </c>
      <c r="L11">
        <v>14</v>
      </c>
      <c r="N11">
        <v>2004</v>
      </c>
      <c r="O11">
        <v>13.718571428571432</v>
      </c>
      <c r="P11">
        <v>12.59</v>
      </c>
      <c r="Q11">
        <v>14</v>
      </c>
    </row>
    <row r="12" spans="1:17" ht="15" customHeight="1" x14ac:dyDescent="0.3">
      <c r="A12" s="42" t="s">
        <v>92</v>
      </c>
      <c r="B12" s="43">
        <v>34795</v>
      </c>
      <c r="C12" s="42" t="s">
        <v>34</v>
      </c>
      <c r="D12" s="44">
        <v>4.87</v>
      </c>
      <c r="E12" s="44">
        <v>4.82</v>
      </c>
      <c r="F12">
        <v>1995</v>
      </c>
      <c r="I12" s="9">
        <v>2004</v>
      </c>
      <c r="J12">
        <v>13.718571428571432</v>
      </c>
      <c r="K12">
        <v>12.59</v>
      </c>
      <c r="L12">
        <v>14</v>
      </c>
      <c r="N12">
        <v>2005</v>
      </c>
      <c r="O12">
        <v>13.657142857142857</v>
      </c>
      <c r="P12">
        <v>12.33714285714286</v>
      </c>
      <c r="Q12">
        <v>14</v>
      </c>
    </row>
    <row r="13" spans="1:17" ht="15" customHeight="1" x14ac:dyDescent="0.3">
      <c r="A13" s="42" t="s">
        <v>93</v>
      </c>
      <c r="B13" s="43">
        <v>34829</v>
      </c>
      <c r="C13" s="42" t="s">
        <v>34</v>
      </c>
      <c r="D13" s="44">
        <v>11.04</v>
      </c>
      <c r="E13" s="44">
        <v>10.32</v>
      </c>
      <c r="F13">
        <v>1995</v>
      </c>
      <c r="I13" s="9">
        <v>2005</v>
      </c>
      <c r="J13">
        <v>13.657142857142857</v>
      </c>
      <c r="K13">
        <v>12.33714285714286</v>
      </c>
      <c r="L13">
        <v>14</v>
      </c>
      <c r="N13">
        <v>2006</v>
      </c>
      <c r="O13">
        <v>15.958461538461536</v>
      </c>
      <c r="P13">
        <v>14.085384615384616</v>
      </c>
      <c r="Q13">
        <v>13</v>
      </c>
    </row>
    <row r="14" spans="1:17" ht="15" customHeight="1" x14ac:dyDescent="0.3">
      <c r="A14" s="42" t="s">
        <v>94</v>
      </c>
      <c r="B14" s="43">
        <v>34856</v>
      </c>
      <c r="C14" s="42" t="s">
        <v>34</v>
      </c>
      <c r="D14" s="44">
        <v>15.95</v>
      </c>
      <c r="E14" s="44">
        <v>12.46</v>
      </c>
      <c r="F14">
        <v>1995</v>
      </c>
      <c r="I14" s="9">
        <v>2006</v>
      </c>
      <c r="J14">
        <v>15.958461538461536</v>
      </c>
      <c r="K14">
        <v>14.085384615384616</v>
      </c>
      <c r="L14">
        <v>13</v>
      </c>
      <c r="N14">
        <v>2007</v>
      </c>
      <c r="O14">
        <v>13.697333333333336</v>
      </c>
      <c r="P14">
        <v>12.912000000000001</v>
      </c>
      <c r="Q14">
        <v>15</v>
      </c>
    </row>
    <row r="15" spans="1:17" ht="15" customHeight="1" x14ac:dyDescent="0.3">
      <c r="A15" s="42" t="s">
        <v>95</v>
      </c>
      <c r="B15" s="43">
        <v>34877</v>
      </c>
      <c r="C15" s="42" t="s">
        <v>34</v>
      </c>
      <c r="D15" s="44">
        <v>16.420000000000002</v>
      </c>
      <c r="E15" s="45"/>
      <c r="F15">
        <v>1995</v>
      </c>
      <c r="I15" s="9">
        <v>2007</v>
      </c>
      <c r="J15">
        <v>13.697333333333336</v>
      </c>
      <c r="K15">
        <v>12.912000000000001</v>
      </c>
      <c r="L15">
        <v>15</v>
      </c>
      <c r="N15">
        <v>2008</v>
      </c>
      <c r="O15">
        <v>14.158666666666671</v>
      </c>
      <c r="P15">
        <v>12.908571428571429</v>
      </c>
      <c r="Q15">
        <v>15</v>
      </c>
    </row>
    <row r="16" spans="1:17" ht="15" customHeight="1" x14ac:dyDescent="0.3">
      <c r="A16" s="42" t="s">
        <v>96</v>
      </c>
      <c r="B16" s="43">
        <v>34887</v>
      </c>
      <c r="C16" s="42" t="s">
        <v>34</v>
      </c>
      <c r="D16" s="44">
        <v>20.260000000000002</v>
      </c>
      <c r="E16" s="44">
        <v>17.93</v>
      </c>
      <c r="F16">
        <v>1995</v>
      </c>
      <c r="I16" s="9">
        <v>2008</v>
      </c>
      <c r="J16">
        <v>14.158666666666671</v>
      </c>
      <c r="K16">
        <v>12.908571428571429</v>
      </c>
      <c r="L16">
        <v>15</v>
      </c>
      <c r="N16">
        <v>2009</v>
      </c>
      <c r="O16">
        <v>13.479333333333335</v>
      </c>
      <c r="P16">
        <v>12.427999999999999</v>
      </c>
      <c r="Q16">
        <v>15</v>
      </c>
    </row>
    <row r="17" spans="1:17" ht="15" customHeight="1" x14ac:dyDescent="0.3">
      <c r="A17" s="42" t="s">
        <v>97</v>
      </c>
      <c r="B17" s="43">
        <v>34899</v>
      </c>
      <c r="C17" s="42" t="s">
        <v>34</v>
      </c>
      <c r="D17" s="44">
        <v>21.69</v>
      </c>
      <c r="E17" s="44">
        <v>18.66</v>
      </c>
      <c r="F17">
        <v>1995</v>
      </c>
      <c r="I17" s="9">
        <v>2009</v>
      </c>
      <c r="J17">
        <v>13.479333333333335</v>
      </c>
      <c r="K17">
        <v>12.427999999999999</v>
      </c>
      <c r="L17">
        <v>15</v>
      </c>
      <c r="N17">
        <v>2010</v>
      </c>
      <c r="O17">
        <v>14.652666666666667</v>
      </c>
      <c r="P17">
        <v>13.143333333333333</v>
      </c>
      <c r="Q17">
        <v>15</v>
      </c>
    </row>
    <row r="18" spans="1:17" ht="15" customHeight="1" x14ac:dyDescent="0.3">
      <c r="A18" s="42" t="s">
        <v>98</v>
      </c>
      <c r="B18" s="43">
        <v>34913</v>
      </c>
      <c r="C18" s="42" t="s">
        <v>34</v>
      </c>
      <c r="D18" s="44">
        <v>23.38</v>
      </c>
      <c r="E18" s="44">
        <v>22.05</v>
      </c>
      <c r="F18">
        <v>1995</v>
      </c>
      <c r="I18" s="9">
        <v>2010</v>
      </c>
      <c r="J18">
        <v>14.652666666666667</v>
      </c>
      <c r="K18">
        <v>13.143333333333333</v>
      </c>
      <c r="L18">
        <v>15</v>
      </c>
      <c r="N18">
        <v>2011</v>
      </c>
      <c r="O18">
        <v>14.173999999999999</v>
      </c>
      <c r="P18">
        <v>12.600714285714286</v>
      </c>
      <c r="Q18">
        <v>15</v>
      </c>
    </row>
    <row r="19" spans="1:17" ht="15" customHeight="1" x14ac:dyDescent="0.3">
      <c r="A19" s="42" t="s">
        <v>99</v>
      </c>
      <c r="B19" s="43">
        <v>34926</v>
      </c>
      <c r="C19" s="42" t="s">
        <v>34</v>
      </c>
      <c r="D19" s="44">
        <v>23.05</v>
      </c>
      <c r="E19" s="44">
        <v>21.89</v>
      </c>
      <c r="F19">
        <v>1995</v>
      </c>
      <c r="I19" s="9">
        <v>2011</v>
      </c>
      <c r="J19">
        <v>14.173999999999999</v>
      </c>
      <c r="K19">
        <v>12.600714285714286</v>
      </c>
      <c r="L19">
        <v>15</v>
      </c>
      <c r="N19">
        <v>2012</v>
      </c>
      <c r="O19">
        <v>15.662500000000001</v>
      </c>
      <c r="P19">
        <v>14.640000000000002</v>
      </c>
      <c r="Q19">
        <v>16</v>
      </c>
    </row>
    <row r="20" spans="1:17" ht="15" customHeight="1" x14ac:dyDescent="0.3">
      <c r="A20" s="42" t="s">
        <v>100</v>
      </c>
      <c r="B20" s="43">
        <v>34953</v>
      </c>
      <c r="C20" s="42" t="s">
        <v>34</v>
      </c>
      <c r="D20" s="44">
        <v>22.06</v>
      </c>
      <c r="E20" s="44">
        <v>21.45</v>
      </c>
      <c r="F20">
        <v>1995</v>
      </c>
      <c r="I20" s="9">
        <v>2012</v>
      </c>
      <c r="J20">
        <v>15.662500000000001</v>
      </c>
      <c r="K20">
        <v>14.640000000000002</v>
      </c>
      <c r="L20">
        <v>16</v>
      </c>
      <c r="N20">
        <v>2013</v>
      </c>
      <c r="O20">
        <v>14.938749999999999</v>
      </c>
      <c r="P20">
        <v>14.009375</v>
      </c>
      <c r="Q20">
        <v>16</v>
      </c>
    </row>
    <row r="21" spans="1:17" ht="15" customHeight="1" x14ac:dyDescent="0.3">
      <c r="A21" s="42" t="s">
        <v>101</v>
      </c>
      <c r="B21" s="43">
        <v>34976</v>
      </c>
      <c r="C21" s="42" t="s">
        <v>34</v>
      </c>
      <c r="D21" s="44">
        <v>19.41</v>
      </c>
      <c r="E21" s="44">
        <v>19.68</v>
      </c>
      <c r="F21">
        <v>1995</v>
      </c>
      <c r="I21" s="9">
        <v>2013</v>
      </c>
      <c r="J21">
        <v>14.938749999999999</v>
      </c>
      <c r="K21">
        <v>14.009375</v>
      </c>
      <c r="L21">
        <v>16</v>
      </c>
      <c r="N21">
        <v>2014</v>
      </c>
      <c r="O21">
        <v>13.791874999999997</v>
      </c>
      <c r="P21">
        <v>13.1425</v>
      </c>
      <c r="Q21">
        <v>16</v>
      </c>
    </row>
    <row r="22" spans="1:17" ht="15" customHeight="1" x14ac:dyDescent="0.3">
      <c r="A22" s="42" t="s">
        <v>102</v>
      </c>
      <c r="B22" s="43">
        <v>35004</v>
      </c>
      <c r="C22" s="42" t="s">
        <v>34</v>
      </c>
      <c r="D22" s="44">
        <v>16.11</v>
      </c>
      <c r="E22" s="44">
        <v>16.13</v>
      </c>
      <c r="F22">
        <v>1995</v>
      </c>
      <c r="I22" s="9">
        <v>2014</v>
      </c>
      <c r="J22">
        <v>13.791874999999997</v>
      </c>
      <c r="K22">
        <v>13.1425</v>
      </c>
      <c r="L22">
        <v>16</v>
      </c>
      <c r="N22">
        <v>2015</v>
      </c>
      <c r="O22">
        <v>14.070625</v>
      </c>
      <c r="P22">
        <v>13.094374999999999</v>
      </c>
      <c r="Q22">
        <v>16</v>
      </c>
    </row>
    <row r="23" spans="1:17" ht="15" customHeight="1" x14ac:dyDescent="0.3">
      <c r="A23" s="42" t="s">
        <v>103</v>
      </c>
      <c r="B23" s="43">
        <v>35039</v>
      </c>
      <c r="C23" s="42" t="s">
        <v>34</v>
      </c>
      <c r="D23" s="44">
        <v>8.09</v>
      </c>
      <c r="E23" s="44">
        <v>8.1</v>
      </c>
      <c r="F23">
        <v>1995</v>
      </c>
      <c r="I23" s="9">
        <v>2015</v>
      </c>
      <c r="J23">
        <v>14.070625</v>
      </c>
      <c r="K23">
        <v>13.094374999999999</v>
      </c>
      <c r="L23">
        <v>16</v>
      </c>
      <c r="N23">
        <v>2016</v>
      </c>
      <c r="O23">
        <v>15.960625000000002</v>
      </c>
      <c r="P23">
        <v>14.889375000000001</v>
      </c>
      <c r="Q23">
        <v>16</v>
      </c>
    </row>
    <row r="24" spans="1:17" ht="15" customHeight="1" x14ac:dyDescent="0.3">
      <c r="A24" s="42" t="s">
        <v>104</v>
      </c>
      <c r="B24" s="43">
        <v>35104</v>
      </c>
      <c r="C24" s="42" t="s">
        <v>34</v>
      </c>
      <c r="D24" s="44">
        <v>-0.13</v>
      </c>
      <c r="E24" s="44">
        <v>-0.15</v>
      </c>
      <c r="F24">
        <v>1996</v>
      </c>
      <c r="I24" s="9">
        <v>2016</v>
      </c>
      <c r="J24">
        <v>15.960625000000002</v>
      </c>
      <c r="K24">
        <v>14.889375000000001</v>
      </c>
      <c r="L24">
        <v>16</v>
      </c>
      <c r="N24">
        <v>2017</v>
      </c>
      <c r="O24">
        <v>14.555333333333332</v>
      </c>
      <c r="P24">
        <v>13.627333333333334</v>
      </c>
      <c r="Q24">
        <v>15</v>
      </c>
    </row>
    <row r="25" spans="1:17" ht="15" customHeight="1" x14ac:dyDescent="0.3">
      <c r="A25" s="42" t="s">
        <v>105</v>
      </c>
      <c r="B25" s="43">
        <v>35130</v>
      </c>
      <c r="C25" s="42" t="s">
        <v>34</v>
      </c>
      <c r="D25" s="44">
        <v>0.91</v>
      </c>
      <c r="E25" s="46">
        <v>0.9</v>
      </c>
      <c r="F25">
        <v>1996</v>
      </c>
      <c r="I25" s="9">
        <v>2017</v>
      </c>
      <c r="J25">
        <v>14.555333333333332</v>
      </c>
      <c r="K25">
        <v>13.627333333333334</v>
      </c>
      <c r="L25">
        <v>15</v>
      </c>
      <c r="N25">
        <v>2018</v>
      </c>
      <c r="O25">
        <v>14.441249999999998</v>
      </c>
      <c r="P25">
        <v>13.470625000000002</v>
      </c>
      <c r="Q25">
        <v>16</v>
      </c>
    </row>
    <row r="26" spans="1:17" ht="15" customHeight="1" x14ac:dyDescent="0.3">
      <c r="A26" s="42" t="s">
        <v>106</v>
      </c>
      <c r="B26" s="43">
        <v>35158</v>
      </c>
      <c r="C26" s="42" t="s">
        <v>34</v>
      </c>
      <c r="D26" s="46">
        <v>3.78</v>
      </c>
      <c r="E26" s="46">
        <v>3.6</v>
      </c>
      <c r="F26">
        <v>1996</v>
      </c>
      <c r="I26" s="9">
        <v>2018</v>
      </c>
      <c r="J26">
        <v>14.441249999999998</v>
      </c>
      <c r="K26">
        <v>13.470625000000002</v>
      </c>
      <c r="L26">
        <v>16</v>
      </c>
      <c r="N26">
        <v>2019</v>
      </c>
      <c r="O26">
        <v>14.727500000000001</v>
      </c>
      <c r="P26">
        <v>13.50625</v>
      </c>
      <c r="Q26">
        <v>16</v>
      </c>
    </row>
    <row r="27" spans="1:17" ht="15" customHeight="1" x14ac:dyDescent="0.3">
      <c r="A27" s="42" t="s">
        <v>107</v>
      </c>
      <c r="B27" s="43">
        <v>35198</v>
      </c>
      <c r="C27" s="42" t="s">
        <v>34</v>
      </c>
      <c r="D27" s="44">
        <v>10.14</v>
      </c>
      <c r="E27" s="44">
        <v>9.9600000000000009</v>
      </c>
      <c r="F27">
        <v>1996</v>
      </c>
      <c r="I27" s="9">
        <v>2019</v>
      </c>
      <c r="J27">
        <v>14.727500000000001</v>
      </c>
      <c r="K27">
        <v>13.50625</v>
      </c>
      <c r="L27">
        <v>16</v>
      </c>
      <c r="N27">
        <v>2020</v>
      </c>
      <c r="O27">
        <v>16.393636363636361</v>
      </c>
      <c r="P27">
        <v>15.269090909090909</v>
      </c>
      <c r="Q27">
        <v>11</v>
      </c>
    </row>
    <row r="28" spans="1:17" ht="15" customHeight="1" x14ac:dyDescent="0.3">
      <c r="A28" s="42" t="s">
        <v>108</v>
      </c>
      <c r="B28" s="43">
        <v>35219</v>
      </c>
      <c r="C28" s="42" t="s">
        <v>34</v>
      </c>
      <c r="D28" s="44">
        <v>14.15</v>
      </c>
      <c r="E28" s="44">
        <v>12.41</v>
      </c>
      <c r="F28">
        <v>1996</v>
      </c>
      <c r="I28" s="9">
        <v>2020</v>
      </c>
      <c r="J28">
        <v>16.393636363636361</v>
      </c>
      <c r="K28">
        <v>15.269090909090909</v>
      </c>
      <c r="L28">
        <v>11</v>
      </c>
      <c r="N28">
        <v>2021</v>
      </c>
      <c r="O28">
        <v>17.339285714285712</v>
      </c>
      <c r="P28">
        <v>16.039285714285711</v>
      </c>
      <c r="Q28">
        <v>14</v>
      </c>
    </row>
    <row r="29" spans="1:17" ht="15" customHeight="1" x14ac:dyDescent="0.3">
      <c r="A29" s="42" t="s">
        <v>109</v>
      </c>
      <c r="B29" s="43">
        <v>35243</v>
      </c>
      <c r="C29" s="42" t="s">
        <v>34</v>
      </c>
      <c r="D29" s="44">
        <v>19.18</v>
      </c>
      <c r="E29" s="44">
        <v>16.600000000000001</v>
      </c>
      <c r="F29">
        <v>1996</v>
      </c>
      <c r="I29" s="9" t="s">
        <v>516</v>
      </c>
      <c r="N29">
        <v>2022</v>
      </c>
      <c r="O29">
        <v>15.270714285714282</v>
      </c>
      <c r="P29">
        <v>14.098571428571429</v>
      </c>
      <c r="Q29">
        <v>14</v>
      </c>
    </row>
    <row r="30" spans="1:17" ht="15" customHeight="1" x14ac:dyDescent="0.3">
      <c r="A30" s="42" t="s">
        <v>110</v>
      </c>
      <c r="B30" s="43">
        <v>35255</v>
      </c>
      <c r="C30" s="42" t="s">
        <v>34</v>
      </c>
      <c r="D30" s="44">
        <v>17.88</v>
      </c>
      <c r="E30" s="46">
        <v>16.2</v>
      </c>
      <c r="F30">
        <v>1996</v>
      </c>
      <c r="I30" s="9">
        <v>2021</v>
      </c>
      <c r="J30">
        <v>17.339285714285712</v>
      </c>
      <c r="K30">
        <v>16.039285714285711</v>
      </c>
      <c r="L30">
        <v>14</v>
      </c>
      <c r="N30">
        <v>2023</v>
      </c>
      <c r="O30">
        <v>15.995000000000001</v>
      </c>
      <c r="P30">
        <v>14.803571428571429</v>
      </c>
      <c r="Q30">
        <v>14</v>
      </c>
    </row>
    <row r="31" spans="1:17" ht="15" customHeight="1" x14ac:dyDescent="0.3">
      <c r="A31" s="42" t="s">
        <v>111</v>
      </c>
      <c r="B31" s="43">
        <v>35271</v>
      </c>
      <c r="C31" s="42" t="s">
        <v>34</v>
      </c>
      <c r="D31" s="44">
        <v>20.350000000000001</v>
      </c>
      <c r="E31" s="44">
        <v>17.829999999999998</v>
      </c>
      <c r="F31">
        <v>1996</v>
      </c>
      <c r="I31" s="9">
        <v>2022</v>
      </c>
      <c r="J31">
        <v>15.270714285714282</v>
      </c>
      <c r="K31">
        <v>14.098571428571429</v>
      </c>
      <c r="L31">
        <v>14</v>
      </c>
      <c r="N31">
        <v>2024</v>
      </c>
      <c r="O31">
        <v>15.592499999999999</v>
      </c>
      <c r="P31">
        <v>13.423636363636364</v>
      </c>
      <c r="Q31">
        <v>12</v>
      </c>
    </row>
    <row r="32" spans="1:17" ht="15" customHeight="1" x14ac:dyDescent="0.3">
      <c r="A32" s="42" t="s">
        <v>112</v>
      </c>
      <c r="B32" s="43">
        <v>35285</v>
      </c>
      <c r="C32" s="42" t="s">
        <v>34</v>
      </c>
      <c r="D32" s="44">
        <v>22.07</v>
      </c>
      <c r="E32" s="46">
        <v>19.489999999999998</v>
      </c>
      <c r="F32">
        <v>1996</v>
      </c>
      <c r="I32" s="9">
        <v>2023</v>
      </c>
      <c r="J32">
        <v>15.995000000000001</v>
      </c>
      <c r="K32">
        <v>14.803571428571429</v>
      </c>
      <c r="L32">
        <v>14</v>
      </c>
      <c r="N32" t="s">
        <v>517</v>
      </c>
      <c r="O32">
        <v>14.7691085778781</v>
      </c>
      <c r="P32">
        <v>13.494297897196269</v>
      </c>
      <c r="Q32">
        <v>445</v>
      </c>
    </row>
    <row r="33" spans="1:12" ht="15" customHeight="1" x14ac:dyDescent="0.3">
      <c r="A33" s="42" t="s">
        <v>113</v>
      </c>
      <c r="B33" s="43">
        <v>35299</v>
      </c>
      <c r="C33" s="42" t="s">
        <v>34</v>
      </c>
      <c r="D33" s="44">
        <v>22.29</v>
      </c>
      <c r="E33" s="46">
        <v>21.08</v>
      </c>
      <c r="F33">
        <v>1996</v>
      </c>
      <c r="I33" s="9">
        <v>2024</v>
      </c>
      <c r="J33">
        <v>15.592499999999999</v>
      </c>
      <c r="K33">
        <v>13.423636363636364</v>
      </c>
      <c r="L33">
        <v>12</v>
      </c>
    </row>
    <row r="34" spans="1:12" ht="15" customHeight="1" x14ac:dyDescent="0.3">
      <c r="A34" s="42" t="s">
        <v>114</v>
      </c>
      <c r="B34" s="43">
        <v>35314</v>
      </c>
      <c r="C34" s="42" t="s">
        <v>34</v>
      </c>
      <c r="D34" s="44">
        <v>23.55</v>
      </c>
      <c r="E34" s="45"/>
      <c r="F34">
        <v>1996</v>
      </c>
      <c r="I34" s="9" t="s">
        <v>517</v>
      </c>
      <c r="J34">
        <v>14.7691085778781</v>
      </c>
      <c r="K34">
        <v>13.494297897196269</v>
      </c>
      <c r="L34">
        <v>445</v>
      </c>
    </row>
    <row r="35" spans="1:12" ht="15" customHeight="1" x14ac:dyDescent="0.3">
      <c r="A35" s="42" t="s">
        <v>115</v>
      </c>
      <c r="B35" s="43">
        <v>35342</v>
      </c>
      <c r="C35" s="42" t="s">
        <v>34</v>
      </c>
      <c r="D35" s="44">
        <v>17.489999999999998</v>
      </c>
      <c r="E35" s="44">
        <v>17.28</v>
      </c>
      <c r="F35">
        <v>1996</v>
      </c>
    </row>
    <row r="36" spans="1:12" ht="15" customHeight="1" x14ac:dyDescent="0.3">
      <c r="A36" s="42" t="s">
        <v>116</v>
      </c>
      <c r="B36" s="43">
        <v>35374</v>
      </c>
      <c r="C36" s="42" t="s">
        <v>34</v>
      </c>
      <c r="D36" s="44">
        <v>13.27</v>
      </c>
      <c r="E36" s="44">
        <v>13.24</v>
      </c>
      <c r="F36">
        <v>1996</v>
      </c>
    </row>
    <row r="37" spans="1:12" ht="15" customHeight="1" x14ac:dyDescent="0.3">
      <c r="A37" s="42" t="s">
        <v>117</v>
      </c>
      <c r="B37" s="43">
        <v>35409</v>
      </c>
      <c r="C37" s="42" t="s">
        <v>34</v>
      </c>
      <c r="D37" s="44">
        <v>7.56</v>
      </c>
      <c r="E37" s="44">
        <v>7.64</v>
      </c>
      <c r="F37">
        <v>1996</v>
      </c>
    </row>
    <row r="38" spans="1:12" ht="15" customHeight="1" x14ac:dyDescent="0.3">
      <c r="A38" s="42" t="s">
        <v>118</v>
      </c>
      <c r="B38" s="43">
        <v>35465</v>
      </c>
      <c r="C38" s="42" t="s">
        <v>34</v>
      </c>
      <c r="D38" s="44">
        <v>2.04</v>
      </c>
      <c r="E38" s="44">
        <v>1.98</v>
      </c>
      <c r="F38">
        <v>1997</v>
      </c>
    </row>
    <row r="39" spans="1:12" ht="15" customHeight="1" x14ac:dyDescent="0.3">
      <c r="A39" s="42" t="s">
        <v>119</v>
      </c>
      <c r="B39" s="43">
        <v>35493</v>
      </c>
      <c r="C39" s="42" t="s">
        <v>34</v>
      </c>
      <c r="D39" s="44">
        <v>3.24</v>
      </c>
      <c r="E39" s="44">
        <v>3.03</v>
      </c>
      <c r="F39">
        <v>1997</v>
      </c>
    </row>
    <row r="40" spans="1:12" ht="15" customHeight="1" x14ac:dyDescent="0.3">
      <c r="A40" s="42" t="s">
        <v>120</v>
      </c>
      <c r="B40" s="43">
        <v>35522</v>
      </c>
      <c r="C40" s="42" t="s">
        <v>34</v>
      </c>
      <c r="D40" s="44">
        <v>5.01</v>
      </c>
      <c r="E40" s="44">
        <v>4.74</v>
      </c>
      <c r="F40">
        <v>1997</v>
      </c>
    </row>
    <row r="41" spans="1:12" ht="15" customHeight="1" x14ac:dyDescent="0.3">
      <c r="A41" s="42" t="s">
        <v>121</v>
      </c>
      <c r="B41" s="43">
        <v>35558</v>
      </c>
      <c r="C41" s="42" t="s">
        <v>34</v>
      </c>
      <c r="D41" s="44">
        <v>9.6999999999999993</v>
      </c>
      <c r="E41" s="44">
        <v>8.98</v>
      </c>
      <c r="F41">
        <v>1997</v>
      </c>
    </row>
    <row r="42" spans="1:12" ht="15" customHeight="1" x14ac:dyDescent="0.3">
      <c r="A42" s="42" t="s">
        <v>122</v>
      </c>
      <c r="B42" s="43">
        <v>35586</v>
      </c>
      <c r="C42" s="42" t="s">
        <v>34</v>
      </c>
      <c r="D42" s="44">
        <v>12.94</v>
      </c>
      <c r="E42" s="44">
        <v>12.34</v>
      </c>
      <c r="F42">
        <v>1997</v>
      </c>
    </row>
    <row r="43" spans="1:12" ht="15" customHeight="1" x14ac:dyDescent="0.3">
      <c r="A43" s="42" t="s">
        <v>123</v>
      </c>
      <c r="B43" s="43">
        <v>35611</v>
      </c>
      <c r="C43" s="42" t="s">
        <v>34</v>
      </c>
      <c r="D43" s="44">
        <v>18.329999999999998</v>
      </c>
      <c r="E43" s="45"/>
      <c r="F43">
        <v>1997</v>
      </c>
    </row>
    <row r="44" spans="1:12" ht="15" customHeight="1" x14ac:dyDescent="0.3">
      <c r="A44" s="42" t="s">
        <v>124</v>
      </c>
      <c r="B44" s="43">
        <v>35634</v>
      </c>
      <c r="C44" s="42" t="s">
        <v>34</v>
      </c>
      <c r="D44" s="44">
        <v>21.11</v>
      </c>
      <c r="E44" s="45"/>
      <c r="F44">
        <v>1997</v>
      </c>
    </row>
    <row r="45" spans="1:12" ht="15" customHeight="1" x14ac:dyDescent="0.3">
      <c r="A45" s="42" t="s">
        <v>125</v>
      </c>
      <c r="B45" s="43">
        <v>35646</v>
      </c>
      <c r="C45" s="42" t="s">
        <v>34</v>
      </c>
      <c r="D45" s="44">
        <v>22.77</v>
      </c>
      <c r="E45" s="44">
        <v>19.75</v>
      </c>
      <c r="F45">
        <v>1997</v>
      </c>
    </row>
    <row r="46" spans="1:12" ht="15" customHeight="1" x14ac:dyDescent="0.3">
      <c r="A46" s="42" t="s">
        <v>126</v>
      </c>
      <c r="B46" s="43">
        <v>35664</v>
      </c>
      <c r="C46" s="42" t="s">
        <v>34</v>
      </c>
      <c r="D46" s="44">
        <v>20.93</v>
      </c>
      <c r="E46" s="46">
        <v>20.88</v>
      </c>
      <c r="F46">
        <v>1997</v>
      </c>
    </row>
    <row r="47" spans="1:12" ht="15" customHeight="1" x14ac:dyDescent="0.3">
      <c r="A47" s="42" t="s">
        <v>127</v>
      </c>
      <c r="B47" s="43">
        <v>35678</v>
      </c>
      <c r="C47" s="42" t="s">
        <v>34</v>
      </c>
      <c r="D47" s="44">
        <v>21.31</v>
      </c>
      <c r="E47" s="45"/>
      <c r="F47">
        <v>1997</v>
      </c>
    </row>
    <row r="48" spans="1:12" ht="15" customHeight="1" x14ac:dyDescent="0.3">
      <c r="A48" s="42" t="s">
        <v>128</v>
      </c>
      <c r="B48" s="43">
        <v>35710</v>
      </c>
      <c r="C48" s="42" t="s">
        <v>34</v>
      </c>
      <c r="D48" s="44">
        <v>19.32</v>
      </c>
      <c r="E48" s="46">
        <v>18.48</v>
      </c>
      <c r="F48">
        <v>1997</v>
      </c>
    </row>
    <row r="49" spans="1:6" ht="15" customHeight="1" x14ac:dyDescent="0.3">
      <c r="A49" s="42" t="s">
        <v>129</v>
      </c>
      <c r="B49" s="43">
        <v>35738</v>
      </c>
      <c r="C49" s="42" t="s">
        <v>34</v>
      </c>
      <c r="D49" s="44">
        <v>14.2</v>
      </c>
      <c r="E49" s="44">
        <v>14.13</v>
      </c>
      <c r="F49">
        <v>1997</v>
      </c>
    </row>
    <row r="50" spans="1:6" ht="15" customHeight="1" x14ac:dyDescent="0.3">
      <c r="A50" s="42" t="s">
        <v>130</v>
      </c>
      <c r="B50" s="43">
        <v>35773</v>
      </c>
      <c r="C50" s="42" t="s">
        <v>34</v>
      </c>
      <c r="D50" s="44">
        <v>7.08</v>
      </c>
      <c r="E50" s="44">
        <v>7.26</v>
      </c>
      <c r="F50">
        <v>1997</v>
      </c>
    </row>
    <row r="51" spans="1:6" ht="15" customHeight="1" x14ac:dyDescent="0.3">
      <c r="A51" s="42" t="s">
        <v>131</v>
      </c>
      <c r="B51" s="43">
        <v>35803</v>
      </c>
      <c r="C51" s="42" t="s">
        <v>34</v>
      </c>
      <c r="D51" s="44">
        <v>5.34</v>
      </c>
      <c r="E51" s="44">
        <v>4.83</v>
      </c>
      <c r="F51">
        <v>1998</v>
      </c>
    </row>
    <row r="52" spans="1:6" ht="15" customHeight="1" x14ac:dyDescent="0.3">
      <c r="A52" s="42" t="s">
        <v>132</v>
      </c>
      <c r="B52" s="43">
        <v>35828</v>
      </c>
      <c r="C52" s="42" t="s">
        <v>34</v>
      </c>
      <c r="D52" s="45"/>
      <c r="E52" s="45"/>
      <c r="F52">
        <v>1998</v>
      </c>
    </row>
    <row r="53" spans="1:6" ht="15" customHeight="1" x14ac:dyDescent="0.3">
      <c r="A53" s="42" t="s">
        <v>134</v>
      </c>
      <c r="B53" s="43">
        <v>35857</v>
      </c>
      <c r="C53" s="42" t="s">
        <v>34</v>
      </c>
      <c r="D53" s="44">
        <v>4.76</v>
      </c>
      <c r="E53" s="44">
        <v>4.28</v>
      </c>
      <c r="F53">
        <v>1998</v>
      </c>
    </row>
    <row r="54" spans="1:6" ht="15" customHeight="1" x14ac:dyDescent="0.3">
      <c r="A54" s="42" t="s">
        <v>136</v>
      </c>
      <c r="B54" s="43">
        <v>35900</v>
      </c>
      <c r="C54" s="42" t="s">
        <v>34</v>
      </c>
      <c r="D54" s="44">
        <v>7.98</v>
      </c>
      <c r="E54" s="44">
        <v>7.31</v>
      </c>
      <c r="F54">
        <v>1998</v>
      </c>
    </row>
    <row r="55" spans="1:6" ht="15" customHeight="1" x14ac:dyDescent="0.3">
      <c r="A55" s="42" t="s">
        <v>137</v>
      </c>
      <c r="B55" s="43">
        <v>35923</v>
      </c>
      <c r="C55" s="42" t="s">
        <v>34</v>
      </c>
      <c r="D55" s="44">
        <v>12.1951</v>
      </c>
      <c r="E55" s="44">
        <v>10.019500000000001</v>
      </c>
      <c r="F55">
        <v>1998</v>
      </c>
    </row>
    <row r="56" spans="1:6" ht="15" customHeight="1" x14ac:dyDescent="0.3">
      <c r="A56" s="42" t="s">
        <v>138</v>
      </c>
      <c r="B56" s="43">
        <v>35947</v>
      </c>
      <c r="C56" s="42" t="s">
        <v>34</v>
      </c>
      <c r="D56" s="44">
        <v>15.68</v>
      </c>
      <c r="E56" s="44">
        <v>14.22</v>
      </c>
      <c r="F56">
        <v>1998</v>
      </c>
    </row>
    <row r="57" spans="1:6" ht="15" customHeight="1" x14ac:dyDescent="0.3">
      <c r="A57" s="42" t="s">
        <v>139</v>
      </c>
      <c r="B57" s="43">
        <v>35972</v>
      </c>
      <c r="C57" s="42" t="s">
        <v>34</v>
      </c>
      <c r="D57" s="44">
        <v>20.57</v>
      </c>
      <c r="E57" s="44">
        <v>18.53</v>
      </c>
      <c r="F57">
        <v>1998</v>
      </c>
    </row>
    <row r="58" spans="1:6" ht="15" customHeight="1" x14ac:dyDescent="0.3">
      <c r="A58" s="42" t="s">
        <v>140</v>
      </c>
      <c r="B58" s="43">
        <v>35985</v>
      </c>
      <c r="C58" s="42" t="s">
        <v>34</v>
      </c>
      <c r="D58" s="44">
        <v>19.79</v>
      </c>
      <c r="E58" s="44">
        <v>17.600000000000001</v>
      </c>
      <c r="F58">
        <v>1998</v>
      </c>
    </row>
    <row r="59" spans="1:6" ht="15" customHeight="1" x14ac:dyDescent="0.3">
      <c r="A59" s="42" t="s">
        <v>141</v>
      </c>
      <c r="B59" s="43">
        <v>35999</v>
      </c>
      <c r="C59" s="42" t="s">
        <v>34</v>
      </c>
      <c r="D59" s="44">
        <v>23.02</v>
      </c>
      <c r="E59" s="44">
        <v>19.54</v>
      </c>
      <c r="F59">
        <v>1998</v>
      </c>
    </row>
    <row r="60" spans="1:6" ht="15" customHeight="1" x14ac:dyDescent="0.3">
      <c r="A60" s="42" t="s">
        <v>142</v>
      </c>
      <c r="B60" s="43">
        <v>36011</v>
      </c>
      <c r="C60" s="42" t="s">
        <v>34</v>
      </c>
      <c r="D60" s="44">
        <v>25.7</v>
      </c>
      <c r="E60" s="44">
        <v>20.76</v>
      </c>
      <c r="F60">
        <v>1998</v>
      </c>
    </row>
    <row r="61" spans="1:6" ht="15" customHeight="1" x14ac:dyDescent="0.3">
      <c r="A61" s="42" t="s">
        <v>143</v>
      </c>
      <c r="B61" s="43">
        <v>36025</v>
      </c>
      <c r="C61" s="42" t="s">
        <v>34</v>
      </c>
      <c r="D61" s="44">
        <v>23.15</v>
      </c>
      <c r="E61" s="44">
        <v>21.47</v>
      </c>
      <c r="F61">
        <v>1998</v>
      </c>
    </row>
    <row r="62" spans="1:6" ht="15" customHeight="1" x14ac:dyDescent="0.3">
      <c r="A62" s="42" t="s">
        <v>144</v>
      </c>
      <c r="B62" s="43">
        <v>36041</v>
      </c>
      <c r="C62" s="42" t="s">
        <v>34</v>
      </c>
      <c r="D62" s="44">
        <v>23.09</v>
      </c>
      <c r="E62" s="44">
        <v>22.4</v>
      </c>
      <c r="F62">
        <v>1998</v>
      </c>
    </row>
    <row r="63" spans="1:6" ht="15" customHeight="1" x14ac:dyDescent="0.3">
      <c r="A63" s="42" t="s">
        <v>145</v>
      </c>
      <c r="B63" s="43">
        <v>36054</v>
      </c>
      <c r="C63" s="42" t="s">
        <v>34</v>
      </c>
      <c r="D63" s="44">
        <v>22.52</v>
      </c>
      <c r="E63" s="45"/>
      <c r="F63">
        <v>1998</v>
      </c>
    </row>
    <row r="64" spans="1:6" ht="15" customHeight="1" x14ac:dyDescent="0.3">
      <c r="A64" s="42" t="s">
        <v>146</v>
      </c>
      <c r="B64" s="43">
        <v>36075</v>
      </c>
      <c r="C64" s="42" t="s">
        <v>34</v>
      </c>
      <c r="D64" s="44">
        <v>19.13</v>
      </c>
      <c r="E64" s="44">
        <v>19.149999999999999</v>
      </c>
      <c r="F64">
        <v>1998</v>
      </c>
    </row>
    <row r="65" spans="1:6" ht="15" customHeight="1" x14ac:dyDescent="0.3">
      <c r="A65" s="42" t="s">
        <v>147</v>
      </c>
      <c r="B65" s="43">
        <v>36105</v>
      </c>
      <c r="C65" s="42" t="s">
        <v>34</v>
      </c>
      <c r="D65" s="44">
        <v>13.11</v>
      </c>
      <c r="E65" s="44">
        <v>12.78</v>
      </c>
      <c r="F65">
        <v>1998</v>
      </c>
    </row>
    <row r="66" spans="1:6" ht="15" customHeight="1" x14ac:dyDescent="0.3">
      <c r="A66" s="42" t="s">
        <v>148</v>
      </c>
      <c r="B66" s="43">
        <v>36132</v>
      </c>
      <c r="C66" s="42" t="s">
        <v>34</v>
      </c>
      <c r="D66" s="44">
        <v>10.64</v>
      </c>
      <c r="E66" s="44">
        <v>10.61</v>
      </c>
      <c r="F66">
        <v>1998</v>
      </c>
    </row>
    <row r="67" spans="1:6" ht="15" customHeight="1" x14ac:dyDescent="0.3">
      <c r="A67" s="42" t="s">
        <v>149</v>
      </c>
      <c r="B67" s="43">
        <v>36168</v>
      </c>
      <c r="C67" s="42" t="s">
        <v>34</v>
      </c>
      <c r="D67" s="44">
        <v>3.7</v>
      </c>
      <c r="E67" s="44">
        <v>4</v>
      </c>
      <c r="F67">
        <v>1999</v>
      </c>
    </row>
    <row r="68" spans="1:6" ht="15" customHeight="1" x14ac:dyDescent="0.3">
      <c r="A68" s="42" t="s">
        <v>150</v>
      </c>
      <c r="B68" s="43">
        <v>36194</v>
      </c>
      <c r="C68" s="42" t="s">
        <v>34</v>
      </c>
      <c r="D68" s="44">
        <v>3.2</v>
      </c>
      <c r="E68" s="44">
        <v>3.15</v>
      </c>
      <c r="F68">
        <v>1999</v>
      </c>
    </row>
    <row r="69" spans="1:6" ht="15" customHeight="1" x14ac:dyDescent="0.3">
      <c r="A69" s="42" t="s">
        <v>152</v>
      </c>
      <c r="B69" s="43">
        <v>36224</v>
      </c>
      <c r="C69" s="42" t="s">
        <v>34</v>
      </c>
      <c r="D69" s="44">
        <v>3.37</v>
      </c>
      <c r="E69" s="44">
        <v>3.12</v>
      </c>
      <c r="F69">
        <v>1999</v>
      </c>
    </row>
    <row r="70" spans="1:6" ht="15" customHeight="1" x14ac:dyDescent="0.3">
      <c r="A70" s="42" t="s">
        <v>154</v>
      </c>
      <c r="B70" s="43">
        <v>36258</v>
      </c>
      <c r="C70" s="42" t="s">
        <v>34</v>
      </c>
      <c r="D70" s="44">
        <v>7.27</v>
      </c>
      <c r="E70" s="44">
        <v>6.56</v>
      </c>
      <c r="F70">
        <v>1999</v>
      </c>
    </row>
    <row r="71" spans="1:6" ht="15" customHeight="1" x14ac:dyDescent="0.3">
      <c r="A71" s="42" t="s">
        <v>155</v>
      </c>
      <c r="B71" s="43">
        <v>36287</v>
      </c>
      <c r="C71" s="42" t="s">
        <v>34</v>
      </c>
      <c r="D71" s="44">
        <v>10.29</v>
      </c>
      <c r="E71" s="44">
        <v>9.1999999999999993</v>
      </c>
      <c r="F71">
        <v>1999</v>
      </c>
    </row>
    <row r="72" spans="1:6" ht="15" customHeight="1" x14ac:dyDescent="0.3">
      <c r="A72" s="42" t="s">
        <v>156</v>
      </c>
      <c r="B72" s="43">
        <v>36312</v>
      </c>
      <c r="C72" s="42" t="s">
        <v>34</v>
      </c>
      <c r="D72" s="44">
        <v>16.97</v>
      </c>
      <c r="E72" s="44">
        <v>13.48</v>
      </c>
      <c r="F72">
        <v>1999</v>
      </c>
    </row>
    <row r="73" spans="1:6" ht="15" customHeight="1" x14ac:dyDescent="0.3">
      <c r="A73" s="42" t="s">
        <v>157</v>
      </c>
      <c r="B73" s="43">
        <v>36336</v>
      </c>
      <c r="C73" s="42" t="s">
        <v>34</v>
      </c>
      <c r="D73" s="44">
        <v>19.04</v>
      </c>
      <c r="E73" s="44">
        <v>17.78</v>
      </c>
      <c r="F73">
        <v>1999</v>
      </c>
    </row>
    <row r="74" spans="1:6" ht="15" customHeight="1" x14ac:dyDescent="0.3">
      <c r="A74" s="42" t="s">
        <v>158</v>
      </c>
      <c r="B74" s="43">
        <v>36349</v>
      </c>
      <c r="C74" s="42" t="s">
        <v>34</v>
      </c>
      <c r="D74" s="44">
        <v>22.72</v>
      </c>
      <c r="E74" s="44">
        <v>21.04</v>
      </c>
      <c r="F74">
        <v>1999</v>
      </c>
    </row>
    <row r="75" spans="1:6" ht="15" customHeight="1" x14ac:dyDescent="0.3">
      <c r="A75" s="42" t="s">
        <v>159</v>
      </c>
      <c r="B75" s="43">
        <v>36363</v>
      </c>
      <c r="C75" s="42" t="s">
        <v>34</v>
      </c>
      <c r="D75" s="44">
        <v>21.63</v>
      </c>
      <c r="E75" s="44">
        <v>19.32</v>
      </c>
      <c r="F75">
        <v>1999</v>
      </c>
    </row>
    <row r="76" spans="1:6" ht="15" customHeight="1" x14ac:dyDescent="0.3">
      <c r="A76" s="42" t="s">
        <v>160</v>
      </c>
      <c r="B76" s="43">
        <v>36377</v>
      </c>
      <c r="C76" s="42" t="s">
        <v>34</v>
      </c>
      <c r="D76" s="44">
        <v>23.78</v>
      </c>
      <c r="E76" s="44">
        <v>20.88</v>
      </c>
      <c r="F76">
        <v>1999</v>
      </c>
    </row>
    <row r="77" spans="1:6" ht="15" customHeight="1" x14ac:dyDescent="0.3">
      <c r="A77" s="42" t="s">
        <v>161</v>
      </c>
      <c r="B77" s="43">
        <v>36391</v>
      </c>
      <c r="C77" s="42" t="s">
        <v>34</v>
      </c>
      <c r="D77" s="44">
        <v>23.64</v>
      </c>
      <c r="E77" s="44">
        <v>23.27</v>
      </c>
      <c r="F77">
        <v>1999</v>
      </c>
    </row>
    <row r="78" spans="1:6" ht="15" customHeight="1" x14ac:dyDescent="0.3">
      <c r="A78" s="42" t="s">
        <v>162</v>
      </c>
      <c r="B78" s="43">
        <v>36405</v>
      </c>
      <c r="C78" s="42" t="s">
        <v>34</v>
      </c>
      <c r="D78" s="44">
        <v>21.97</v>
      </c>
      <c r="E78" s="44">
        <v>21.97</v>
      </c>
      <c r="F78">
        <v>1999</v>
      </c>
    </row>
    <row r="79" spans="1:6" ht="15" customHeight="1" x14ac:dyDescent="0.3">
      <c r="A79" s="42" t="s">
        <v>163</v>
      </c>
      <c r="B79" s="43">
        <v>36432</v>
      </c>
      <c r="C79" s="42" t="s">
        <v>34</v>
      </c>
      <c r="D79" s="44">
        <v>20.54</v>
      </c>
      <c r="E79" s="44">
        <v>20.329999999999998</v>
      </c>
      <c r="F79">
        <v>1999</v>
      </c>
    </row>
    <row r="80" spans="1:6" ht="15" customHeight="1" x14ac:dyDescent="0.3">
      <c r="A80" s="42" t="s">
        <v>164</v>
      </c>
      <c r="B80" s="43">
        <v>36466</v>
      </c>
      <c r="C80" s="42" t="s">
        <v>34</v>
      </c>
      <c r="D80" s="44">
        <v>15.62</v>
      </c>
      <c r="E80" s="44">
        <v>15.6</v>
      </c>
      <c r="F80">
        <v>1999</v>
      </c>
    </row>
    <row r="81" spans="1:6" ht="15" customHeight="1" x14ac:dyDescent="0.3">
      <c r="A81" s="42" t="s">
        <v>165</v>
      </c>
      <c r="B81" s="43">
        <v>36502</v>
      </c>
      <c r="C81" s="42" t="s">
        <v>34</v>
      </c>
      <c r="D81" s="44">
        <v>9.58</v>
      </c>
      <c r="E81" s="44">
        <v>9.51</v>
      </c>
      <c r="F81">
        <v>1999</v>
      </c>
    </row>
    <row r="82" spans="1:6" ht="15" customHeight="1" x14ac:dyDescent="0.3">
      <c r="A82" s="42" t="s">
        <v>166</v>
      </c>
      <c r="B82" s="43">
        <v>36532</v>
      </c>
      <c r="C82" s="42" t="s">
        <v>34</v>
      </c>
      <c r="D82" s="44">
        <v>5.5</v>
      </c>
      <c r="E82" s="44">
        <v>5.74</v>
      </c>
      <c r="F82">
        <v>2000</v>
      </c>
    </row>
    <row r="83" spans="1:6" ht="15" customHeight="1" x14ac:dyDescent="0.3">
      <c r="A83" s="42" t="s">
        <v>167</v>
      </c>
      <c r="B83" s="43">
        <v>36560</v>
      </c>
      <c r="C83" s="42" t="s">
        <v>34</v>
      </c>
      <c r="D83" s="44">
        <v>0.39</v>
      </c>
      <c r="E83" s="44">
        <v>0.39</v>
      </c>
      <c r="F83">
        <v>2000</v>
      </c>
    </row>
    <row r="84" spans="1:6" ht="15" customHeight="1" x14ac:dyDescent="0.3">
      <c r="A84" s="42" t="s">
        <v>171</v>
      </c>
      <c r="B84" s="43">
        <v>36623</v>
      </c>
      <c r="C84" s="42" t="s">
        <v>34</v>
      </c>
      <c r="D84" s="44">
        <v>6.66</v>
      </c>
      <c r="E84" s="44">
        <v>6.41</v>
      </c>
      <c r="F84">
        <v>2000</v>
      </c>
    </row>
    <row r="85" spans="1:6" ht="15" customHeight="1" x14ac:dyDescent="0.3">
      <c r="A85" s="42" t="s">
        <v>172</v>
      </c>
      <c r="B85" s="43">
        <v>36648</v>
      </c>
      <c r="C85" s="42" t="s">
        <v>34</v>
      </c>
      <c r="D85" s="44">
        <v>9.6</v>
      </c>
      <c r="E85" s="44">
        <v>9.27</v>
      </c>
      <c r="F85">
        <v>2000</v>
      </c>
    </row>
    <row r="86" spans="1:6" ht="15" customHeight="1" x14ac:dyDescent="0.3">
      <c r="A86" s="42" t="s">
        <v>173</v>
      </c>
      <c r="B86" s="43">
        <v>36679</v>
      </c>
      <c r="C86" s="42" t="s">
        <v>34</v>
      </c>
      <c r="D86" s="44">
        <v>15.92</v>
      </c>
      <c r="E86" s="44">
        <v>13.49</v>
      </c>
      <c r="F86">
        <v>2000</v>
      </c>
    </row>
    <row r="87" spans="1:6" ht="15" customHeight="1" x14ac:dyDescent="0.3">
      <c r="A87" s="42" t="s">
        <v>174</v>
      </c>
      <c r="B87" s="43">
        <v>36700</v>
      </c>
      <c r="C87" s="42" t="s">
        <v>34</v>
      </c>
      <c r="D87" s="44">
        <v>19.02</v>
      </c>
      <c r="E87" s="44">
        <v>17.87</v>
      </c>
      <c r="F87">
        <v>2000</v>
      </c>
    </row>
    <row r="88" spans="1:6" ht="15" customHeight="1" x14ac:dyDescent="0.3">
      <c r="A88" s="42" t="s">
        <v>175</v>
      </c>
      <c r="B88" s="43">
        <v>36714</v>
      </c>
      <c r="C88" s="42" t="s">
        <v>34</v>
      </c>
      <c r="D88" s="44">
        <v>20.75</v>
      </c>
      <c r="E88" s="44">
        <v>17.37</v>
      </c>
      <c r="F88">
        <v>2000</v>
      </c>
    </row>
    <row r="89" spans="1:6" ht="15" customHeight="1" x14ac:dyDescent="0.3">
      <c r="A89" s="42" t="s">
        <v>176</v>
      </c>
      <c r="B89" s="43">
        <v>36728</v>
      </c>
      <c r="C89" s="42" t="s">
        <v>34</v>
      </c>
      <c r="D89" s="44">
        <v>21.35</v>
      </c>
      <c r="E89" s="44">
        <v>19.510000000000002</v>
      </c>
      <c r="F89">
        <v>2000</v>
      </c>
    </row>
    <row r="90" spans="1:6" ht="15" customHeight="1" x14ac:dyDescent="0.3">
      <c r="A90" s="42" t="s">
        <v>177</v>
      </c>
      <c r="B90" s="43">
        <v>36741</v>
      </c>
      <c r="C90" s="42" t="s">
        <v>34</v>
      </c>
      <c r="D90" s="44">
        <v>21.26</v>
      </c>
      <c r="E90" s="44">
        <v>20.77</v>
      </c>
      <c r="F90">
        <v>2000</v>
      </c>
    </row>
    <row r="91" spans="1:6" ht="15" customHeight="1" x14ac:dyDescent="0.3">
      <c r="A91" s="42" t="s">
        <v>178</v>
      </c>
      <c r="B91" s="43">
        <v>36755</v>
      </c>
      <c r="C91" s="42" t="s">
        <v>34</v>
      </c>
      <c r="D91" s="44">
        <v>21.92</v>
      </c>
      <c r="E91" s="44">
        <v>21.56</v>
      </c>
      <c r="F91">
        <v>2000</v>
      </c>
    </row>
    <row r="92" spans="1:6" ht="15" customHeight="1" x14ac:dyDescent="0.3">
      <c r="A92" s="42" t="s">
        <v>179</v>
      </c>
      <c r="B92" s="43">
        <v>36770</v>
      </c>
      <c r="C92" s="42" t="s">
        <v>34</v>
      </c>
      <c r="D92" s="44">
        <v>22.37</v>
      </c>
      <c r="E92" s="44">
        <v>21.19</v>
      </c>
      <c r="F92">
        <v>2000</v>
      </c>
    </row>
    <row r="93" spans="1:6" ht="15" customHeight="1" x14ac:dyDescent="0.3">
      <c r="A93" s="42" t="s">
        <v>180</v>
      </c>
      <c r="B93" s="43">
        <v>36801</v>
      </c>
      <c r="C93" s="42" t="s">
        <v>34</v>
      </c>
      <c r="D93" s="44">
        <v>18.88</v>
      </c>
      <c r="E93" s="44">
        <v>18.899999999999999</v>
      </c>
      <c r="F93">
        <v>2000</v>
      </c>
    </row>
    <row r="94" spans="1:6" ht="15" customHeight="1" x14ac:dyDescent="0.3">
      <c r="A94" s="42" t="s">
        <v>181</v>
      </c>
      <c r="B94" s="43">
        <v>36843</v>
      </c>
      <c r="C94" s="42" t="s">
        <v>34</v>
      </c>
      <c r="D94" s="44">
        <v>12.78</v>
      </c>
      <c r="E94" s="44">
        <v>13.05</v>
      </c>
      <c r="F94">
        <v>2000</v>
      </c>
    </row>
    <row r="95" spans="1:6" ht="15" customHeight="1" x14ac:dyDescent="0.3">
      <c r="A95" s="42" t="s">
        <v>182</v>
      </c>
      <c r="B95" s="43">
        <v>36865</v>
      </c>
      <c r="C95" s="42" t="s">
        <v>34</v>
      </c>
      <c r="D95" s="44">
        <v>7.15</v>
      </c>
      <c r="E95" s="44">
        <v>7.27</v>
      </c>
      <c r="F95">
        <v>2000</v>
      </c>
    </row>
    <row r="96" spans="1:6" ht="15" customHeight="1" x14ac:dyDescent="0.3">
      <c r="A96" s="42" t="s">
        <v>183</v>
      </c>
      <c r="B96" s="43">
        <v>36903</v>
      </c>
      <c r="C96" s="42" t="s">
        <v>34</v>
      </c>
      <c r="D96" s="44">
        <v>1.55</v>
      </c>
      <c r="E96" s="46">
        <v>1.51</v>
      </c>
      <c r="F96">
        <v>2001</v>
      </c>
    </row>
    <row r="97" spans="1:6" ht="15" customHeight="1" x14ac:dyDescent="0.3">
      <c r="A97" s="42" t="s">
        <v>184</v>
      </c>
      <c r="B97" s="43">
        <v>36930</v>
      </c>
      <c r="C97" s="42" t="s">
        <v>34</v>
      </c>
      <c r="D97" s="44">
        <v>1.91</v>
      </c>
      <c r="E97" s="44">
        <v>1.79</v>
      </c>
      <c r="F97">
        <v>2001</v>
      </c>
    </row>
    <row r="98" spans="1:6" ht="15" customHeight="1" x14ac:dyDescent="0.3">
      <c r="A98" s="42" t="s">
        <v>186</v>
      </c>
      <c r="B98" s="43">
        <v>36952</v>
      </c>
      <c r="C98" s="42" t="s">
        <v>34</v>
      </c>
      <c r="D98" s="44">
        <v>1.87</v>
      </c>
      <c r="E98" s="44">
        <v>1.84</v>
      </c>
      <c r="F98">
        <v>2001</v>
      </c>
    </row>
    <row r="99" spans="1:6" ht="15" customHeight="1" x14ac:dyDescent="0.3">
      <c r="A99" s="42" t="s">
        <v>187</v>
      </c>
      <c r="B99" s="43">
        <v>36986</v>
      </c>
      <c r="C99" s="42" t="s">
        <v>34</v>
      </c>
      <c r="D99" s="44">
        <v>5.12</v>
      </c>
      <c r="E99" s="44">
        <v>4.55</v>
      </c>
      <c r="F99">
        <v>2001</v>
      </c>
    </row>
    <row r="100" spans="1:6" ht="15" customHeight="1" x14ac:dyDescent="0.3">
      <c r="A100" s="42" t="s">
        <v>188</v>
      </c>
      <c r="B100" s="43">
        <v>37013</v>
      </c>
      <c r="C100" s="42" t="s">
        <v>34</v>
      </c>
      <c r="D100" s="45"/>
      <c r="E100" s="45"/>
      <c r="F100">
        <v>2001</v>
      </c>
    </row>
    <row r="101" spans="1:6" ht="15" customHeight="1" x14ac:dyDescent="0.3">
      <c r="A101" s="42" t="s">
        <v>189</v>
      </c>
      <c r="B101" s="43">
        <v>37047</v>
      </c>
      <c r="C101" s="42" t="s">
        <v>34</v>
      </c>
      <c r="D101" s="44">
        <v>15</v>
      </c>
      <c r="E101" s="44">
        <v>14.11</v>
      </c>
      <c r="F101">
        <v>2001</v>
      </c>
    </row>
    <row r="102" spans="1:6" ht="15" customHeight="1" x14ac:dyDescent="0.3">
      <c r="A102" s="42" t="s">
        <v>190</v>
      </c>
      <c r="B102" s="43">
        <v>37064</v>
      </c>
      <c r="C102" s="42" t="s">
        <v>34</v>
      </c>
      <c r="D102" s="44">
        <v>18.52</v>
      </c>
      <c r="E102" s="44">
        <v>14.63</v>
      </c>
      <c r="F102">
        <v>2001</v>
      </c>
    </row>
    <row r="103" spans="1:6" ht="15" customHeight="1" x14ac:dyDescent="0.3">
      <c r="A103" s="42" t="s">
        <v>191</v>
      </c>
      <c r="B103" s="43">
        <v>37083</v>
      </c>
      <c r="C103" s="42" t="s">
        <v>34</v>
      </c>
      <c r="D103" s="44">
        <v>20.64</v>
      </c>
      <c r="E103" s="44">
        <v>19.88</v>
      </c>
      <c r="F103">
        <v>2001</v>
      </c>
    </row>
    <row r="104" spans="1:6" ht="15" customHeight="1" x14ac:dyDescent="0.3">
      <c r="A104" s="42" t="s">
        <v>192</v>
      </c>
      <c r="B104" s="43">
        <v>37098</v>
      </c>
      <c r="C104" s="42" t="s">
        <v>34</v>
      </c>
      <c r="D104" s="44">
        <v>22.22</v>
      </c>
      <c r="E104" s="44">
        <v>19.84</v>
      </c>
      <c r="F104">
        <v>2001</v>
      </c>
    </row>
    <row r="105" spans="1:6" ht="15" customHeight="1" x14ac:dyDescent="0.3">
      <c r="A105" s="42" t="s">
        <v>193</v>
      </c>
      <c r="B105" s="43">
        <v>37109</v>
      </c>
      <c r="C105" s="42" t="s">
        <v>34</v>
      </c>
      <c r="D105" s="44">
        <v>22.63</v>
      </c>
      <c r="E105" s="44">
        <v>20.260000000000002</v>
      </c>
      <c r="F105">
        <v>2001</v>
      </c>
    </row>
    <row r="106" spans="1:6" ht="15" customHeight="1" x14ac:dyDescent="0.3">
      <c r="A106" s="42" t="s">
        <v>194</v>
      </c>
      <c r="B106" s="43">
        <v>37123</v>
      </c>
      <c r="C106" s="42" t="s">
        <v>34</v>
      </c>
      <c r="D106" s="44">
        <v>22.82</v>
      </c>
      <c r="E106" s="44">
        <v>21.52</v>
      </c>
      <c r="F106">
        <v>2001</v>
      </c>
    </row>
    <row r="107" spans="1:6" ht="15" customHeight="1" x14ac:dyDescent="0.3">
      <c r="A107" s="42" t="s">
        <v>196</v>
      </c>
      <c r="B107" s="43">
        <v>37139</v>
      </c>
      <c r="C107" s="42" t="s">
        <v>34</v>
      </c>
      <c r="D107" s="44">
        <v>22.7</v>
      </c>
      <c r="E107" s="44">
        <v>22.64</v>
      </c>
      <c r="F107">
        <v>2001</v>
      </c>
    </row>
    <row r="108" spans="1:6" ht="15" customHeight="1" x14ac:dyDescent="0.3">
      <c r="A108" s="42" t="s">
        <v>198</v>
      </c>
      <c r="B108" s="43">
        <v>37167</v>
      </c>
      <c r="C108" s="42" t="s">
        <v>34</v>
      </c>
      <c r="D108" s="44">
        <v>19</v>
      </c>
      <c r="E108" s="44">
        <v>18.809999999999999</v>
      </c>
      <c r="F108">
        <v>2001</v>
      </c>
    </row>
    <row r="109" spans="1:6" ht="15" customHeight="1" x14ac:dyDescent="0.3">
      <c r="A109" s="42" t="s">
        <v>199</v>
      </c>
      <c r="B109" s="43">
        <v>37209</v>
      </c>
      <c r="C109" s="42" t="s">
        <v>34</v>
      </c>
      <c r="D109" s="44">
        <v>12.5</v>
      </c>
      <c r="E109" s="44">
        <v>12.43</v>
      </c>
      <c r="F109">
        <v>2001</v>
      </c>
    </row>
    <row r="110" spans="1:6" ht="15" customHeight="1" x14ac:dyDescent="0.3">
      <c r="A110" s="42" t="s">
        <v>200</v>
      </c>
      <c r="B110" s="43">
        <v>37231</v>
      </c>
      <c r="C110" s="42" t="s">
        <v>34</v>
      </c>
      <c r="D110" s="44">
        <v>12.07</v>
      </c>
      <c r="E110" s="44">
        <v>12.03</v>
      </c>
      <c r="F110">
        <v>2001</v>
      </c>
    </row>
    <row r="111" spans="1:6" ht="15" customHeight="1" x14ac:dyDescent="0.3">
      <c r="A111" s="42" t="s">
        <v>201</v>
      </c>
      <c r="B111" s="43">
        <v>37270</v>
      </c>
      <c r="C111" s="42" t="s">
        <v>34</v>
      </c>
      <c r="D111" s="44">
        <v>5.01</v>
      </c>
      <c r="E111" s="44">
        <v>5.03</v>
      </c>
      <c r="F111">
        <v>2002</v>
      </c>
    </row>
    <row r="112" spans="1:6" ht="15" customHeight="1" x14ac:dyDescent="0.3">
      <c r="A112" s="42" t="s">
        <v>202</v>
      </c>
      <c r="B112" s="43">
        <v>37294</v>
      </c>
      <c r="C112" s="42" t="s">
        <v>34</v>
      </c>
      <c r="D112" s="44">
        <v>4.0999999999999996</v>
      </c>
      <c r="E112" s="44">
        <v>4.1399999999999997</v>
      </c>
      <c r="F112">
        <v>2002</v>
      </c>
    </row>
    <row r="113" spans="1:6" ht="15" customHeight="1" x14ac:dyDescent="0.3">
      <c r="A113" s="42" t="s">
        <v>204</v>
      </c>
      <c r="B113" s="43">
        <v>37316</v>
      </c>
      <c r="C113" s="42" t="s">
        <v>34</v>
      </c>
      <c r="D113" s="44">
        <v>4.46</v>
      </c>
      <c r="E113" s="44">
        <v>4.3600000000000003</v>
      </c>
      <c r="F113">
        <v>2002</v>
      </c>
    </row>
    <row r="114" spans="1:6" ht="15" customHeight="1" x14ac:dyDescent="0.3">
      <c r="A114" s="42" t="s">
        <v>206</v>
      </c>
      <c r="B114" s="43">
        <v>37351</v>
      </c>
      <c r="C114" s="42" t="s">
        <v>34</v>
      </c>
      <c r="D114" s="44">
        <v>6.94</v>
      </c>
      <c r="E114" s="44">
        <v>6.78</v>
      </c>
      <c r="F114">
        <v>2002</v>
      </c>
    </row>
    <row r="115" spans="1:6" ht="15" customHeight="1" x14ac:dyDescent="0.3">
      <c r="A115" s="42" t="s">
        <v>207</v>
      </c>
      <c r="B115" s="43">
        <v>37385</v>
      </c>
      <c r="C115" s="42" t="s">
        <v>34</v>
      </c>
      <c r="D115" s="44">
        <v>11.89</v>
      </c>
      <c r="E115" s="44">
        <v>10.65</v>
      </c>
      <c r="F115">
        <v>2002</v>
      </c>
    </row>
    <row r="116" spans="1:6" ht="15" customHeight="1" x14ac:dyDescent="0.3">
      <c r="A116" s="42" t="s">
        <v>208</v>
      </c>
      <c r="B116" s="43">
        <v>37417</v>
      </c>
      <c r="C116" s="42" t="s">
        <v>34</v>
      </c>
      <c r="D116" s="44">
        <v>16.690000000000001</v>
      </c>
      <c r="E116" s="44">
        <v>15.79</v>
      </c>
      <c r="F116">
        <v>2002</v>
      </c>
    </row>
    <row r="117" spans="1:6" ht="15" customHeight="1" x14ac:dyDescent="0.3">
      <c r="A117" s="42" t="s">
        <v>210</v>
      </c>
      <c r="B117" s="43">
        <v>37447</v>
      </c>
      <c r="C117" s="42" t="s">
        <v>34</v>
      </c>
      <c r="D117" s="44">
        <v>22.5</v>
      </c>
      <c r="E117" s="44">
        <v>18.600000000000001</v>
      </c>
      <c r="F117">
        <v>2002</v>
      </c>
    </row>
    <row r="118" spans="1:6" ht="15" customHeight="1" x14ac:dyDescent="0.3">
      <c r="A118" s="42" t="s">
        <v>211</v>
      </c>
      <c r="B118" s="43">
        <v>37462</v>
      </c>
      <c r="C118" s="42" t="s">
        <v>34</v>
      </c>
      <c r="D118" s="44">
        <v>21.33</v>
      </c>
      <c r="E118" s="44">
        <v>19.12</v>
      </c>
      <c r="F118">
        <v>2002</v>
      </c>
    </row>
    <row r="119" spans="1:6" ht="15" customHeight="1" x14ac:dyDescent="0.3">
      <c r="A119" s="42" t="s">
        <v>212</v>
      </c>
      <c r="B119" s="43">
        <v>37476</v>
      </c>
      <c r="C119" s="42" t="s">
        <v>34</v>
      </c>
      <c r="D119" s="44">
        <v>23.43</v>
      </c>
      <c r="E119" s="44">
        <v>23.31</v>
      </c>
      <c r="F119">
        <v>2002</v>
      </c>
    </row>
    <row r="120" spans="1:6" ht="15" customHeight="1" x14ac:dyDescent="0.3">
      <c r="A120" s="42" t="s">
        <v>213</v>
      </c>
      <c r="B120" s="43">
        <v>37491</v>
      </c>
      <c r="C120" s="42" t="s">
        <v>34</v>
      </c>
      <c r="D120" s="44">
        <v>23.27</v>
      </c>
      <c r="E120" s="44">
        <v>23.14</v>
      </c>
      <c r="F120">
        <v>2002</v>
      </c>
    </row>
    <row r="121" spans="1:6" ht="15" customHeight="1" x14ac:dyDescent="0.3">
      <c r="A121" s="42" t="s">
        <v>214</v>
      </c>
      <c r="B121" s="43">
        <v>37512</v>
      </c>
      <c r="C121" s="42" t="s">
        <v>34</v>
      </c>
      <c r="D121" s="44">
        <v>21.47</v>
      </c>
      <c r="E121" s="44">
        <v>21.37</v>
      </c>
      <c r="F121">
        <v>2002</v>
      </c>
    </row>
    <row r="122" spans="1:6" ht="15" customHeight="1" x14ac:dyDescent="0.3">
      <c r="A122" s="42" t="s">
        <v>215</v>
      </c>
      <c r="B122" s="43">
        <v>37539</v>
      </c>
      <c r="C122" s="42" t="s">
        <v>34</v>
      </c>
      <c r="D122" s="44">
        <v>19.899999999999999</v>
      </c>
      <c r="E122" s="44">
        <v>19.899999999999999</v>
      </c>
      <c r="F122">
        <v>2002</v>
      </c>
    </row>
    <row r="123" spans="1:6" ht="15" customHeight="1" x14ac:dyDescent="0.3">
      <c r="A123" s="42" t="s">
        <v>216</v>
      </c>
      <c r="B123" s="43">
        <v>37574</v>
      </c>
      <c r="C123" s="42" t="s">
        <v>34</v>
      </c>
      <c r="D123" s="44">
        <v>12.37</v>
      </c>
      <c r="E123" s="44">
        <v>12.4</v>
      </c>
      <c r="F123">
        <v>2002</v>
      </c>
    </row>
    <row r="124" spans="1:6" ht="15" customHeight="1" x14ac:dyDescent="0.3">
      <c r="A124" s="42" t="s">
        <v>217</v>
      </c>
      <c r="B124" s="43">
        <v>37603</v>
      </c>
      <c r="C124" s="42" t="s">
        <v>34</v>
      </c>
      <c r="D124" s="44">
        <v>5.19</v>
      </c>
      <c r="E124" s="44">
        <v>5.42</v>
      </c>
      <c r="F124">
        <v>2002</v>
      </c>
    </row>
    <row r="125" spans="1:6" ht="15" customHeight="1" x14ac:dyDescent="0.3">
      <c r="A125" s="42" t="s">
        <v>218</v>
      </c>
      <c r="B125" s="43">
        <v>37658</v>
      </c>
      <c r="C125" s="42" t="s">
        <v>34</v>
      </c>
      <c r="D125" s="44">
        <v>0.41</v>
      </c>
      <c r="E125" s="44">
        <v>0.31</v>
      </c>
      <c r="F125">
        <v>2003</v>
      </c>
    </row>
    <row r="126" spans="1:6" ht="15" customHeight="1" x14ac:dyDescent="0.3">
      <c r="A126" s="42" t="s">
        <v>219</v>
      </c>
      <c r="B126" s="43">
        <v>37691</v>
      </c>
      <c r="C126" s="42" t="s">
        <v>34</v>
      </c>
      <c r="D126" s="44">
        <v>-7.0000000000000007E-2</v>
      </c>
      <c r="E126" s="44">
        <v>-0.23</v>
      </c>
      <c r="F126">
        <v>2003</v>
      </c>
    </row>
    <row r="127" spans="1:6" ht="15" customHeight="1" x14ac:dyDescent="0.3">
      <c r="A127" s="42" t="s">
        <v>221</v>
      </c>
      <c r="B127" s="43">
        <v>37713</v>
      </c>
      <c r="C127" s="42" t="s">
        <v>34</v>
      </c>
      <c r="D127" s="44">
        <v>4.2300000000000004</v>
      </c>
      <c r="E127" s="44">
        <v>3.94</v>
      </c>
      <c r="F127">
        <v>2003</v>
      </c>
    </row>
    <row r="128" spans="1:6" ht="15" customHeight="1" x14ac:dyDescent="0.3">
      <c r="A128" s="42" t="s">
        <v>222</v>
      </c>
      <c r="B128" s="43">
        <v>37748</v>
      </c>
      <c r="C128" s="42" t="s">
        <v>34</v>
      </c>
      <c r="D128" s="44">
        <v>10.17</v>
      </c>
      <c r="E128" s="44">
        <v>7.6</v>
      </c>
      <c r="F128">
        <v>2003</v>
      </c>
    </row>
    <row r="129" spans="1:6" ht="15" customHeight="1" x14ac:dyDescent="0.3">
      <c r="A129" s="42" t="s">
        <v>223</v>
      </c>
      <c r="B129" s="43">
        <v>37776</v>
      </c>
      <c r="C129" s="42" t="s">
        <v>34</v>
      </c>
      <c r="D129" s="44">
        <v>13.64</v>
      </c>
      <c r="E129" s="44">
        <v>12.36</v>
      </c>
      <c r="F129">
        <v>2003</v>
      </c>
    </row>
    <row r="130" spans="1:6" ht="15" customHeight="1" x14ac:dyDescent="0.3">
      <c r="A130" s="42" t="s">
        <v>224</v>
      </c>
      <c r="B130" s="43">
        <v>37791</v>
      </c>
      <c r="C130" s="42" t="s">
        <v>34</v>
      </c>
      <c r="D130" s="44">
        <v>15.27</v>
      </c>
      <c r="E130" s="44">
        <v>13.81</v>
      </c>
      <c r="F130">
        <v>2003</v>
      </c>
    </row>
    <row r="131" spans="1:6" ht="15" customHeight="1" x14ac:dyDescent="0.3">
      <c r="A131" s="42" t="s">
        <v>225</v>
      </c>
      <c r="B131" s="43">
        <v>37811</v>
      </c>
      <c r="C131" s="42" t="s">
        <v>34</v>
      </c>
      <c r="D131" s="44">
        <v>21.23</v>
      </c>
      <c r="E131" s="44">
        <v>16.25</v>
      </c>
      <c r="F131">
        <v>2003</v>
      </c>
    </row>
    <row r="132" spans="1:6" ht="15" customHeight="1" x14ac:dyDescent="0.3">
      <c r="A132" s="42" t="s">
        <v>226</v>
      </c>
      <c r="B132" s="43">
        <v>37827</v>
      </c>
      <c r="C132" s="42" t="s">
        <v>34</v>
      </c>
      <c r="D132" s="44">
        <v>19.079999999999998</v>
      </c>
      <c r="E132" s="44">
        <v>16.2</v>
      </c>
      <c r="F132">
        <v>2003</v>
      </c>
    </row>
    <row r="133" spans="1:6" ht="15" customHeight="1" x14ac:dyDescent="0.3">
      <c r="A133" s="42" t="s">
        <v>227</v>
      </c>
      <c r="B133" s="43">
        <v>37838</v>
      </c>
      <c r="C133" s="42" t="s">
        <v>34</v>
      </c>
      <c r="D133" s="44">
        <v>20.54</v>
      </c>
      <c r="E133" s="44">
        <v>19.239999999999998</v>
      </c>
      <c r="F133">
        <v>2003</v>
      </c>
    </row>
    <row r="134" spans="1:6" ht="15" customHeight="1" x14ac:dyDescent="0.3">
      <c r="A134" s="42" t="s">
        <v>228</v>
      </c>
      <c r="B134" s="43">
        <v>37854</v>
      </c>
      <c r="C134" s="42" t="s">
        <v>34</v>
      </c>
      <c r="D134" s="44">
        <v>23.23</v>
      </c>
      <c r="E134" s="44">
        <v>21.72</v>
      </c>
      <c r="F134">
        <v>2003</v>
      </c>
    </row>
    <row r="135" spans="1:6" ht="15" customHeight="1" x14ac:dyDescent="0.3">
      <c r="A135" s="42" t="s">
        <v>229</v>
      </c>
      <c r="B135" s="43">
        <v>37869</v>
      </c>
      <c r="C135" s="42" t="s">
        <v>34</v>
      </c>
      <c r="D135" s="44">
        <v>21.05</v>
      </c>
      <c r="E135" s="44">
        <v>20.59</v>
      </c>
      <c r="F135">
        <v>2003</v>
      </c>
    </row>
    <row r="136" spans="1:6" ht="15" customHeight="1" x14ac:dyDescent="0.3">
      <c r="A136" s="42" t="s">
        <v>230</v>
      </c>
      <c r="B136" s="43">
        <v>37901</v>
      </c>
      <c r="C136" s="42" t="s">
        <v>34</v>
      </c>
      <c r="D136" s="44">
        <v>18.399999999999999</v>
      </c>
      <c r="E136" s="44">
        <v>18.27</v>
      </c>
      <c r="F136">
        <v>2003</v>
      </c>
    </row>
    <row r="137" spans="1:6" ht="15" customHeight="1" x14ac:dyDescent="0.3">
      <c r="A137" s="42" t="s">
        <v>231</v>
      </c>
      <c r="B137" s="43">
        <v>37931</v>
      </c>
      <c r="C137" s="42" t="s">
        <v>34</v>
      </c>
      <c r="D137" s="44">
        <v>15.03</v>
      </c>
      <c r="E137" s="44">
        <v>15.02</v>
      </c>
      <c r="F137">
        <v>2003</v>
      </c>
    </row>
    <row r="138" spans="1:6" ht="15" customHeight="1" x14ac:dyDescent="0.3">
      <c r="A138" s="42" t="s">
        <v>232</v>
      </c>
      <c r="B138" s="43">
        <v>37965</v>
      </c>
      <c r="C138" s="42" t="s">
        <v>34</v>
      </c>
      <c r="D138" s="44">
        <v>4.5199999999999996</v>
      </c>
      <c r="E138" s="44">
        <v>6.58</v>
      </c>
      <c r="F138">
        <v>2003</v>
      </c>
    </row>
    <row r="139" spans="1:6" ht="15" customHeight="1" x14ac:dyDescent="0.3">
      <c r="A139" s="42" t="s">
        <v>497</v>
      </c>
      <c r="B139" s="43">
        <v>37999</v>
      </c>
      <c r="C139" s="42" t="s">
        <v>34</v>
      </c>
      <c r="D139" s="44">
        <v>1.95</v>
      </c>
      <c r="E139" s="44">
        <v>2.06</v>
      </c>
      <c r="F139">
        <v>2004</v>
      </c>
    </row>
    <row r="140" spans="1:6" ht="15" customHeight="1" x14ac:dyDescent="0.3">
      <c r="A140" s="42" t="s">
        <v>233</v>
      </c>
      <c r="B140" s="43">
        <v>38020</v>
      </c>
      <c r="C140" s="42" t="s">
        <v>34</v>
      </c>
      <c r="D140" s="44">
        <v>-1.05</v>
      </c>
      <c r="E140" s="44">
        <v>-1.1100000000000001</v>
      </c>
      <c r="F140">
        <v>2004</v>
      </c>
    </row>
    <row r="141" spans="1:6" ht="15" customHeight="1" x14ac:dyDescent="0.3">
      <c r="A141" s="42" t="s">
        <v>235</v>
      </c>
      <c r="B141" s="43">
        <v>38048</v>
      </c>
      <c r="C141" s="42" t="s">
        <v>34</v>
      </c>
      <c r="D141" s="44">
        <v>1.72</v>
      </c>
      <c r="E141" s="44">
        <v>0.66</v>
      </c>
      <c r="F141">
        <v>2004</v>
      </c>
    </row>
    <row r="142" spans="1:6" ht="15" customHeight="1" x14ac:dyDescent="0.3">
      <c r="A142" s="42" t="s">
        <v>237</v>
      </c>
      <c r="B142" s="43">
        <v>38089</v>
      </c>
      <c r="C142" s="42" t="s">
        <v>34</v>
      </c>
      <c r="D142" s="44">
        <v>5.76</v>
      </c>
      <c r="E142" s="44">
        <v>5.0999999999999996</v>
      </c>
      <c r="F142">
        <v>2004</v>
      </c>
    </row>
    <row r="143" spans="1:6" ht="15" customHeight="1" x14ac:dyDescent="0.3">
      <c r="A143" s="42" t="s">
        <v>238</v>
      </c>
      <c r="B143" s="43">
        <v>38114</v>
      </c>
      <c r="C143" s="42" t="s">
        <v>34</v>
      </c>
      <c r="D143" s="44">
        <v>10.15</v>
      </c>
      <c r="E143" s="44">
        <v>8.94</v>
      </c>
      <c r="F143">
        <v>2004</v>
      </c>
    </row>
    <row r="144" spans="1:6" ht="15" customHeight="1" x14ac:dyDescent="0.3">
      <c r="A144" s="42" t="s">
        <v>239</v>
      </c>
      <c r="B144" s="43">
        <v>38141</v>
      </c>
      <c r="C144" s="42" t="s">
        <v>34</v>
      </c>
      <c r="D144" s="44">
        <v>16.21</v>
      </c>
      <c r="E144" s="44">
        <v>14.06</v>
      </c>
      <c r="F144">
        <v>2004</v>
      </c>
    </row>
    <row r="145" spans="1:6" ht="15" customHeight="1" x14ac:dyDescent="0.3">
      <c r="A145" s="42" t="s">
        <v>240</v>
      </c>
      <c r="B145" s="43">
        <v>38166</v>
      </c>
      <c r="C145" s="42" t="s">
        <v>34</v>
      </c>
      <c r="D145" s="44">
        <v>19.66</v>
      </c>
      <c r="E145" s="44">
        <v>16.149999999999999</v>
      </c>
      <c r="F145">
        <v>2004</v>
      </c>
    </row>
    <row r="146" spans="1:6" ht="15" customHeight="1" x14ac:dyDescent="0.3">
      <c r="A146" s="42" t="s">
        <v>241</v>
      </c>
      <c r="B146" s="43">
        <v>38175</v>
      </c>
      <c r="C146" s="42" t="s">
        <v>34</v>
      </c>
      <c r="D146" s="44">
        <v>20.13</v>
      </c>
      <c r="E146" s="44">
        <v>17.18</v>
      </c>
      <c r="F146">
        <v>2004</v>
      </c>
    </row>
    <row r="147" spans="1:6" ht="15" customHeight="1" x14ac:dyDescent="0.3">
      <c r="A147" s="42" t="s">
        <v>242</v>
      </c>
      <c r="B147" s="43">
        <v>38189</v>
      </c>
      <c r="C147" s="42" t="s">
        <v>34</v>
      </c>
      <c r="D147" s="44">
        <v>22.4</v>
      </c>
      <c r="E147" s="44">
        <v>20.100000000000001</v>
      </c>
      <c r="F147">
        <v>2004</v>
      </c>
    </row>
    <row r="148" spans="1:6" ht="15" customHeight="1" x14ac:dyDescent="0.3">
      <c r="A148" s="42" t="s">
        <v>243</v>
      </c>
      <c r="B148" s="43">
        <v>38205</v>
      </c>
      <c r="C148" s="42" t="s">
        <v>34</v>
      </c>
      <c r="D148" s="44">
        <v>22.08</v>
      </c>
      <c r="E148" s="44">
        <v>22</v>
      </c>
      <c r="F148">
        <v>2004</v>
      </c>
    </row>
    <row r="149" spans="1:6" ht="15" customHeight="1" x14ac:dyDescent="0.3">
      <c r="A149" s="42" t="s">
        <v>244</v>
      </c>
      <c r="B149" s="43">
        <v>38219</v>
      </c>
      <c r="C149" s="42" t="s">
        <v>34</v>
      </c>
      <c r="D149" s="44">
        <v>22.69</v>
      </c>
      <c r="E149" s="44">
        <v>21.11</v>
      </c>
      <c r="F149">
        <v>2004</v>
      </c>
    </row>
    <row r="150" spans="1:6" ht="15" customHeight="1" x14ac:dyDescent="0.3">
      <c r="A150" s="42" t="s">
        <v>245</v>
      </c>
      <c r="B150" s="43">
        <v>38231</v>
      </c>
      <c r="C150" s="42" t="s">
        <v>34</v>
      </c>
      <c r="D150" s="44">
        <v>23.16</v>
      </c>
      <c r="E150" s="44">
        <v>22.75</v>
      </c>
      <c r="F150">
        <v>2004</v>
      </c>
    </row>
    <row r="151" spans="1:6" ht="15" customHeight="1" x14ac:dyDescent="0.3">
      <c r="A151" s="42" t="s">
        <v>246</v>
      </c>
      <c r="B151" s="43">
        <v>38268</v>
      </c>
      <c r="C151" s="42" t="s">
        <v>34</v>
      </c>
      <c r="D151" s="44">
        <v>19.55</v>
      </c>
      <c r="E151" s="44">
        <v>19.600000000000001</v>
      </c>
      <c r="F151">
        <v>2004</v>
      </c>
    </row>
    <row r="152" spans="1:6" ht="15" customHeight="1" x14ac:dyDescent="0.3">
      <c r="A152" s="42" t="s">
        <v>247</v>
      </c>
      <c r="B152" s="43">
        <v>38336</v>
      </c>
      <c r="C152" s="42" t="s">
        <v>34</v>
      </c>
      <c r="D152" s="44">
        <v>7.65</v>
      </c>
      <c r="E152" s="44">
        <v>7.66</v>
      </c>
      <c r="F152">
        <v>2004</v>
      </c>
    </row>
    <row r="153" spans="1:6" ht="15" customHeight="1" x14ac:dyDescent="0.3">
      <c r="A153" s="42" t="s">
        <v>248</v>
      </c>
      <c r="B153" s="43">
        <v>38363</v>
      </c>
      <c r="C153" s="42" t="s">
        <v>34</v>
      </c>
      <c r="D153" s="44">
        <v>4.6399999999999997</v>
      </c>
      <c r="E153" s="44">
        <v>4.6399999999999997</v>
      </c>
      <c r="F153">
        <v>2005</v>
      </c>
    </row>
    <row r="154" spans="1:6" ht="15" customHeight="1" x14ac:dyDescent="0.3">
      <c r="A154" s="42" t="s">
        <v>249</v>
      </c>
      <c r="B154" s="43">
        <v>38384</v>
      </c>
      <c r="C154" s="42" t="s">
        <v>34</v>
      </c>
      <c r="D154" s="44">
        <v>-0.66</v>
      </c>
      <c r="E154" s="44">
        <v>-0.12</v>
      </c>
      <c r="F154">
        <v>2005</v>
      </c>
    </row>
    <row r="155" spans="1:6" ht="15" customHeight="1" x14ac:dyDescent="0.3">
      <c r="A155" s="42" t="s">
        <v>250</v>
      </c>
      <c r="B155" s="43">
        <v>38422</v>
      </c>
      <c r="C155" s="42" t="s">
        <v>34</v>
      </c>
      <c r="D155" s="44">
        <v>0.69</v>
      </c>
      <c r="E155" s="44">
        <v>0.88</v>
      </c>
      <c r="F155">
        <v>2005</v>
      </c>
    </row>
    <row r="156" spans="1:6" ht="15" customHeight="1" x14ac:dyDescent="0.3">
      <c r="A156" s="42" t="s">
        <v>251</v>
      </c>
      <c r="B156" s="43">
        <v>38450</v>
      </c>
      <c r="C156" s="42" t="s">
        <v>34</v>
      </c>
      <c r="D156" s="46">
        <v>5.26</v>
      </c>
      <c r="E156" s="46">
        <v>5.04</v>
      </c>
      <c r="F156">
        <v>2005</v>
      </c>
    </row>
    <row r="157" spans="1:6" ht="15" customHeight="1" x14ac:dyDescent="0.3">
      <c r="A157" s="42" t="s">
        <v>252</v>
      </c>
      <c r="B157" s="43">
        <v>38478</v>
      </c>
      <c r="C157" s="42" t="s">
        <v>34</v>
      </c>
      <c r="D157" s="44">
        <v>10.31</v>
      </c>
      <c r="E157" s="44">
        <v>8.3000000000000007</v>
      </c>
      <c r="F157">
        <v>2005</v>
      </c>
    </row>
    <row r="158" spans="1:6" ht="15" customHeight="1" x14ac:dyDescent="0.3">
      <c r="A158" s="42" t="s">
        <v>253</v>
      </c>
      <c r="B158" s="43">
        <v>38511</v>
      </c>
      <c r="C158" s="42" t="s">
        <v>34</v>
      </c>
      <c r="D158" s="46">
        <v>16.920000000000002</v>
      </c>
      <c r="E158" s="46">
        <v>13.14</v>
      </c>
      <c r="F158">
        <v>2005</v>
      </c>
    </row>
    <row r="159" spans="1:6" ht="15" customHeight="1" x14ac:dyDescent="0.3">
      <c r="A159" s="42" t="s">
        <v>255</v>
      </c>
      <c r="B159" s="43">
        <v>38545</v>
      </c>
      <c r="C159" s="42" t="s">
        <v>34</v>
      </c>
      <c r="D159" s="44">
        <v>22.04</v>
      </c>
      <c r="E159" s="44">
        <v>19.87</v>
      </c>
      <c r="F159">
        <v>2005</v>
      </c>
    </row>
    <row r="160" spans="1:6" ht="15" customHeight="1" x14ac:dyDescent="0.3">
      <c r="A160" s="42" t="s">
        <v>256</v>
      </c>
      <c r="B160" s="43">
        <v>38552</v>
      </c>
      <c r="C160" s="42" t="s">
        <v>34</v>
      </c>
      <c r="D160" s="44">
        <v>20.74</v>
      </c>
      <c r="E160" s="44">
        <v>17.97</v>
      </c>
      <c r="F160">
        <v>2005</v>
      </c>
    </row>
    <row r="161" spans="1:6" ht="15" customHeight="1" x14ac:dyDescent="0.3">
      <c r="A161" s="42" t="s">
        <v>257</v>
      </c>
      <c r="B161" s="43">
        <v>38568</v>
      </c>
      <c r="C161" s="42" t="s">
        <v>34</v>
      </c>
      <c r="D161" s="44">
        <v>24.07</v>
      </c>
      <c r="E161" s="44">
        <v>20.11</v>
      </c>
      <c r="F161">
        <v>2005</v>
      </c>
    </row>
    <row r="162" spans="1:6" ht="15" customHeight="1" x14ac:dyDescent="0.3">
      <c r="A162" s="42" t="s">
        <v>258</v>
      </c>
      <c r="B162" s="43">
        <v>38583</v>
      </c>
      <c r="C162" s="42" t="s">
        <v>34</v>
      </c>
      <c r="D162" s="44">
        <v>23.22</v>
      </c>
      <c r="E162" s="44">
        <v>20.67</v>
      </c>
      <c r="F162">
        <v>2005</v>
      </c>
    </row>
    <row r="163" spans="1:6" ht="15" customHeight="1" x14ac:dyDescent="0.3">
      <c r="A163" s="42" t="s">
        <v>259</v>
      </c>
      <c r="B163" s="43">
        <v>38597</v>
      </c>
      <c r="C163" s="42" t="s">
        <v>34</v>
      </c>
      <c r="D163" s="44">
        <v>23.5</v>
      </c>
      <c r="E163" s="44">
        <v>22.32</v>
      </c>
      <c r="F163">
        <v>2005</v>
      </c>
    </row>
    <row r="164" spans="1:6" ht="15" customHeight="1" x14ac:dyDescent="0.3">
      <c r="A164" s="42" t="s">
        <v>261</v>
      </c>
      <c r="B164" s="43">
        <v>38636</v>
      </c>
      <c r="C164" s="42" t="s">
        <v>34</v>
      </c>
      <c r="D164" s="44">
        <v>20.420000000000002</v>
      </c>
      <c r="E164" s="44">
        <v>20.420000000000002</v>
      </c>
      <c r="F164">
        <v>2005</v>
      </c>
    </row>
    <row r="165" spans="1:6" ht="15" customHeight="1" x14ac:dyDescent="0.3">
      <c r="A165" s="42" t="s">
        <v>262</v>
      </c>
      <c r="B165" s="43">
        <v>38671</v>
      </c>
      <c r="C165" s="42" t="s">
        <v>34</v>
      </c>
      <c r="D165" s="44">
        <v>12.71</v>
      </c>
      <c r="E165" s="44">
        <v>12.8</v>
      </c>
      <c r="F165">
        <v>2005</v>
      </c>
    </row>
    <row r="166" spans="1:6" ht="15" customHeight="1" x14ac:dyDescent="0.3">
      <c r="A166" s="42" t="s">
        <v>263</v>
      </c>
      <c r="B166" s="43">
        <v>38694</v>
      </c>
      <c r="C166" s="42" t="s">
        <v>34</v>
      </c>
      <c r="D166" s="44">
        <v>7.34</v>
      </c>
      <c r="E166" s="44">
        <v>6.68</v>
      </c>
      <c r="F166">
        <v>2005</v>
      </c>
    </row>
    <row r="167" spans="1:6" ht="15" customHeight="1" x14ac:dyDescent="0.3">
      <c r="A167" s="42" t="s">
        <v>264</v>
      </c>
      <c r="B167" s="43">
        <v>38783</v>
      </c>
      <c r="C167" s="42" t="s">
        <v>34</v>
      </c>
      <c r="D167" s="44">
        <v>2.54</v>
      </c>
      <c r="E167" s="44">
        <v>2.13</v>
      </c>
      <c r="F167">
        <v>2006</v>
      </c>
    </row>
    <row r="168" spans="1:6" ht="15" customHeight="1" x14ac:dyDescent="0.3">
      <c r="A168" s="42" t="s">
        <v>498</v>
      </c>
      <c r="B168" s="43">
        <v>38819</v>
      </c>
      <c r="C168" s="42" t="s">
        <v>34</v>
      </c>
      <c r="D168" s="44">
        <v>6.81</v>
      </c>
      <c r="E168" s="44">
        <v>6.15</v>
      </c>
      <c r="F168">
        <v>2006</v>
      </c>
    </row>
    <row r="169" spans="1:6" ht="15" customHeight="1" x14ac:dyDescent="0.3">
      <c r="A169" s="42" t="s">
        <v>265</v>
      </c>
      <c r="B169" s="43">
        <v>38841</v>
      </c>
      <c r="C169" s="42" t="s">
        <v>34</v>
      </c>
      <c r="D169" s="44">
        <v>10.63</v>
      </c>
      <c r="E169" s="44">
        <v>9.7200000000000006</v>
      </c>
      <c r="F169">
        <v>2006</v>
      </c>
    </row>
    <row r="170" spans="1:6" ht="15" customHeight="1" x14ac:dyDescent="0.3">
      <c r="A170" s="42" t="s">
        <v>266</v>
      </c>
      <c r="B170" s="43">
        <v>38877</v>
      </c>
      <c r="C170" s="42" t="s">
        <v>34</v>
      </c>
      <c r="D170" s="44">
        <v>16.11</v>
      </c>
      <c r="E170" s="44">
        <v>15.31</v>
      </c>
      <c r="F170">
        <v>2006</v>
      </c>
    </row>
    <row r="171" spans="1:6" ht="15" customHeight="1" x14ac:dyDescent="0.3">
      <c r="A171" s="42" t="s">
        <v>267</v>
      </c>
      <c r="B171" s="43">
        <v>38891</v>
      </c>
      <c r="C171" s="42" t="s">
        <v>34</v>
      </c>
      <c r="D171" s="44">
        <v>17.27</v>
      </c>
      <c r="E171" s="44">
        <v>15.18</v>
      </c>
      <c r="F171">
        <v>2006</v>
      </c>
    </row>
    <row r="172" spans="1:6" ht="15" customHeight="1" x14ac:dyDescent="0.3">
      <c r="A172" s="42" t="s">
        <v>268</v>
      </c>
      <c r="B172" s="43">
        <v>38905</v>
      </c>
      <c r="C172" s="42" t="s">
        <v>34</v>
      </c>
      <c r="D172" s="44">
        <v>20.54</v>
      </c>
      <c r="E172" s="44">
        <v>15.75</v>
      </c>
      <c r="F172">
        <v>2006</v>
      </c>
    </row>
    <row r="173" spans="1:6" ht="15" customHeight="1" x14ac:dyDescent="0.3">
      <c r="A173" s="42" t="s">
        <v>269</v>
      </c>
      <c r="B173" s="43">
        <v>38916</v>
      </c>
      <c r="C173" s="42" t="s">
        <v>34</v>
      </c>
      <c r="D173" s="44">
        <v>23.74</v>
      </c>
      <c r="E173" s="44">
        <v>17.5</v>
      </c>
      <c r="F173">
        <v>2006</v>
      </c>
    </row>
    <row r="174" spans="1:6" ht="15" customHeight="1" x14ac:dyDescent="0.3">
      <c r="A174" s="42" t="s">
        <v>270</v>
      </c>
      <c r="B174" s="43">
        <v>38932</v>
      </c>
      <c r="C174" s="42" t="s">
        <v>34</v>
      </c>
      <c r="D174" s="44">
        <v>26.96</v>
      </c>
      <c r="E174" s="44">
        <v>20.13</v>
      </c>
      <c r="F174">
        <v>2006</v>
      </c>
    </row>
    <row r="175" spans="1:6" ht="15" customHeight="1" x14ac:dyDescent="0.3">
      <c r="A175" s="42" t="s">
        <v>271</v>
      </c>
      <c r="B175" s="43">
        <v>38947</v>
      </c>
      <c r="C175" s="42" t="s">
        <v>34</v>
      </c>
      <c r="D175" s="44">
        <v>23.07</v>
      </c>
      <c r="E175" s="44">
        <v>21.55</v>
      </c>
      <c r="F175">
        <v>2006</v>
      </c>
    </row>
    <row r="176" spans="1:6" ht="15" customHeight="1" x14ac:dyDescent="0.3">
      <c r="A176" s="42" t="s">
        <v>272</v>
      </c>
      <c r="B176" s="43">
        <v>38959</v>
      </c>
      <c r="C176" s="42" t="s">
        <v>34</v>
      </c>
      <c r="D176" s="44">
        <v>21.4</v>
      </c>
      <c r="E176" s="44">
        <v>21.38</v>
      </c>
      <c r="F176">
        <v>2006</v>
      </c>
    </row>
    <row r="177" spans="1:6" ht="15" customHeight="1" x14ac:dyDescent="0.3">
      <c r="A177" s="42" t="s">
        <v>273</v>
      </c>
      <c r="B177" s="43">
        <v>39007</v>
      </c>
      <c r="C177" s="42" t="s">
        <v>34</v>
      </c>
      <c r="D177" s="44">
        <v>16.72</v>
      </c>
      <c r="E177" s="44">
        <v>16.75</v>
      </c>
      <c r="F177">
        <v>2006</v>
      </c>
    </row>
    <row r="178" spans="1:6" ht="15" customHeight="1" x14ac:dyDescent="0.3">
      <c r="A178" s="42" t="s">
        <v>274</v>
      </c>
      <c r="B178" s="43">
        <v>39028</v>
      </c>
      <c r="C178" s="42" t="s">
        <v>34</v>
      </c>
      <c r="D178" s="44">
        <v>13.11</v>
      </c>
      <c r="E178" s="44">
        <v>12.99</v>
      </c>
      <c r="F178">
        <v>2006</v>
      </c>
    </row>
    <row r="179" spans="1:6" ht="15" customHeight="1" x14ac:dyDescent="0.3">
      <c r="A179" s="42" t="s">
        <v>275</v>
      </c>
      <c r="B179" s="43">
        <v>39062</v>
      </c>
      <c r="C179" s="42" t="s">
        <v>34</v>
      </c>
      <c r="D179" s="44">
        <v>8.56</v>
      </c>
      <c r="E179" s="44">
        <v>8.57</v>
      </c>
      <c r="F179">
        <v>2006</v>
      </c>
    </row>
    <row r="180" spans="1:6" ht="15" customHeight="1" x14ac:dyDescent="0.3">
      <c r="A180" s="42" t="s">
        <v>276</v>
      </c>
      <c r="B180" s="43">
        <v>39100</v>
      </c>
      <c r="C180" s="42" t="s">
        <v>34</v>
      </c>
      <c r="D180" s="44">
        <v>5.43</v>
      </c>
      <c r="E180" s="44">
        <v>5.92</v>
      </c>
      <c r="F180">
        <v>2007</v>
      </c>
    </row>
    <row r="181" spans="1:6" ht="15" customHeight="1" x14ac:dyDescent="0.3">
      <c r="A181" s="42" t="s">
        <v>277</v>
      </c>
      <c r="B181" s="43">
        <v>39126</v>
      </c>
      <c r="C181" s="42" t="s">
        <v>34</v>
      </c>
      <c r="D181" s="44">
        <v>0.96</v>
      </c>
      <c r="E181" s="44">
        <v>1.03</v>
      </c>
      <c r="F181">
        <v>2007</v>
      </c>
    </row>
    <row r="182" spans="1:6" ht="15" customHeight="1" x14ac:dyDescent="0.3">
      <c r="A182" s="42" t="s">
        <v>278</v>
      </c>
      <c r="B182" s="43">
        <v>39154</v>
      </c>
      <c r="C182" s="42" t="s">
        <v>34</v>
      </c>
      <c r="D182" s="44">
        <v>1.59</v>
      </c>
      <c r="E182" s="44">
        <v>1.4</v>
      </c>
      <c r="F182">
        <v>2007</v>
      </c>
    </row>
    <row r="183" spans="1:6" ht="15" customHeight="1" x14ac:dyDescent="0.3">
      <c r="A183" s="42" t="s">
        <v>280</v>
      </c>
      <c r="B183" s="43">
        <v>39176</v>
      </c>
      <c r="C183" s="42" t="s">
        <v>34</v>
      </c>
      <c r="D183" s="44">
        <v>3.9</v>
      </c>
      <c r="E183" s="44">
        <v>3.78</v>
      </c>
      <c r="F183">
        <v>2007</v>
      </c>
    </row>
    <row r="184" spans="1:6" ht="15" customHeight="1" x14ac:dyDescent="0.3">
      <c r="A184" s="42" t="s">
        <v>281</v>
      </c>
      <c r="B184" s="43">
        <v>39211</v>
      </c>
      <c r="C184" s="42" t="s">
        <v>34</v>
      </c>
      <c r="D184" s="44">
        <v>10.96</v>
      </c>
      <c r="E184" s="44">
        <v>7.78</v>
      </c>
      <c r="F184">
        <v>2007</v>
      </c>
    </row>
    <row r="185" spans="1:6" ht="15" customHeight="1" x14ac:dyDescent="0.3">
      <c r="A185" s="42" t="s">
        <v>282</v>
      </c>
      <c r="B185" s="43">
        <v>39240</v>
      </c>
      <c r="C185" s="42" t="s">
        <v>34</v>
      </c>
      <c r="D185" s="44">
        <v>14.89</v>
      </c>
      <c r="E185" s="44">
        <v>14.28</v>
      </c>
      <c r="F185">
        <v>2007</v>
      </c>
    </row>
    <row r="186" spans="1:6" ht="15" customHeight="1" x14ac:dyDescent="0.3">
      <c r="A186" s="42" t="s">
        <v>283</v>
      </c>
      <c r="B186" s="43">
        <v>39254</v>
      </c>
      <c r="C186" s="42" t="s">
        <v>34</v>
      </c>
      <c r="D186" s="44">
        <v>18.78</v>
      </c>
      <c r="E186" s="44">
        <v>17.53</v>
      </c>
      <c r="F186">
        <v>2007</v>
      </c>
    </row>
    <row r="187" spans="1:6" ht="15" customHeight="1" x14ac:dyDescent="0.3">
      <c r="A187" s="42" t="s">
        <v>284</v>
      </c>
      <c r="B187" s="43">
        <v>39274</v>
      </c>
      <c r="C187" s="42" t="s">
        <v>34</v>
      </c>
      <c r="D187" s="44">
        <v>18.09</v>
      </c>
      <c r="E187" s="44">
        <v>15.7</v>
      </c>
      <c r="F187">
        <v>2007</v>
      </c>
    </row>
    <row r="188" spans="1:6" ht="15" customHeight="1" x14ac:dyDescent="0.3">
      <c r="A188" s="42" t="s">
        <v>285</v>
      </c>
      <c r="B188" s="43">
        <v>39283</v>
      </c>
      <c r="C188" s="42" t="s">
        <v>34</v>
      </c>
      <c r="D188" s="44">
        <v>20.12</v>
      </c>
      <c r="E188" s="44">
        <v>19.010000000000002</v>
      </c>
      <c r="F188">
        <v>2007</v>
      </c>
    </row>
    <row r="189" spans="1:6" ht="15" customHeight="1" x14ac:dyDescent="0.3">
      <c r="A189" s="42" t="s">
        <v>286</v>
      </c>
      <c r="B189" s="43">
        <v>39294</v>
      </c>
      <c r="C189" s="42" t="s">
        <v>34</v>
      </c>
      <c r="D189" s="44">
        <v>23.3</v>
      </c>
      <c r="E189" s="44">
        <v>21.2</v>
      </c>
      <c r="F189">
        <v>2007</v>
      </c>
    </row>
    <row r="190" spans="1:6" ht="15" customHeight="1" x14ac:dyDescent="0.3">
      <c r="A190" s="42" t="s">
        <v>287</v>
      </c>
      <c r="B190" s="43">
        <v>39309</v>
      </c>
      <c r="C190" s="42" t="s">
        <v>34</v>
      </c>
      <c r="D190" s="44">
        <v>22.71</v>
      </c>
      <c r="E190" s="44">
        <v>21.71</v>
      </c>
      <c r="F190">
        <v>2007</v>
      </c>
    </row>
    <row r="191" spans="1:6" ht="15" customHeight="1" x14ac:dyDescent="0.3">
      <c r="A191" s="42" t="s">
        <v>288</v>
      </c>
      <c r="B191" s="43">
        <v>39324</v>
      </c>
      <c r="C191" s="42" t="s">
        <v>34</v>
      </c>
      <c r="D191" s="44">
        <v>22.43</v>
      </c>
      <c r="E191" s="44">
        <v>21.43</v>
      </c>
      <c r="F191">
        <v>2007</v>
      </c>
    </row>
    <row r="192" spans="1:6" ht="15" customHeight="1" x14ac:dyDescent="0.3">
      <c r="A192" s="42" t="s">
        <v>290</v>
      </c>
      <c r="B192" s="43">
        <v>39359</v>
      </c>
      <c r="C192" s="42" t="s">
        <v>34</v>
      </c>
      <c r="D192" s="44">
        <v>21.09</v>
      </c>
      <c r="E192" s="44">
        <v>21.06</v>
      </c>
      <c r="F192">
        <v>2007</v>
      </c>
    </row>
    <row r="193" spans="1:6" ht="15" customHeight="1" x14ac:dyDescent="0.3">
      <c r="A193" s="42" t="s">
        <v>291</v>
      </c>
      <c r="B193" s="43">
        <v>39395</v>
      </c>
      <c r="C193" s="42" t="s">
        <v>34</v>
      </c>
      <c r="D193" s="44">
        <v>14.15</v>
      </c>
      <c r="E193" s="44">
        <v>14.15</v>
      </c>
      <c r="F193">
        <v>2007</v>
      </c>
    </row>
    <row r="194" spans="1:6" ht="15" customHeight="1" x14ac:dyDescent="0.3">
      <c r="A194" s="42" t="s">
        <v>292</v>
      </c>
      <c r="B194" s="43">
        <v>39426</v>
      </c>
      <c r="C194" s="42" t="s">
        <v>34</v>
      </c>
      <c r="D194" s="44">
        <v>7.06</v>
      </c>
      <c r="E194" s="44">
        <v>7.7</v>
      </c>
      <c r="F194">
        <v>2007</v>
      </c>
    </row>
    <row r="195" spans="1:6" ht="15" customHeight="1" x14ac:dyDescent="0.3">
      <c r="A195" s="42" t="s">
        <v>293</v>
      </c>
      <c r="B195" s="43">
        <v>39455</v>
      </c>
      <c r="C195" s="42" t="s">
        <v>34</v>
      </c>
      <c r="D195" s="44">
        <v>4.41</v>
      </c>
      <c r="E195" s="44">
        <v>4.03</v>
      </c>
      <c r="F195">
        <v>2008</v>
      </c>
    </row>
    <row r="196" spans="1:6" ht="15" customHeight="1" x14ac:dyDescent="0.3">
      <c r="A196" s="42" t="s">
        <v>294</v>
      </c>
      <c r="B196" s="43">
        <v>39485</v>
      </c>
      <c r="C196" s="42" t="s">
        <v>34</v>
      </c>
      <c r="D196" s="44">
        <v>3.4</v>
      </c>
      <c r="E196" s="44">
        <v>3.32</v>
      </c>
      <c r="F196">
        <v>2008</v>
      </c>
    </row>
    <row r="197" spans="1:6" ht="15" customHeight="1" x14ac:dyDescent="0.3">
      <c r="A197" s="42" t="s">
        <v>296</v>
      </c>
      <c r="B197" s="43">
        <v>39513</v>
      </c>
      <c r="C197" s="42" t="s">
        <v>34</v>
      </c>
      <c r="D197" s="44">
        <v>3.75</v>
      </c>
      <c r="E197" s="44">
        <v>3.26</v>
      </c>
      <c r="F197">
        <v>2008</v>
      </c>
    </row>
    <row r="198" spans="1:6" ht="15" customHeight="1" x14ac:dyDescent="0.3">
      <c r="A198" s="42" t="s">
        <v>298</v>
      </c>
      <c r="B198" s="43">
        <v>39547</v>
      </c>
      <c r="C198" s="42" t="s">
        <v>34</v>
      </c>
      <c r="D198" s="44">
        <v>6.49</v>
      </c>
      <c r="E198" s="44">
        <v>5.9</v>
      </c>
      <c r="F198">
        <v>2008</v>
      </c>
    </row>
    <row r="199" spans="1:6" ht="15" customHeight="1" x14ac:dyDescent="0.3">
      <c r="A199" s="42" t="s">
        <v>299</v>
      </c>
      <c r="B199" s="43">
        <v>39574</v>
      </c>
      <c r="C199" s="42" t="s">
        <v>34</v>
      </c>
      <c r="D199" s="44">
        <v>11.5</v>
      </c>
      <c r="E199" s="44">
        <v>10.87</v>
      </c>
      <c r="F199">
        <v>2008</v>
      </c>
    </row>
    <row r="200" spans="1:6" ht="15" customHeight="1" x14ac:dyDescent="0.3">
      <c r="A200" s="42" t="s">
        <v>300</v>
      </c>
      <c r="B200" s="43">
        <v>39604</v>
      </c>
      <c r="C200" s="42" t="s">
        <v>34</v>
      </c>
      <c r="D200" s="44">
        <v>14.94</v>
      </c>
      <c r="E200" s="44">
        <v>13.15</v>
      </c>
      <c r="F200">
        <v>2008</v>
      </c>
    </row>
    <row r="201" spans="1:6" ht="15" customHeight="1" x14ac:dyDescent="0.3">
      <c r="A201" s="42" t="s">
        <v>301</v>
      </c>
      <c r="B201" s="43">
        <v>39616</v>
      </c>
      <c r="C201" s="42" t="s">
        <v>34</v>
      </c>
      <c r="D201" s="44">
        <v>18.46</v>
      </c>
      <c r="E201" s="45"/>
      <c r="F201">
        <v>2008</v>
      </c>
    </row>
    <row r="202" spans="1:6" ht="15" customHeight="1" x14ac:dyDescent="0.3">
      <c r="A202" s="42" t="s">
        <v>302</v>
      </c>
      <c r="B202" s="43">
        <v>39631</v>
      </c>
      <c r="C202" s="42" t="s">
        <v>34</v>
      </c>
      <c r="D202" s="44">
        <v>19.670000000000002</v>
      </c>
      <c r="E202" s="44">
        <v>14.98</v>
      </c>
      <c r="F202">
        <v>2008</v>
      </c>
    </row>
    <row r="203" spans="1:6" ht="15" customHeight="1" x14ac:dyDescent="0.3">
      <c r="A203" s="42" t="s">
        <v>304</v>
      </c>
      <c r="B203" s="43">
        <v>39665</v>
      </c>
      <c r="C203" s="42" t="s">
        <v>34</v>
      </c>
      <c r="D203" s="44">
        <v>23.63</v>
      </c>
      <c r="E203" s="44">
        <v>20.329999999999998</v>
      </c>
      <c r="F203">
        <v>2008</v>
      </c>
    </row>
    <row r="204" spans="1:6" ht="15" customHeight="1" x14ac:dyDescent="0.3">
      <c r="A204" s="42" t="s">
        <v>305</v>
      </c>
      <c r="B204" s="43">
        <v>39680</v>
      </c>
      <c r="C204" s="42" t="s">
        <v>34</v>
      </c>
      <c r="D204" s="44">
        <v>23.02</v>
      </c>
      <c r="E204" s="44">
        <v>22.44</v>
      </c>
      <c r="F204">
        <v>2008</v>
      </c>
    </row>
    <row r="205" spans="1:6" ht="15" customHeight="1" x14ac:dyDescent="0.3">
      <c r="A205" s="42" t="s">
        <v>306</v>
      </c>
      <c r="B205" s="43">
        <v>39694</v>
      </c>
      <c r="C205" s="42" t="s">
        <v>34</v>
      </c>
      <c r="D205" s="44">
        <v>22.64</v>
      </c>
      <c r="E205" s="44">
        <v>22.3</v>
      </c>
      <c r="F205">
        <v>2008</v>
      </c>
    </row>
    <row r="206" spans="1:6" ht="15" customHeight="1" x14ac:dyDescent="0.3">
      <c r="A206" s="42" t="s">
        <v>307</v>
      </c>
      <c r="B206" s="43">
        <v>39707</v>
      </c>
      <c r="C206" s="42" t="s">
        <v>34</v>
      </c>
      <c r="D206" s="44">
        <v>22.21</v>
      </c>
      <c r="E206" s="44">
        <v>22.24</v>
      </c>
      <c r="F206">
        <v>2008</v>
      </c>
    </row>
    <row r="207" spans="1:6" ht="15" customHeight="1" x14ac:dyDescent="0.3">
      <c r="A207" s="42" t="s">
        <v>308</v>
      </c>
      <c r="B207" s="43">
        <v>39729</v>
      </c>
      <c r="C207" s="42" t="s">
        <v>34</v>
      </c>
      <c r="D207" s="44">
        <v>18.62</v>
      </c>
      <c r="E207" s="44">
        <v>18.170000000000002</v>
      </c>
      <c r="F207">
        <v>2008</v>
      </c>
    </row>
    <row r="208" spans="1:6" ht="15" customHeight="1" x14ac:dyDescent="0.3">
      <c r="A208" s="42" t="s">
        <v>309</v>
      </c>
      <c r="B208" s="43">
        <v>39764</v>
      </c>
      <c r="C208" s="42" t="s">
        <v>34</v>
      </c>
      <c r="D208" s="44">
        <v>12.93</v>
      </c>
      <c r="E208" s="44">
        <v>12.89</v>
      </c>
      <c r="F208">
        <v>2008</v>
      </c>
    </row>
    <row r="209" spans="1:6" ht="15" customHeight="1" x14ac:dyDescent="0.3">
      <c r="A209" s="42" t="s">
        <v>310</v>
      </c>
      <c r="B209" s="43">
        <v>39800</v>
      </c>
      <c r="C209" s="42" t="s">
        <v>34</v>
      </c>
      <c r="D209" s="44">
        <v>6.71</v>
      </c>
      <c r="E209" s="44">
        <v>6.84</v>
      </c>
      <c r="F209">
        <v>2008</v>
      </c>
    </row>
    <row r="210" spans="1:6" ht="15" customHeight="1" x14ac:dyDescent="0.3">
      <c r="A210" s="42" t="s">
        <v>311</v>
      </c>
      <c r="B210" s="43">
        <v>39826</v>
      </c>
      <c r="C210" s="42" t="s">
        <v>34</v>
      </c>
      <c r="D210" s="44">
        <v>2.12</v>
      </c>
      <c r="E210" s="44">
        <v>2.64</v>
      </c>
      <c r="F210">
        <v>2009</v>
      </c>
    </row>
    <row r="211" spans="1:6" ht="15" customHeight="1" x14ac:dyDescent="0.3">
      <c r="A211" s="42" t="s">
        <v>312</v>
      </c>
      <c r="B211" s="43">
        <v>39850</v>
      </c>
      <c r="C211" s="42" t="s">
        <v>34</v>
      </c>
      <c r="D211" s="44">
        <v>0.15</v>
      </c>
      <c r="E211" s="44">
        <v>0.17</v>
      </c>
      <c r="F211">
        <v>2009</v>
      </c>
    </row>
    <row r="212" spans="1:6" ht="15" customHeight="1" x14ac:dyDescent="0.3">
      <c r="A212" s="42" t="s">
        <v>314</v>
      </c>
      <c r="B212" s="43">
        <v>39878</v>
      </c>
      <c r="C212" s="42" t="s">
        <v>34</v>
      </c>
      <c r="D212" s="46">
        <v>1.35</v>
      </c>
      <c r="E212" s="44">
        <v>1.23</v>
      </c>
      <c r="F212">
        <v>2009</v>
      </c>
    </row>
    <row r="213" spans="1:6" ht="15" customHeight="1" x14ac:dyDescent="0.3">
      <c r="A213" s="42" t="s">
        <v>316</v>
      </c>
      <c r="B213" s="43">
        <v>39905</v>
      </c>
      <c r="C213" s="42" t="s">
        <v>34</v>
      </c>
      <c r="D213" s="44">
        <v>4.34</v>
      </c>
      <c r="E213" s="44">
        <v>4.1399999999999997</v>
      </c>
      <c r="F213">
        <v>2009</v>
      </c>
    </row>
    <row r="214" spans="1:6" ht="15" customHeight="1" x14ac:dyDescent="0.3">
      <c r="A214" s="42" t="s">
        <v>317</v>
      </c>
      <c r="B214" s="43">
        <v>39933</v>
      </c>
      <c r="C214" s="42" t="s">
        <v>34</v>
      </c>
      <c r="D214" s="44">
        <v>10.23</v>
      </c>
      <c r="E214" s="44">
        <v>9.16</v>
      </c>
      <c r="F214">
        <v>2009</v>
      </c>
    </row>
    <row r="215" spans="1:6" ht="15" customHeight="1" x14ac:dyDescent="0.3">
      <c r="A215" s="42" t="s">
        <v>318</v>
      </c>
      <c r="B215" s="43">
        <v>39972</v>
      </c>
      <c r="C215" s="42" t="s">
        <v>34</v>
      </c>
      <c r="D215" s="44">
        <v>15.44</v>
      </c>
      <c r="E215" s="44">
        <v>14.49</v>
      </c>
      <c r="F215">
        <v>2009</v>
      </c>
    </row>
    <row r="216" spans="1:6" ht="15" customHeight="1" x14ac:dyDescent="0.3">
      <c r="A216" s="42" t="s">
        <v>319</v>
      </c>
      <c r="B216" s="43">
        <v>39987</v>
      </c>
      <c r="C216" s="42" t="s">
        <v>34</v>
      </c>
      <c r="D216" s="44">
        <v>17.71</v>
      </c>
      <c r="E216" s="44">
        <v>15.27</v>
      </c>
      <c r="F216">
        <v>2009</v>
      </c>
    </row>
    <row r="217" spans="1:6" ht="15" customHeight="1" x14ac:dyDescent="0.3">
      <c r="A217" s="42" t="s">
        <v>320</v>
      </c>
      <c r="B217" s="43">
        <v>40003</v>
      </c>
      <c r="C217" s="42" t="s">
        <v>34</v>
      </c>
      <c r="D217" s="44">
        <v>20.18</v>
      </c>
      <c r="E217" s="44">
        <v>16.29</v>
      </c>
      <c r="F217">
        <v>2009</v>
      </c>
    </row>
    <row r="218" spans="1:6" ht="15" customHeight="1" x14ac:dyDescent="0.3">
      <c r="A218" s="42" t="s">
        <v>321</v>
      </c>
      <c r="B218" s="43">
        <v>40015</v>
      </c>
      <c r="C218" s="42" t="s">
        <v>34</v>
      </c>
      <c r="D218" s="44">
        <v>20.23</v>
      </c>
      <c r="E218" s="44">
        <v>17.37</v>
      </c>
      <c r="F218">
        <v>2009</v>
      </c>
    </row>
    <row r="219" spans="1:6" ht="15" customHeight="1" x14ac:dyDescent="0.3">
      <c r="A219" s="42" t="s">
        <v>322</v>
      </c>
      <c r="B219" s="43">
        <v>40029</v>
      </c>
      <c r="C219" s="42" t="s">
        <v>34</v>
      </c>
      <c r="D219" s="44">
        <v>23.03</v>
      </c>
      <c r="E219" s="44">
        <v>20.14</v>
      </c>
      <c r="F219">
        <v>2009</v>
      </c>
    </row>
    <row r="220" spans="1:6" ht="15" customHeight="1" x14ac:dyDescent="0.3">
      <c r="A220" s="42" t="s">
        <v>323</v>
      </c>
      <c r="B220" s="43">
        <v>40043</v>
      </c>
      <c r="C220" s="42" t="s">
        <v>34</v>
      </c>
      <c r="D220" s="44">
        <v>23.38</v>
      </c>
      <c r="E220" s="44">
        <v>22.03</v>
      </c>
      <c r="F220">
        <v>2009</v>
      </c>
    </row>
    <row r="221" spans="1:6" ht="15" customHeight="1" x14ac:dyDescent="0.3">
      <c r="A221" s="42" t="s">
        <v>324</v>
      </c>
      <c r="B221" s="43">
        <v>40058</v>
      </c>
      <c r="C221" s="42" t="s">
        <v>34</v>
      </c>
      <c r="D221" s="44">
        <v>22.77</v>
      </c>
      <c r="E221" s="44">
        <v>21.87</v>
      </c>
      <c r="F221">
        <v>2009</v>
      </c>
    </row>
    <row r="222" spans="1:6" ht="15" customHeight="1" x14ac:dyDescent="0.3">
      <c r="A222" s="42" t="s">
        <v>325</v>
      </c>
      <c r="B222" s="43">
        <v>40094</v>
      </c>
      <c r="C222" s="42" t="s">
        <v>34</v>
      </c>
      <c r="D222" s="44">
        <v>18.8</v>
      </c>
      <c r="E222" s="44">
        <v>18.38</v>
      </c>
      <c r="F222">
        <v>2009</v>
      </c>
    </row>
    <row r="223" spans="1:6" ht="15" customHeight="1" x14ac:dyDescent="0.3">
      <c r="A223" s="42" t="s">
        <v>326</v>
      </c>
      <c r="B223" s="43">
        <v>40122</v>
      </c>
      <c r="C223" s="42" t="s">
        <v>34</v>
      </c>
      <c r="D223" s="44">
        <v>13.61</v>
      </c>
      <c r="E223" s="44">
        <v>13.55</v>
      </c>
      <c r="F223">
        <v>2009</v>
      </c>
    </row>
    <row r="224" spans="1:6" ht="15" customHeight="1" x14ac:dyDescent="0.3">
      <c r="A224" s="42" t="s">
        <v>327</v>
      </c>
      <c r="B224" s="43">
        <v>40154</v>
      </c>
      <c r="C224" s="42" t="s">
        <v>34</v>
      </c>
      <c r="D224" s="44">
        <v>8.85</v>
      </c>
      <c r="E224" s="44">
        <v>9.69</v>
      </c>
      <c r="F224">
        <v>2009</v>
      </c>
    </row>
    <row r="225" spans="1:6" ht="15" customHeight="1" x14ac:dyDescent="0.3">
      <c r="A225" s="42" t="s">
        <v>328</v>
      </c>
      <c r="B225" s="43">
        <v>40186</v>
      </c>
      <c r="C225" s="42" t="s">
        <v>34</v>
      </c>
      <c r="D225" s="44">
        <v>2.5299999999999998</v>
      </c>
      <c r="E225" s="44">
        <v>2.64</v>
      </c>
      <c r="F225">
        <v>2010</v>
      </c>
    </row>
    <row r="226" spans="1:6" ht="15" customHeight="1" x14ac:dyDescent="0.3">
      <c r="A226" s="42" t="s">
        <v>329</v>
      </c>
      <c r="B226" s="43">
        <v>40218</v>
      </c>
      <c r="C226" s="42" t="s">
        <v>34</v>
      </c>
      <c r="D226" s="44">
        <v>1.01</v>
      </c>
      <c r="E226" s="44">
        <v>0.98</v>
      </c>
      <c r="F226">
        <v>2010</v>
      </c>
    </row>
    <row r="227" spans="1:6" ht="15" customHeight="1" x14ac:dyDescent="0.3">
      <c r="A227" s="42" t="s">
        <v>330</v>
      </c>
      <c r="B227" s="43">
        <v>40242</v>
      </c>
      <c r="C227" s="42" t="s">
        <v>34</v>
      </c>
      <c r="D227" s="44">
        <v>2.38</v>
      </c>
      <c r="E227" s="44">
        <v>2.17</v>
      </c>
      <c r="F227">
        <v>2010</v>
      </c>
    </row>
    <row r="228" spans="1:6" ht="15" customHeight="1" x14ac:dyDescent="0.3">
      <c r="A228" s="42" t="s">
        <v>332</v>
      </c>
      <c r="B228" s="43">
        <v>40269</v>
      </c>
      <c r="C228" s="42" t="s">
        <v>34</v>
      </c>
      <c r="D228" s="44">
        <v>5.98</v>
      </c>
      <c r="E228" s="44">
        <v>5.69</v>
      </c>
      <c r="F228">
        <v>2010</v>
      </c>
    </row>
    <row r="229" spans="1:6" ht="15" customHeight="1" x14ac:dyDescent="0.3">
      <c r="A229" s="42" t="s">
        <v>333</v>
      </c>
      <c r="B229" s="43">
        <v>40303</v>
      </c>
      <c r="C229" s="42" t="s">
        <v>34</v>
      </c>
      <c r="D229" s="44">
        <v>13.15</v>
      </c>
      <c r="E229" s="44">
        <v>10.52</v>
      </c>
      <c r="F229">
        <v>2010</v>
      </c>
    </row>
    <row r="230" spans="1:6" ht="15" customHeight="1" x14ac:dyDescent="0.3">
      <c r="A230" s="42" t="s">
        <v>334</v>
      </c>
      <c r="B230" s="43">
        <v>40325</v>
      </c>
      <c r="C230" s="42" t="s">
        <v>34</v>
      </c>
      <c r="D230" s="44">
        <v>16.25</v>
      </c>
      <c r="E230" s="44">
        <v>12.5</v>
      </c>
      <c r="F230">
        <v>2010</v>
      </c>
    </row>
    <row r="231" spans="1:6" ht="15" customHeight="1" x14ac:dyDescent="0.3">
      <c r="A231" s="42" t="s">
        <v>335</v>
      </c>
      <c r="B231" s="43">
        <v>40347</v>
      </c>
      <c r="C231" s="42" t="s">
        <v>34</v>
      </c>
      <c r="D231" s="44">
        <v>18.059999999999999</v>
      </c>
      <c r="E231" s="44">
        <v>16.39</v>
      </c>
      <c r="F231">
        <v>2010</v>
      </c>
    </row>
    <row r="232" spans="1:6" ht="15" customHeight="1" x14ac:dyDescent="0.3">
      <c r="A232" s="42" t="s">
        <v>336</v>
      </c>
      <c r="B232" s="43">
        <v>40368</v>
      </c>
      <c r="C232" s="42" t="s">
        <v>34</v>
      </c>
      <c r="D232" s="44">
        <v>22.58</v>
      </c>
      <c r="E232" s="44">
        <v>17.14</v>
      </c>
      <c r="F232">
        <v>2010</v>
      </c>
    </row>
    <row r="233" spans="1:6" ht="15" customHeight="1" x14ac:dyDescent="0.3">
      <c r="A233" s="42" t="s">
        <v>337</v>
      </c>
      <c r="B233" s="43">
        <v>40380</v>
      </c>
      <c r="C233" s="42" t="s">
        <v>34</v>
      </c>
      <c r="D233" s="44">
        <v>24.94</v>
      </c>
      <c r="E233" s="44">
        <v>20.239999999999998</v>
      </c>
      <c r="F233">
        <v>2010</v>
      </c>
    </row>
    <row r="234" spans="1:6" ht="15" customHeight="1" x14ac:dyDescent="0.3">
      <c r="A234" s="42" t="s">
        <v>338</v>
      </c>
      <c r="B234" s="43">
        <v>40394</v>
      </c>
      <c r="C234" s="42" t="s">
        <v>34</v>
      </c>
      <c r="D234" s="44">
        <v>22.19</v>
      </c>
      <c r="E234" s="44">
        <v>20.68</v>
      </c>
      <c r="F234">
        <v>2010</v>
      </c>
    </row>
    <row r="235" spans="1:6" ht="15" customHeight="1" x14ac:dyDescent="0.3">
      <c r="A235" s="42" t="s">
        <v>339</v>
      </c>
      <c r="B235" s="43">
        <v>40409</v>
      </c>
      <c r="C235" s="42" t="s">
        <v>34</v>
      </c>
      <c r="D235" s="44">
        <v>23.4</v>
      </c>
      <c r="E235" s="44">
        <v>22.62</v>
      </c>
      <c r="F235">
        <v>2010</v>
      </c>
    </row>
    <row r="236" spans="1:6" ht="15" customHeight="1" x14ac:dyDescent="0.3">
      <c r="A236" s="42" t="s">
        <v>340</v>
      </c>
      <c r="B236" s="43">
        <v>40422</v>
      </c>
      <c r="C236" s="42" t="s">
        <v>34</v>
      </c>
      <c r="D236" s="44">
        <v>24.65</v>
      </c>
      <c r="E236" s="44">
        <v>23.04</v>
      </c>
      <c r="F236">
        <v>2010</v>
      </c>
    </row>
    <row r="237" spans="1:6" ht="15" customHeight="1" x14ac:dyDescent="0.3">
      <c r="A237" s="42" t="s">
        <v>341</v>
      </c>
      <c r="B237" s="43">
        <v>40463</v>
      </c>
      <c r="C237" s="42" t="s">
        <v>34</v>
      </c>
      <c r="D237" s="44">
        <v>18.809999999999999</v>
      </c>
      <c r="E237" s="44">
        <v>18.690000000000001</v>
      </c>
      <c r="F237">
        <v>2010</v>
      </c>
    </row>
    <row r="238" spans="1:6" ht="15" customHeight="1" x14ac:dyDescent="0.3">
      <c r="A238" s="42" t="s">
        <v>342</v>
      </c>
      <c r="B238" s="43">
        <v>40487</v>
      </c>
      <c r="C238" s="42" t="s">
        <v>34</v>
      </c>
      <c r="D238" s="44">
        <v>14.04</v>
      </c>
      <c r="E238" s="44">
        <v>14.03</v>
      </c>
      <c r="F238">
        <v>2010</v>
      </c>
    </row>
    <row r="239" spans="1:6" ht="15" customHeight="1" x14ac:dyDescent="0.3">
      <c r="A239" s="42" t="s">
        <v>343</v>
      </c>
      <c r="B239" s="43">
        <v>40515</v>
      </c>
      <c r="C239" s="42" t="s">
        <v>34</v>
      </c>
      <c r="D239" s="44">
        <v>9.82</v>
      </c>
      <c r="E239" s="44">
        <v>9.82</v>
      </c>
      <c r="F239">
        <v>2010</v>
      </c>
    </row>
    <row r="240" spans="1:6" ht="15" customHeight="1" x14ac:dyDescent="0.3">
      <c r="A240" s="42" t="s">
        <v>344</v>
      </c>
      <c r="B240" s="43">
        <v>40547</v>
      </c>
      <c r="C240" s="42" t="s">
        <v>34</v>
      </c>
      <c r="D240" s="44">
        <v>2.69</v>
      </c>
      <c r="E240" s="44">
        <v>2.9</v>
      </c>
      <c r="F240">
        <v>2011</v>
      </c>
    </row>
    <row r="241" spans="1:6" ht="15" customHeight="1" x14ac:dyDescent="0.3">
      <c r="A241" s="42" t="s">
        <v>345</v>
      </c>
      <c r="B241" s="43">
        <v>40581</v>
      </c>
      <c r="C241" s="42" t="s">
        <v>34</v>
      </c>
      <c r="D241" s="44">
        <v>0.56000000000000005</v>
      </c>
      <c r="E241" s="44">
        <v>0.59</v>
      </c>
      <c r="F241">
        <v>2011</v>
      </c>
    </row>
    <row r="242" spans="1:6" ht="15" customHeight="1" x14ac:dyDescent="0.3">
      <c r="A242" s="42" t="s">
        <v>347</v>
      </c>
      <c r="B242" s="43">
        <v>40617</v>
      </c>
      <c r="C242" s="42" t="s">
        <v>34</v>
      </c>
      <c r="D242" s="44">
        <v>3.48</v>
      </c>
      <c r="E242" s="44">
        <v>3.22</v>
      </c>
      <c r="F242">
        <v>2011</v>
      </c>
    </row>
    <row r="243" spans="1:6" ht="15" customHeight="1" x14ac:dyDescent="0.3">
      <c r="A243" s="42" t="s">
        <v>348</v>
      </c>
      <c r="B243" s="43">
        <v>40641</v>
      </c>
      <c r="C243" s="42" t="s">
        <v>34</v>
      </c>
      <c r="D243" s="44">
        <v>5.33</v>
      </c>
      <c r="E243" s="46">
        <v>4.92</v>
      </c>
      <c r="F243">
        <v>2011</v>
      </c>
    </row>
    <row r="244" spans="1:6" ht="15" customHeight="1" x14ac:dyDescent="0.3">
      <c r="A244" s="42" t="s">
        <v>349</v>
      </c>
      <c r="B244" s="43">
        <v>40667</v>
      </c>
      <c r="C244" s="42" t="s">
        <v>34</v>
      </c>
      <c r="D244" s="44">
        <v>10.48</v>
      </c>
      <c r="E244" s="44">
        <v>9.2799999999999994</v>
      </c>
      <c r="F244">
        <v>2011</v>
      </c>
    </row>
    <row r="245" spans="1:6" ht="15" customHeight="1" x14ac:dyDescent="0.3">
      <c r="A245" s="42" t="s">
        <v>350</v>
      </c>
      <c r="B245" s="43">
        <v>40700</v>
      </c>
      <c r="C245" s="42" t="s">
        <v>34</v>
      </c>
      <c r="D245" s="44">
        <v>16.72</v>
      </c>
      <c r="E245" s="44">
        <v>13.65</v>
      </c>
      <c r="F245">
        <v>2011</v>
      </c>
    </row>
    <row r="246" spans="1:6" ht="15" customHeight="1" x14ac:dyDescent="0.3">
      <c r="A246" s="42" t="s">
        <v>351</v>
      </c>
      <c r="B246" s="43">
        <v>40710</v>
      </c>
      <c r="C246" s="42" t="s">
        <v>34</v>
      </c>
      <c r="D246" s="44">
        <v>17.45</v>
      </c>
      <c r="E246" s="44">
        <v>15.31</v>
      </c>
      <c r="F246">
        <v>2011</v>
      </c>
    </row>
    <row r="247" spans="1:6" ht="15" customHeight="1" x14ac:dyDescent="0.3">
      <c r="A247" s="42" t="s">
        <v>352</v>
      </c>
      <c r="B247" s="43">
        <v>40731</v>
      </c>
      <c r="C247" s="42" t="s">
        <v>34</v>
      </c>
      <c r="D247" s="44">
        <v>21.33</v>
      </c>
      <c r="E247" s="44">
        <v>17.89</v>
      </c>
      <c r="F247">
        <v>2011</v>
      </c>
    </row>
    <row r="248" spans="1:6" ht="15" customHeight="1" x14ac:dyDescent="0.3">
      <c r="A248" s="42" t="s">
        <v>353</v>
      </c>
      <c r="B248" s="43">
        <v>40743</v>
      </c>
      <c r="C248" s="42" t="s">
        <v>34</v>
      </c>
      <c r="D248" s="44">
        <v>22.36</v>
      </c>
      <c r="E248" s="45"/>
      <c r="F248">
        <v>2011</v>
      </c>
    </row>
    <row r="249" spans="1:6" ht="15" customHeight="1" x14ac:dyDescent="0.3">
      <c r="A249" s="42" t="s">
        <v>354</v>
      </c>
      <c r="B249" s="43">
        <v>40757</v>
      </c>
      <c r="C249" s="42" t="s">
        <v>34</v>
      </c>
      <c r="D249" s="44">
        <v>23.59</v>
      </c>
      <c r="E249" s="44">
        <v>21.29</v>
      </c>
      <c r="F249">
        <v>2011</v>
      </c>
    </row>
    <row r="250" spans="1:6" ht="15" customHeight="1" x14ac:dyDescent="0.3">
      <c r="A250" s="42" t="s">
        <v>355</v>
      </c>
      <c r="B250" s="43">
        <v>40771</v>
      </c>
      <c r="C250" s="42" t="s">
        <v>34</v>
      </c>
      <c r="D250" s="44">
        <v>21.65</v>
      </c>
      <c r="E250" s="44">
        <v>21.51</v>
      </c>
      <c r="F250">
        <v>2011</v>
      </c>
    </row>
    <row r="251" spans="1:6" ht="15" customHeight="1" x14ac:dyDescent="0.3">
      <c r="A251" s="42" t="s">
        <v>356</v>
      </c>
      <c r="B251" s="43">
        <v>40787</v>
      </c>
      <c r="C251" s="42" t="s">
        <v>34</v>
      </c>
      <c r="D251" s="44">
        <v>23.13</v>
      </c>
      <c r="E251" s="44">
        <v>22.15</v>
      </c>
      <c r="F251">
        <v>2011</v>
      </c>
    </row>
    <row r="252" spans="1:6" ht="15" customHeight="1" x14ac:dyDescent="0.3">
      <c r="A252" s="42" t="s">
        <v>357</v>
      </c>
      <c r="B252" s="43">
        <v>40823</v>
      </c>
      <c r="C252" s="42" t="s">
        <v>34</v>
      </c>
      <c r="D252" s="44">
        <v>19.440000000000001</v>
      </c>
      <c r="E252" s="44">
        <v>19.420000000000002</v>
      </c>
      <c r="F252">
        <v>2011</v>
      </c>
    </row>
    <row r="253" spans="1:6" ht="15" customHeight="1" x14ac:dyDescent="0.3">
      <c r="A253" s="42" t="s">
        <v>358</v>
      </c>
      <c r="B253" s="43">
        <v>40861</v>
      </c>
      <c r="C253" s="42" t="s">
        <v>34</v>
      </c>
      <c r="D253" s="44">
        <v>12.78</v>
      </c>
      <c r="E253" s="44">
        <v>12.7</v>
      </c>
      <c r="F253">
        <v>2011</v>
      </c>
    </row>
    <row r="254" spans="1:6" ht="15" customHeight="1" x14ac:dyDescent="0.3">
      <c r="A254" s="42" t="s">
        <v>359</v>
      </c>
      <c r="B254" s="43">
        <v>40878</v>
      </c>
      <c r="C254" s="42" t="s">
        <v>34</v>
      </c>
      <c r="D254" s="44">
        <v>11.62</v>
      </c>
      <c r="E254" s="44">
        <v>11.58</v>
      </c>
      <c r="F254">
        <v>2011</v>
      </c>
    </row>
    <row r="255" spans="1:6" ht="15" customHeight="1" x14ac:dyDescent="0.3">
      <c r="A255" s="42" t="s">
        <v>360</v>
      </c>
      <c r="B255" s="43">
        <v>40919</v>
      </c>
      <c r="C255" s="42" t="s">
        <v>34</v>
      </c>
      <c r="D255" s="44">
        <v>6.03</v>
      </c>
      <c r="E255" s="44">
        <v>6.12</v>
      </c>
      <c r="F255">
        <v>2012</v>
      </c>
    </row>
    <row r="256" spans="1:6" ht="15" customHeight="1" x14ac:dyDescent="0.3">
      <c r="A256" s="42" t="s">
        <v>361</v>
      </c>
      <c r="B256" s="43">
        <v>40946</v>
      </c>
      <c r="C256" s="42" t="s">
        <v>34</v>
      </c>
      <c r="D256" s="44">
        <v>4.37</v>
      </c>
      <c r="E256" s="44">
        <v>4.33</v>
      </c>
      <c r="F256">
        <v>2012</v>
      </c>
    </row>
    <row r="257" spans="1:6" ht="15" customHeight="1" x14ac:dyDescent="0.3">
      <c r="A257" s="42" t="s">
        <v>363</v>
      </c>
      <c r="B257" s="43">
        <v>40974</v>
      </c>
      <c r="C257" s="42" t="s">
        <v>34</v>
      </c>
      <c r="D257" s="44">
        <v>4.4000000000000004</v>
      </c>
      <c r="E257" s="44">
        <v>4.42</v>
      </c>
      <c r="F257">
        <v>2012</v>
      </c>
    </row>
    <row r="258" spans="1:6" ht="15" customHeight="1" x14ac:dyDescent="0.3">
      <c r="A258" s="42" t="s">
        <v>365</v>
      </c>
      <c r="B258" s="43">
        <v>41003</v>
      </c>
      <c r="C258" s="42" t="s">
        <v>34</v>
      </c>
      <c r="D258" s="44">
        <v>8.1199999999999992</v>
      </c>
      <c r="E258" s="44">
        <v>7.85</v>
      </c>
      <c r="F258">
        <v>2012</v>
      </c>
    </row>
    <row r="259" spans="1:6" ht="15" customHeight="1" x14ac:dyDescent="0.3">
      <c r="A259" s="42" t="s">
        <v>366</v>
      </c>
      <c r="B259" s="43">
        <v>41032</v>
      </c>
      <c r="C259" s="42" t="s">
        <v>34</v>
      </c>
      <c r="D259" s="44">
        <v>10.9</v>
      </c>
      <c r="E259" s="44">
        <v>10.42</v>
      </c>
      <c r="F259">
        <v>2012</v>
      </c>
    </row>
    <row r="260" spans="1:6" ht="15" customHeight="1" x14ac:dyDescent="0.3">
      <c r="A260" s="42" t="s">
        <v>367</v>
      </c>
      <c r="B260" s="43">
        <v>41060</v>
      </c>
      <c r="C260" s="42" t="s">
        <v>34</v>
      </c>
      <c r="D260" s="44">
        <v>17.760000000000002</v>
      </c>
      <c r="E260" s="44">
        <v>14.84</v>
      </c>
      <c r="F260">
        <v>2012</v>
      </c>
    </row>
    <row r="261" spans="1:6" ht="15" customHeight="1" x14ac:dyDescent="0.3">
      <c r="A261" s="42" t="s">
        <v>368</v>
      </c>
      <c r="B261" s="43">
        <v>41072</v>
      </c>
      <c r="C261" s="42" t="s">
        <v>34</v>
      </c>
      <c r="D261" s="44">
        <v>17.53</v>
      </c>
      <c r="E261" s="44">
        <v>16.09</v>
      </c>
      <c r="F261">
        <v>2012</v>
      </c>
    </row>
    <row r="262" spans="1:6" ht="15" customHeight="1" x14ac:dyDescent="0.3">
      <c r="A262" s="42" t="s">
        <v>369</v>
      </c>
      <c r="B262" s="43">
        <v>41088</v>
      </c>
      <c r="C262" s="42" t="s">
        <v>34</v>
      </c>
      <c r="D262" s="44">
        <v>20.66</v>
      </c>
      <c r="E262" s="44">
        <v>19.559999999999999</v>
      </c>
      <c r="F262">
        <v>2012</v>
      </c>
    </row>
    <row r="263" spans="1:6" ht="15" customHeight="1" x14ac:dyDescent="0.3">
      <c r="A263" s="42" t="s">
        <v>370</v>
      </c>
      <c r="B263" s="43">
        <v>41107</v>
      </c>
      <c r="C263" s="42" t="s">
        <v>34</v>
      </c>
      <c r="D263" s="44">
        <v>24.43</v>
      </c>
      <c r="E263" s="44">
        <v>19.12</v>
      </c>
      <c r="F263">
        <v>2012</v>
      </c>
    </row>
    <row r="264" spans="1:6" ht="15" customHeight="1" x14ac:dyDescent="0.3">
      <c r="A264" s="42" t="s">
        <v>371</v>
      </c>
      <c r="B264" s="43">
        <v>41121</v>
      </c>
      <c r="C264" s="42" t="s">
        <v>34</v>
      </c>
      <c r="D264" s="44">
        <v>22.35</v>
      </c>
      <c r="E264" s="44">
        <v>20.92</v>
      </c>
      <c r="F264">
        <v>2012</v>
      </c>
    </row>
    <row r="265" spans="1:6" ht="15" customHeight="1" x14ac:dyDescent="0.3">
      <c r="A265" s="42" t="s">
        <v>372</v>
      </c>
      <c r="B265" s="43">
        <v>41136</v>
      </c>
      <c r="C265" s="42" t="s">
        <v>34</v>
      </c>
      <c r="D265" s="44">
        <v>25.12</v>
      </c>
      <c r="E265" s="44">
        <v>22.86</v>
      </c>
      <c r="F265">
        <v>2012</v>
      </c>
    </row>
    <row r="266" spans="1:6" ht="15" customHeight="1" x14ac:dyDescent="0.3">
      <c r="A266" s="42" t="s">
        <v>373</v>
      </c>
      <c r="B266" s="43">
        <v>41150</v>
      </c>
      <c r="C266" s="42" t="s">
        <v>34</v>
      </c>
      <c r="D266" s="44">
        <v>24.81</v>
      </c>
      <c r="E266" s="44">
        <v>23.96</v>
      </c>
      <c r="F266">
        <v>2012</v>
      </c>
    </row>
    <row r="267" spans="1:6" ht="15" customHeight="1" x14ac:dyDescent="0.3">
      <c r="A267" s="42" t="s">
        <v>374</v>
      </c>
      <c r="B267" s="43">
        <v>41169</v>
      </c>
      <c r="C267" s="42" t="s">
        <v>34</v>
      </c>
      <c r="D267" s="44">
        <v>22.96</v>
      </c>
      <c r="E267" s="44">
        <v>22.57</v>
      </c>
      <c r="F267">
        <v>2012</v>
      </c>
    </row>
    <row r="268" spans="1:6" ht="15" customHeight="1" x14ac:dyDescent="0.3">
      <c r="A268" s="42" t="s">
        <v>375</v>
      </c>
      <c r="B268" s="43">
        <v>41184</v>
      </c>
      <c r="C268" s="42" t="s">
        <v>34</v>
      </c>
      <c r="D268" s="44">
        <v>20.55</v>
      </c>
      <c r="E268" s="44">
        <v>20.59</v>
      </c>
      <c r="F268">
        <v>2012</v>
      </c>
    </row>
    <row r="269" spans="1:6" ht="15" customHeight="1" x14ac:dyDescent="0.3">
      <c r="A269" s="42" t="s">
        <v>376</v>
      </c>
      <c r="B269" s="43">
        <v>41228</v>
      </c>
      <c r="C269" s="42" t="s">
        <v>34</v>
      </c>
      <c r="D269" s="44">
        <v>11.62</v>
      </c>
      <c r="E269" s="44">
        <v>11.62</v>
      </c>
      <c r="F269">
        <v>2012</v>
      </c>
    </row>
    <row r="270" spans="1:6" ht="15" customHeight="1" x14ac:dyDescent="0.3">
      <c r="A270" s="42" t="s">
        <v>377</v>
      </c>
      <c r="B270" s="43">
        <v>41248</v>
      </c>
      <c r="C270" s="42" t="s">
        <v>34</v>
      </c>
      <c r="D270" s="44">
        <v>8.99</v>
      </c>
      <c r="E270" s="44">
        <v>8.9700000000000006</v>
      </c>
      <c r="F270">
        <v>2012</v>
      </c>
    </row>
    <row r="271" spans="1:6" ht="15" customHeight="1" x14ac:dyDescent="0.3">
      <c r="A271" s="42" t="s">
        <v>378</v>
      </c>
      <c r="B271" s="43">
        <v>41285</v>
      </c>
      <c r="C271" s="42" t="s">
        <v>34</v>
      </c>
      <c r="D271" s="44">
        <v>4.49</v>
      </c>
      <c r="E271" s="44">
        <v>4.58</v>
      </c>
      <c r="F271">
        <v>2013</v>
      </c>
    </row>
    <row r="272" spans="1:6" ht="15" customHeight="1" x14ac:dyDescent="0.3">
      <c r="A272" s="42" t="s">
        <v>379</v>
      </c>
      <c r="B272" s="43">
        <v>41310</v>
      </c>
      <c r="C272" s="42" t="s">
        <v>34</v>
      </c>
      <c r="D272" s="46">
        <v>2.33</v>
      </c>
      <c r="E272" s="44">
        <v>2.5</v>
      </c>
      <c r="F272">
        <v>2013</v>
      </c>
    </row>
    <row r="273" spans="1:6" ht="15" customHeight="1" x14ac:dyDescent="0.3">
      <c r="A273" s="42" t="s">
        <v>381</v>
      </c>
      <c r="B273" s="43">
        <v>41345</v>
      </c>
      <c r="C273" s="42" t="s">
        <v>34</v>
      </c>
      <c r="D273" s="44">
        <v>3.08</v>
      </c>
      <c r="E273" s="44">
        <v>3</v>
      </c>
      <c r="F273">
        <v>2013</v>
      </c>
    </row>
    <row r="274" spans="1:6" ht="15" customHeight="1" x14ac:dyDescent="0.3">
      <c r="A274" s="42" t="s">
        <v>382</v>
      </c>
      <c r="B274" s="43">
        <v>41369</v>
      </c>
      <c r="C274" s="42" t="s">
        <v>34</v>
      </c>
      <c r="D274" s="44">
        <v>4.72</v>
      </c>
      <c r="E274" s="44">
        <v>4.59</v>
      </c>
      <c r="F274">
        <v>2013</v>
      </c>
    </row>
    <row r="275" spans="1:6" ht="15" customHeight="1" x14ac:dyDescent="0.3">
      <c r="A275" s="42" t="s">
        <v>383</v>
      </c>
      <c r="B275" s="43">
        <v>41394</v>
      </c>
      <c r="C275" s="42" t="s">
        <v>34</v>
      </c>
      <c r="D275" s="44">
        <v>9.65</v>
      </c>
      <c r="E275" s="44">
        <v>9.02</v>
      </c>
      <c r="F275">
        <v>2013</v>
      </c>
    </row>
    <row r="276" spans="1:6" ht="15" customHeight="1" x14ac:dyDescent="0.3">
      <c r="A276" s="42" t="s">
        <v>384</v>
      </c>
      <c r="B276" s="43">
        <v>41429</v>
      </c>
      <c r="C276" s="42" t="s">
        <v>34</v>
      </c>
      <c r="D276" s="44">
        <v>16.39</v>
      </c>
      <c r="E276" s="44">
        <v>15.78</v>
      </c>
      <c r="F276">
        <v>2013</v>
      </c>
    </row>
    <row r="277" spans="1:6" ht="15" customHeight="1" x14ac:dyDescent="0.3">
      <c r="A277" s="42" t="s">
        <v>385</v>
      </c>
      <c r="B277" s="43">
        <v>41446</v>
      </c>
      <c r="C277" s="42" t="s">
        <v>34</v>
      </c>
      <c r="D277" s="44">
        <v>19.350000000000001</v>
      </c>
      <c r="E277" s="44">
        <v>17.510000000000002</v>
      </c>
      <c r="F277">
        <v>2013</v>
      </c>
    </row>
    <row r="278" spans="1:6" ht="15" customHeight="1" x14ac:dyDescent="0.3">
      <c r="A278" s="42" t="s">
        <v>386</v>
      </c>
      <c r="B278" s="43">
        <v>41458</v>
      </c>
      <c r="C278" s="42" t="s">
        <v>34</v>
      </c>
      <c r="D278" s="44">
        <v>21</v>
      </c>
      <c r="E278" s="44">
        <v>17.73</v>
      </c>
      <c r="F278">
        <v>2013</v>
      </c>
    </row>
    <row r="279" spans="1:6" ht="15" customHeight="1" x14ac:dyDescent="0.3">
      <c r="A279" s="42" t="s">
        <v>387</v>
      </c>
      <c r="B279" s="43">
        <v>41471</v>
      </c>
      <c r="C279" s="42" t="s">
        <v>34</v>
      </c>
      <c r="D279" s="44">
        <v>24.49</v>
      </c>
      <c r="E279" s="44">
        <v>20.149999999999999</v>
      </c>
      <c r="F279">
        <v>2013</v>
      </c>
    </row>
    <row r="280" spans="1:6" ht="15" customHeight="1" x14ac:dyDescent="0.3">
      <c r="A280" s="42" t="s">
        <v>388</v>
      </c>
      <c r="B280" s="43">
        <v>41485</v>
      </c>
      <c r="C280" s="42" t="s">
        <v>34</v>
      </c>
      <c r="D280" s="46">
        <v>23.12</v>
      </c>
      <c r="E280" s="46">
        <v>21.66</v>
      </c>
      <c r="F280">
        <v>2013</v>
      </c>
    </row>
    <row r="281" spans="1:6" ht="15" customHeight="1" x14ac:dyDescent="0.3">
      <c r="A281" s="42" t="s">
        <v>389</v>
      </c>
      <c r="B281" s="43">
        <v>41499</v>
      </c>
      <c r="C281" s="42" t="s">
        <v>34</v>
      </c>
      <c r="D281" s="44">
        <v>22.59</v>
      </c>
      <c r="E281" s="44">
        <v>21.58</v>
      </c>
      <c r="F281">
        <v>2013</v>
      </c>
    </row>
    <row r="282" spans="1:6" ht="15" customHeight="1" x14ac:dyDescent="0.3">
      <c r="A282" s="42" t="s">
        <v>390</v>
      </c>
      <c r="B282" s="43">
        <v>41515</v>
      </c>
      <c r="C282" s="42" t="s">
        <v>34</v>
      </c>
      <c r="D282" s="44">
        <v>22.76</v>
      </c>
      <c r="E282" s="44">
        <v>22.04</v>
      </c>
      <c r="F282">
        <v>2013</v>
      </c>
    </row>
    <row r="283" spans="1:6" ht="15" customHeight="1" x14ac:dyDescent="0.3">
      <c r="A283" s="42" t="s">
        <v>391</v>
      </c>
      <c r="B283" s="43">
        <v>41526</v>
      </c>
      <c r="C283" s="42" t="s">
        <v>34</v>
      </c>
      <c r="D283" s="44">
        <v>22.64</v>
      </c>
      <c r="E283" s="44">
        <v>22.28</v>
      </c>
      <c r="F283">
        <v>2013</v>
      </c>
    </row>
    <row r="284" spans="1:6" ht="15" customHeight="1" x14ac:dyDescent="0.3">
      <c r="A284" s="42" t="s">
        <v>392</v>
      </c>
      <c r="B284" s="43">
        <v>41550</v>
      </c>
      <c r="C284" s="42" t="s">
        <v>34</v>
      </c>
      <c r="D284" s="44">
        <v>20.39</v>
      </c>
      <c r="E284" s="44">
        <v>19.809999999999999</v>
      </c>
      <c r="F284">
        <v>2013</v>
      </c>
    </row>
    <row r="285" spans="1:6" ht="15" customHeight="1" x14ac:dyDescent="0.3">
      <c r="A285" s="42" t="s">
        <v>393</v>
      </c>
      <c r="B285" s="43">
        <v>41584</v>
      </c>
      <c r="C285" s="42" t="s">
        <v>34</v>
      </c>
      <c r="D285" s="44">
        <v>14.39</v>
      </c>
      <c r="E285" s="44">
        <v>14.29</v>
      </c>
      <c r="F285">
        <v>2013</v>
      </c>
    </row>
    <row r="286" spans="1:6" ht="15" customHeight="1" x14ac:dyDescent="0.3">
      <c r="A286" s="42" t="s">
        <v>394</v>
      </c>
      <c r="B286" s="43">
        <v>41617</v>
      </c>
      <c r="C286" s="42" t="s">
        <v>34</v>
      </c>
      <c r="D286" s="44">
        <v>7.63</v>
      </c>
      <c r="E286" s="44">
        <v>7.63</v>
      </c>
      <c r="F286">
        <v>2013</v>
      </c>
    </row>
    <row r="287" spans="1:6" ht="15" customHeight="1" x14ac:dyDescent="0.3">
      <c r="A287" s="42" t="s">
        <v>395</v>
      </c>
      <c r="B287" s="43">
        <v>41649</v>
      </c>
      <c r="C287" s="42" t="s">
        <v>34</v>
      </c>
      <c r="D287" s="44">
        <v>1.54</v>
      </c>
      <c r="E287" s="44">
        <v>1.67</v>
      </c>
      <c r="F287">
        <v>2014</v>
      </c>
    </row>
    <row r="288" spans="1:6" ht="15" customHeight="1" x14ac:dyDescent="0.3">
      <c r="A288" s="42" t="s">
        <v>396</v>
      </c>
      <c r="B288" s="43">
        <v>41674</v>
      </c>
      <c r="C288" s="42" t="s">
        <v>34</v>
      </c>
      <c r="D288" s="44">
        <v>0.36</v>
      </c>
      <c r="E288" s="44">
        <v>0.54</v>
      </c>
      <c r="F288">
        <v>2014</v>
      </c>
    </row>
    <row r="289" spans="1:6" ht="15" customHeight="1" x14ac:dyDescent="0.3">
      <c r="A289" s="42" t="s">
        <v>398</v>
      </c>
      <c r="B289" s="43">
        <v>41702</v>
      </c>
      <c r="C289" s="42" t="s">
        <v>34</v>
      </c>
      <c r="D289" s="44">
        <v>-0.08</v>
      </c>
      <c r="E289" s="44">
        <v>0.01</v>
      </c>
      <c r="F289">
        <v>2014</v>
      </c>
    </row>
    <row r="290" spans="1:6" ht="15" customHeight="1" x14ac:dyDescent="0.3">
      <c r="A290" s="42" t="s">
        <v>399</v>
      </c>
      <c r="B290" s="43">
        <v>41732</v>
      </c>
      <c r="C290" s="42" t="s">
        <v>34</v>
      </c>
      <c r="D290" s="44">
        <v>2.75</v>
      </c>
      <c r="E290" s="44">
        <v>2.4500000000000002</v>
      </c>
      <c r="F290">
        <v>2014</v>
      </c>
    </row>
    <row r="291" spans="1:6" ht="15" customHeight="1" x14ac:dyDescent="0.3">
      <c r="A291" s="42" t="s">
        <v>400</v>
      </c>
      <c r="B291" s="43">
        <v>41767</v>
      </c>
      <c r="C291" s="42" t="s">
        <v>34</v>
      </c>
      <c r="D291" s="44">
        <v>10.9</v>
      </c>
      <c r="E291" s="44">
        <v>10.49</v>
      </c>
      <c r="F291">
        <v>2014</v>
      </c>
    </row>
    <row r="292" spans="1:6" ht="15" customHeight="1" x14ac:dyDescent="0.3">
      <c r="A292" s="42" t="s">
        <v>401</v>
      </c>
      <c r="B292" s="43">
        <v>41794</v>
      </c>
      <c r="C292" s="42" t="s">
        <v>34</v>
      </c>
      <c r="D292" s="44">
        <v>15.91</v>
      </c>
      <c r="E292" s="44">
        <v>14.33</v>
      </c>
      <c r="F292">
        <v>2014</v>
      </c>
    </row>
    <row r="293" spans="1:6" ht="15" customHeight="1" x14ac:dyDescent="0.3">
      <c r="A293" s="42" t="s">
        <v>402</v>
      </c>
      <c r="B293" s="43">
        <v>41809</v>
      </c>
      <c r="C293" s="42" t="s">
        <v>34</v>
      </c>
      <c r="D293" s="44">
        <v>18.920000000000002</v>
      </c>
      <c r="E293" s="44">
        <v>17.34</v>
      </c>
      <c r="F293">
        <v>2014</v>
      </c>
    </row>
    <row r="294" spans="1:6" ht="15" customHeight="1" x14ac:dyDescent="0.3">
      <c r="A294" s="42" t="s">
        <v>403</v>
      </c>
      <c r="B294" s="43">
        <v>41821</v>
      </c>
      <c r="C294" s="42" t="s">
        <v>34</v>
      </c>
      <c r="D294" s="44">
        <v>20.32</v>
      </c>
      <c r="E294" s="44">
        <v>18.149999999999999</v>
      </c>
      <c r="F294">
        <v>2014</v>
      </c>
    </row>
    <row r="295" spans="1:6" ht="15" customHeight="1" x14ac:dyDescent="0.3">
      <c r="A295" s="42" t="s">
        <v>404</v>
      </c>
      <c r="B295" s="43">
        <v>41835</v>
      </c>
      <c r="C295" s="42" t="s">
        <v>34</v>
      </c>
      <c r="D295" s="44">
        <v>20.07</v>
      </c>
      <c r="E295" s="44">
        <v>18.7</v>
      </c>
      <c r="F295">
        <v>2014</v>
      </c>
    </row>
    <row r="296" spans="1:6" ht="15" customHeight="1" x14ac:dyDescent="0.3">
      <c r="A296" s="42" t="s">
        <v>405</v>
      </c>
      <c r="B296" s="43">
        <v>41856</v>
      </c>
      <c r="C296" s="42" t="s">
        <v>34</v>
      </c>
      <c r="D296" s="44">
        <v>22.64</v>
      </c>
      <c r="E296" s="44">
        <v>20.12</v>
      </c>
      <c r="F296">
        <v>2014</v>
      </c>
    </row>
    <row r="297" spans="1:6" ht="15" customHeight="1" x14ac:dyDescent="0.3">
      <c r="A297" s="42" t="s">
        <v>406</v>
      </c>
      <c r="B297" s="43">
        <v>41869</v>
      </c>
      <c r="C297" s="42" t="s">
        <v>34</v>
      </c>
      <c r="D297" s="44">
        <v>22.36</v>
      </c>
      <c r="E297" s="44">
        <v>22</v>
      </c>
      <c r="F297">
        <v>2014</v>
      </c>
    </row>
    <row r="298" spans="1:6" ht="15" customHeight="1" x14ac:dyDescent="0.3">
      <c r="A298" s="42" t="s">
        <v>407</v>
      </c>
      <c r="B298" s="43">
        <v>41885</v>
      </c>
      <c r="C298" s="42" t="s">
        <v>34</v>
      </c>
      <c r="D298" s="44">
        <v>23.45</v>
      </c>
      <c r="E298" s="44">
        <v>23.18</v>
      </c>
      <c r="F298">
        <v>2014</v>
      </c>
    </row>
    <row r="299" spans="1:6" ht="15" customHeight="1" x14ac:dyDescent="0.3">
      <c r="A299" s="42" t="s">
        <v>408</v>
      </c>
      <c r="B299" s="43">
        <v>41897</v>
      </c>
      <c r="C299" s="42" t="s">
        <v>34</v>
      </c>
      <c r="D299" s="44">
        <v>21.66</v>
      </c>
      <c r="E299" s="44">
        <v>21.57</v>
      </c>
      <c r="F299">
        <v>2014</v>
      </c>
    </row>
    <row r="300" spans="1:6" ht="15" customHeight="1" x14ac:dyDescent="0.3">
      <c r="A300" s="42" t="s">
        <v>409</v>
      </c>
      <c r="B300" s="43">
        <v>41915</v>
      </c>
      <c r="C300" s="42" t="s">
        <v>34</v>
      </c>
      <c r="D300" s="46">
        <v>20.16</v>
      </c>
      <c r="E300" s="46">
        <v>20.14</v>
      </c>
      <c r="F300">
        <v>2014</v>
      </c>
    </row>
    <row r="301" spans="1:6" ht="15" customHeight="1" x14ac:dyDescent="0.3">
      <c r="A301" s="42" t="s">
        <v>410</v>
      </c>
      <c r="B301" s="43">
        <v>41955</v>
      </c>
      <c r="C301" s="42" t="s">
        <v>34</v>
      </c>
      <c r="D301" s="44">
        <v>13.07</v>
      </c>
      <c r="E301" s="44">
        <v>13</v>
      </c>
      <c r="F301">
        <v>2014</v>
      </c>
    </row>
    <row r="302" spans="1:6" ht="15" customHeight="1" x14ac:dyDescent="0.3">
      <c r="A302" s="42" t="s">
        <v>411</v>
      </c>
      <c r="B302" s="43">
        <v>41985</v>
      </c>
      <c r="C302" s="42" t="s">
        <v>34</v>
      </c>
      <c r="D302" s="44">
        <v>6.64</v>
      </c>
      <c r="E302" s="44">
        <v>6.59</v>
      </c>
      <c r="F302">
        <v>2014</v>
      </c>
    </row>
    <row r="303" spans="1:6" ht="15" customHeight="1" x14ac:dyDescent="0.3">
      <c r="A303" s="42" t="s">
        <v>412</v>
      </c>
      <c r="B303" s="43">
        <v>42019</v>
      </c>
      <c r="C303" s="42" t="s">
        <v>34</v>
      </c>
      <c r="D303" s="44">
        <v>2.19</v>
      </c>
      <c r="E303" s="44">
        <v>2.19</v>
      </c>
      <c r="F303">
        <v>2015</v>
      </c>
    </row>
    <row r="304" spans="1:6" ht="15" customHeight="1" x14ac:dyDescent="0.3">
      <c r="A304" s="42" t="s">
        <v>413</v>
      </c>
      <c r="B304" s="43">
        <v>42041</v>
      </c>
      <c r="C304" s="42" t="s">
        <v>34</v>
      </c>
      <c r="D304" s="44">
        <v>7.0000000000000007E-2</v>
      </c>
      <c r="E304" s="44">
        <v>0.05</v>
      </c>
      <c r="F304">
        <v>2015</v>
      </c>
    </row>
    <row r="305" spans="1:6" ht="15" customHeight="1" x14ac:dyDescent="0.3">
      <c r="A305" s="42" t="s">
        <v>414</v>
      </c>
      <c r="B305" s="43">
        <v>42072</v>
      </c>
      <c r="C305" s="42" t="s">
        <v>34</v>
      </c>
      <c r="D305" s="44">
        <v>-0.56999999999999995</v>
      </c>
      <c r="E305" s="44">
        <v>-0.78</v>
      </c>
      <c r="F305">
        <v>2015</v>
      </c>
    </row>
    <row r="306" spans="1:6" ht="15" customHeight="1" x14ac:dyDescent="0.3">
      <c r="A306" s="42" t="s">
        <v>416</v>
      </c>
      <c r="B306" s="43">
        <v>42094</v>
      </c>
      <c r="C306" s="42" t="s">
        <v>34</v>
      </c>
      <c r="D306" s="44">
        <v>1.53</v>
      </c>
      <c r="E306" s="44">
        <v>1.47</v>
      </c>
      <c r="F306">
        <v>2015</v>
      </c>
    </row>
    <row r="307" spans="1:6" ht="15" customHeight="1" x14ac:dyDescent="0.3">
      <c r="A307" s="42" t="s">
        <v>417</v>
      </c>
      <c r="B307" s="43">
        <v>42128</v>
      </c>
      <c r="C307" s="42" t="s">
        <v>34</v>
      </c>
      <c r="D307" s="44">
        <v>8.6199999999999992</v>
      </c>
      <c r="E307" s="44">
        <v>6.38</v>
      </c>
      <c r="F307">
        <v>2015</v>
      </c>
    </row>
    <row r="308" spans="1:6" ht="15" customHeight="1" x14ac:dyDescent="0.3">
      <c r="A308" s="42" t="s">
        <v>418</v>
      </c>
      <c r="B308" s="43">
        <v>42160</v>
      </c>
      <c r="C308" s="42" t="s">
        <v>34</v>
      </c>
      <c r="D308" s="44">
        <v>13.22</v>
      </c>
      <c r="E308" s="44">
        <v>12.55</v>
      </c>
      <c r="F308">
        <v>2015</v>
      </c>
    </row>
    <row r="309" spans="1:6" ht="15" customHeight="1" x14ac:dyDescent="0.3">
      <c r="A309" s="42" t="s">
        <v>419</v>
      </c>
      <c r="B309" s="43">
        <v>42174</v>
      </c>
      <c r="C309" s="42" t="s">
        <v>34</v>
      </c>
      <c r="D309" s="44">
        <v>16.46</v>
      </c>
      <c r="E309" s="44">
        <v>14.75</v>
      </c>
      <c r="F309">
        <v>2015</v>
      </c>
    </row>
    <row r="310" spans="1:6" ht="15" customHeight="1" x14ac:dyDescent="0.3">
      <c r="A310" s="42" t="s">
        <v>420</v>
      </c>
      <c r="B310" s="43">
        <v>42193</v>
      </c>
      <c r="C310" s="42" t="s">
        <v>34</v>
      </c>
      <c r="D310" s="44">
        <v>20.74</v>
      </c>
      <c r="E310" s="44">
        <v>18.920000000000002</v>
      </c>
      <c r="F310">
        <v>2015</v>
      </c>
    </row>
    <row r="311" spans="1:6" ht="15" customHeight="1" x14ac:dyDescent="0.3">
      <c r="A311" s="42" t="s">
        <v>421</v>
      </c>
      <c r="B311" s="43">
        <v>42206</v>
      </c>
      <c r="C311" s="42" t="s">
        <v>34</v>
      </c>
      <c r="D311" s="44">
        <v>24.78</v>
      </c>
      <c r="E311" s="44">
        <v>20.76</v>
      </c>
      <c r="F311">
        <v>2015</v>
      </c>
    </row>
    <row r="312" spans="1:6" ht="15" customHeight="1" x14ac:dyDescent="0.3">
      <c r="A312" s="42" t="s">
        <v>422</v>
      </c>
      <c r="B312" s="43">
        <v>42220</v>
      </c>
      <c r="C312" s="42" t="s">
        <v>34</v>
      </c>
      <c r="D312" s="44">
        <v>22.56</v>
      </c>
      <c r="E312" s="44">
        <v>21.01</v>
      </c>
      <c r="F312">
        <v>2015</v>
      </c>
    </row>
    <row r="313" spans="1:6" ht="15" customHeight="1" x14ac:dyDescent="0.3">
      <c r="A313" s="42" t="s">
        <v>423</v>
      </c>
      <c r="B313" s="43">
        <v>42234</v>
      </c>
      <c r="C313" s="42" t="s">
        <v>34</v>
      </c>
      <c r="D313" s="44">
        <v>23.62</v>
      </c>
      <c r="E313" s="44">
        <v>21.61</v>
      </c>
      <c r="F313">
        <v>2015</v>
      </c>
    </row>
    <row r="314" spans="1:6" ht="15" customHeight="1" x14ac:dyDescent="0.3">
      <c r="A314" s="42" t="s">
        <v>424</v>
      </c>
      <c r="B314" s="43">
        <v>42249</v>
      </c>
      <c r="C314" s="42" t="s">
        <v>34</v>
      </c>
      <c r="D314" s="44">
        <v>23.84</v>
      </c>
      <c r="E314" s="44">
        <v>23.32</v>
      </c>
      <c r="F314">
        <v>2015</v>
      </c>
    </row>
    <row r="315" spans="1:6" ht="15" customHeight="1" x14ac:dyDescent="0.3">
      <c r="A315" s="42" t="s">
        <v>425</v>
      </c>
      <c r="B315" s="43">
        <v>42263</v>
      </c>
      <c r="C315" s="42" t="s">
        <v>34</v>
      </c>
      <c r="D315" s="44">
        <v>23.12</v>
      </c>
      <c r="E315" s="44">
        <v>22.63</v>
      </c>
      <c r="F315">
        <v>2015</v>
      </c>
    </row>
    <row r="316" spans="1:6" ht="15" customHeight="1" x14ac:dyDescent="0.3">
      <c r="A316" s="42" t="s">
        <v>426</v>
      </c>
      <c r="B316" s="43">
        <v>42286</v>
      </c>
      <c r="C316" s="42" t="s">
        <v>34</v>
      </c>
      <c r="D316" s="44">
        <v>19.149999999999999</v>
      </c>
      <c r="E316" s="44">
        <v>19.14</v>
      </c>
      <c r="F316">
        <v>2015</v>
      </c>
    </row>
    <row r="317" spans="1:6" ht="15" customHeight="1" x14ac:dyDescent="0.3">
      <c r="A317" s="42" t="s">
        <v>427</v>
      </c>
      <c r="B317" s="43">
        <v>42318</v>
      </c>
      <c r="C317" s="42" t="s">
        <v>34</v>
      </c>
      <c r="D317" s="44">
        <v>15.01</v>
      </c>
      <c r="E317" s="44">
        <v>15.01</v>
      </c>
      <c r="F317">
        <v>2015</v>
      </c>
    </row>
    <row r="318" spans="1:6" ht="15" customHeight="1" x14ac:dyDescent="0.3">
      <c r="A318" s="42" t="s">
        <v>428</v>
      </c>
      <c r="B318" s="43">
        <v>42352</v>
      </c>
      <c r="C318" s="42" t="s">
        <v>34</v>
      </c>
      <c r="D318" s="44">
        <v>10.79</v>
      </c>
      <c r="E318" s="44">
        <v>10.5</v>
      </c>
      <c r="F318">
        <v>2015</v>
      </c>
    </row>
    <row r="319" spans="1:6" ht="15" customHeight="1" x14ac:dyDescent="0.3">
      <c r="A319" s="42" t="s">
        <v>429</v>
      </c>
      <c r="B319" s="43">
        <v>42377</v>
      </c>
      <c r="C319" s="42" t="s">
        <v>34</v>
      </c>
      <c r="D319" s="44">
        <v>6.48</v>
      </c>
      <c r="E319" s="44">
        <v>6.47</v>
      </c>
      <c r="F319">
        <v>2016</v>
      </c>
    </row>
    <row r="320" spans="1:6" ht="15" customHeight="1" x14ac:dyDescent="0.3">
      <c r="A320" s="42" t="s">
        <v>430</v>
      </c>
      <c r="B320" s="43">
        <v>42402</v>
      </c>
      <c r="C320" s="42" t="s">
        <v>34</v>
      </c>
      <c r="D320" s="44">
        <v>3.94</v>
      </c>
      <c r="E320" s="44">
        <v>3.9</v>
      </c>
      <c r="F320">
        <v>2016</v>
      </c>
    </row>
    <row r="321" spans="1:6" ht="15" customHeight="1" x14ac:dyDescent="0.3">
      <c r="A321" s="42" t="s">
        <v>432</v>
      </c>
      <c r="B321" s="43">
        <v>42438</v>
      </c>
      <c r="C321" s="42" t="s">
        <v>34</v>
      </c>
      <c r="D321" s="44">
        <v>4.33</v>
      </c>
      <c r="E321" s="44">
        <v>3.66</v>
      </c>
      <c r="F321">
        <v>2016</v>
      </c>
    </row>
    <row r="322" spans="1:6" ht="15" customHeight="1" x14ac:dyDescent="0.3">
      <c r="A322" s="42" t="s">
        <v>434</v>
      </c>
      <c r="B322" s="43">
        <v>42466</v>
      </c>
      <c r="C322" s="42" t="s">
        <v>34</v>
      </c>
      <c r="D322" s="44">
        <v>6.18</v>
      </c>
      <c r="E322" s="44">
        <v>6.34</v>
      </c>
      <c r="F322">
        <v>2016</v>
      </c>
    </row>
    <row r="323" spans="1:6" ht="15" customHeight="1" x14ac:dyDescent="0.3">
      <c r="A323" s="42" t="s">
        <v>435</v>
      </c>
      <c r="B323" s="43">
        <v>42508</v>
      </c>
      <c r="C323" s="42" t="s">
        <v>34</v>
      </c>
      <c r="D323" s="44">
        <v>12.2</v>
      </c>
      <c r="E323" s="44">
        <v>12.05</v>
      </c>
      <c r="F323">
        <v>2016</v>
      </c>
    </row>
    <row r="324" spans="1:6" ht="15" customHeight="1" x14ac:dyDescent="0.3">
      <c r="A324" s="42" t="s">
        <v>436</v>
      </c>
      <c r="B324" s="43">
        <v>42535</v>
      </c>
      <c r="C324" s="42" t="s">
        <v>34</v>
      </c>
      <c r="D324" s="44">
        <v>16.98</v>
      </c>
      <c r="E324" s="44">
        <v>16.23</v>
      </c>
      <c r="F324">
        <v>2016</v>
      </c>
    </row>
    <row r="325" spans="1:6" ht="15" customHeight="1" x14ac:dyDescent="0.3">
      <c r="A325" s="42" t="s">
        <v>437</v>
      </c>
      <c r="B325" s="43">
        <v>42541</v>
      </c>
      <c r="C325" s="42" t="s">
        <v>34</v>
      </c>
      <c r="D325" s="44">
        <v>18.559999999999999</v>
      </c>
      <c r="E325" s="44">
        <v>15.5</v>
      </c>
      <c r="F325">
        <v>2016</v>
      </c>
    </row>
    <row r="326" spans="1:6" ht="15" customHeight="1" x14ac:dyDescent="0.3">
      <c r="A326" s="42" t="s">
        <v>438</v>
      </c>
      <c r="B326" s="43">
        <v>42558</v>
      </c>
      <c r="C326" s="42" t="s">
        <v>34</v>
      </c>
      <c r="D326" s="44">
        <v>21.06</v>
      </c>
      <c r="E326" s="44">
        <v>18.3</v>
      </c>
      <c r="F326">
        <v>2016</v>
      </c>
    </row>
    <row r="327" spans="1:6" ht="15" customHeight="1" x14ac:dyDescent="0.3">
      <c r="A327" s="42" t="s">
        <v>439</v>
      </c>
      <c r="B327" s="43">
        <v>42570</v>
      </c>
      <c r="C327" s="42" t="s">
        <v>34</v>
      </c>
      <c r="D327" s="44">
        <v>24.17</v>
      </c>
      <c r="E327" s="44">
        <v>20.83</v>
      </c>
      <c r="F327">
        <v>2016</v>
      </c>
    </row>
    <row r="328" spans="1:6" ht="15" customHeight="1" x14ac:dyDescent="0.3">
      <c r="A328" s="42" t="s">
        <v>440</v>
      </c>
      <c r="B328" s="43">
        <v>42586</v>
      </c>
      <c r="C328" s="42" t="s">
        <v>34</v>
      </c>
      <c r="D328" s="44">
        <v>22.38</v>
      </c>
      <c r="E328" s="44">
        <v>21.48</v>
      </c>
      <c r="F328">
        <v>2016</v>
      </c>
    </row>
    <row r="329" spans="1:6" ht="15" customHeight="1" x14ac:dyDescent="0.3">
      <c r="A329" s="42" t="s">
        <v>441</v>
      </c>
      <c r="B329" s="43">
        <v>42598</v>
      </c>
      <c r="C329" s="42" t="s">
        <v>34</v>
      </c>
      <c r="D329" s="44">
        <v>26.93</v>
      </c>
      <c r="E329" s="44">
        <v>22.92</v>
      </c>
      <c r="F329">
        <v>2016</v>
      </c>
    </row>
    <row r="330" spans="1:6" ht="15" customHeight="1" x14ac:dyDescent="0.3">
      <c r="A330" s="42" t="s">
        <v>442</v>
      </c>
      <c r="B330" s="43">
        <v>42613</v>
      </c>
      <c r="C330" s="42" t="s">
        <v>34</v>
      </c>
      <c r="D330" s="44">
        <v>24.89</v>
      </c>
      <c r="E330" s="44">
        <v>23.7</v>
      </c>
      <c r="F330">
        <v>2016</v>
      </c>
    </row>
    <row r="331" spans="1:6" ht="15" customHeight="1" x14ac:dyDescent="0.3">
      <c r="A331" s="42" t="s">
        <v>443</v>
      </c>
      <c r="B331" s="43">
        <v>42626</v>
      </c>
      <c r="C331" s="42" t="s">
        <v>34</v>
      </c>
      <c r="D331" s="44">
        <v>23.42</v>
      </c>
      <c r="E331" s="44">
        <v>23.4</v>
      </c>
      <c r="F331">
        <v>2016</v>
      </c>
    </row>
    <row r="332" spans="1:6" ht="15" customHeight="1" x14ac:dyDescent="0.3">
      <c r="A332" s="42" t="s">
        <v>444</v>
      </c>
      <c r="B332" s="43">
        <v>42649</v>
      </c>
      <c r="C332" s="42" t="s">
        <v>34</v>
      </c>
      <c r="D332" s="44">
        <v>20.350000000000001</v>
      </c>
      <c r="E332" s="44">
        <v>20.3</v>
      </c>
      <c r="F332">
        <v>2016</v>
      </c>
    </row>
    <row r="333" spans="1:6" ht="15" customHeight="1" x14ac:dyDescent="0.3">
      <c r="A333" s="42" t="s">
        <v>445</v>
      </c>
      <c r="B333" s="43">
        <v>42682</v>
      </c>
      <c r="C333" s="42" t="s">
        <v>34</v>
      </c>
      <c r="D333" s="44">
        <v>14.04</v>
      </c>
      <c r="E333" s="44">
        <v>13.74</v>
      </c>
      <c r="F333">
        <v>2016</v>
      </c>
    </row>
    <row r="334" spans="1:6" ht="15" customHeight="1" x14ac:dyDescent="0.3">
      <c r="A334" s="42" t="s">
        <v>446</v>
      </c>
      <c r="B334" s="43">
        <v>42710</v>
      </c>
      <c r="C334" s="42" t="s">
        <v>34</v>
      </c>
      <c r="D334" s="44">
        <v>9.4600000000000009</v>
      </c>
      <c r="E334" s="44">
        <v>9.41</v>
      </c>
      <c r="F334">
        <v>2016</v>
      </c>
    </row>
    <row r="335" spans="1:6" ht="15" customHeight="1" x14ac:dyDescent="0.3">
      <c r="A335" s="42" t="s">
        <v>447</v>
      </c>
      <c r="B335" s="43">
        <v>42741</v>
      </c>
      <c r="C335" s="42" t="s">
        <v>34</v>
      </c>
      <c r="D335" s="44">
        <v>4.82</v>
      </c>
      <c r="E335" s="44">
        <v>4.66</v>
      </c>
      <c r="F335">
        <v>2017</v>
      </c>
    </row>
    <row r="336" spans="1:6" ht="15" customHeight="1" x14ac:dyDescent="0.3">
      <c r="A336" s="42" t="s">
        <v>448</v>
      </c>
      <c r="B336" s="43">
        <v>42780</v>
      </c>
      <c r="C336" s="42" t="s">
        <v>34</v>
      </c>
      <c r="D336" s="44">
        <v>2.64</v>
      </c>
      <c r="E336" s="44">
        <v>2.59</v>
      </c>
      <c r="F336">
        <v>2017</v>
      </c>
    </row>
    <row r="337" spans="1:6" ht="15" customHeight="1" x14ac:dyDescent="0.3">
      <c r="A337" s="42" t="s">
        <v>450</v>
      </c>
      <c r="B337" s="43">
        <v>42802</v>
      </c>
      <c r="C337" s="42" t="s">
        <v>34</v>
      </c>
      <c r="D337" s="44">
        <v>3.78</v>
      </c>
      <c r="E337" s="44">
        <v>3.67</v>
      </c>
      <c r="F337">
        <v>2017</v>
      </c>
    </row>
    <row r="338" spans="1:6" ht="15" customHeight="1" x14ac:dyDescent="0.3">
      <c r="A338" s="42" t="s">
        <v>451</v>
      </c>
      <c r="B338" s="43">
        <v>42830</v>
      </c>
      <c r="C338" s="42" t="s">
        <v>34</v>
      </c>
      <c r="D338" s="44">
        <v>5.01</v>
      </c>
      <c r="E338" s="44">
        <v>4.47</v>
      </c>
      <c r="F338">
        <v>2017</v>
      </c>
    </row>
    <row r="339" spans="1:6" ht="15" customHeight="1" x14ac:dyDescent="0.3">
      <c r="A339" s="42" t="s">
        <v>452</v>
      </c>
      <c r="B339" s="43">
        <v>42859</v>
      </c>
      <c r="C339" s="42" t="s">
        <v>34</v>
      </c>
      <c r="D339" s="44">
        <v>11.41</v>
      </c>
      <c r="E339" s="44">
        <v>11.26</v>
      </c>
      <c r="F339">
        <v>2017</v>
      </c>
    </row>
    <row r="340" spans="1:6" ht="15" customHeight="1" x14ac:dyDescent="0.3">
      <c r="A340" s="42" t="s">
        <v>453</v>
      </c>
      <c r="B340" s="43">
        <v>42894</v>
      </c>
      <c r="C340" s="42" t="s">
        <v>34</v>
      </c>
      <c r="D340" s="46">
        <v>15.61</v>
      </c>
      <c r="E340" s="46">
        <v>14.53</v>
      </c>
      <c r="F340">
        <v>2017</v>
      </c>
    </row>
    <row r="341" spans="1:6" ht="15" customHeight="1" x14ac:dyDescent="0.3">
      <c r="A341" s="42" t="s">
        <v>454</v>
      </c>
      <c r="B341" s="43">
        <v>42906</v>
      </c>
      <c r="C341" s="42" t="s">
        <v>34</v>
      </c>
      <c r="D341" s="46">
        <v>18.32</v>
      </c>
      <c r="E341" s="46">
        <v>15.83</v>
      </c>
      <c r="F341">
        <v>2017</v>
      </c>
    </row>
    <row r="342" spans="1:6" ht="15" customHeight="1" x14ac:dyDescent="0.3">
      <c r="A342" s="42" t="s">
        <v>455</v>
      </c>
      <c r="B342" s="43">
        <v>42923</v>
      </c>
      <c r="C342" s="42" t="s">
        <v>34</v>
      </c>
      <c r="D342" s="44">
        <v>20.2</v>
      </c>
      <c r="E342" s="44">
        <v>17.03</v>
      </c>
      <c r="F342">
        <v>2017</v>
      </c>
    </row>
    <row r="343" spans="1:6" ht="15" customHeight="1" x14ac:dyDescent="0.3">
      <c r="A343" s="42" t="s">
        <v>456</v>
      </c>
      <c r="B343" s="43">
        <v>42935</v>
      </c>
      <c r="C343" s="42" t="s">
        <v>34</v>
      </c>
      <c r="D343" s="44">
        <v>22.76</v>
      </c>
      <c r="E343" s="44">
        <v>19.82</v>
      </c>
      <c r="F343">
        <v>2017</v>
      </c>
    </row>
    <row r="344" spans="1:6" ht="15" customHeight="1" x14ac:dyDescent="0.3">
      <c r="A344" s="42" t="s">
        <v>457</v>
      </c>
      <c r="B344" s="43">
        <v>42949</v>
      </c>
      <c r="C344" s="42" t="s">
        <v>34</v>
      </c>
      <c r="D344" s="44">
        <v>23.13</v>
      </c>
      <c r="E344" s="44">
        <v>21.33</v>
      </c>
      <c r="F344">
        <v>2017</v>
      </c>
    </row>
    <row r="345" spans="1:6" ht="15" customHeight="1" x14ac:dyDescent="0.3">
      <c r="A345" s="42" t="s">
        <v>458</v>
      </c>
      <c r="B345" s="43">
        <v>42963</v>
      </c>
      <c r="C345" s="42" t="s">
        <v>34</v>
      </c>
      <c r="D345" s="44">
        <v>22.68</v>
      </c>
      <c r="E345" s="44">
        <v>21.75</v>
      </c>
      <c r="F345">
        <v>2017</v>
      </c>
    </row>
    <row r="346" spans="1:6" ht="15" customHeight="1" x14ac:dyDescent="0.3">
      <c r="A346" s="42" t="s">
        <v>459</v>
      </c>
      <c r="B346" s="43">
        <v>42978</v>
      </c>
      <c r="C346" s="42" t="s">
        <v>34</v>
      </c>
      <c r="D346" s="44">
        <v>22.19</v>
      </c>
      <c r="E346" s="44">
        <v>21.96</v>
      </c>
      <c r="F346">
        <v>2017</v>
      </c>
    </row>
    <row r="347" spans="1:6" ht="15" customHeight="1" x14ac:dyDescent="0.3">
      <c r="A347" s="42" t="s">
        <v>460</v>
      </c>
      <c r="B347" s="43">
        <v>43019</v>
      </c>
      <c r="C347" s="42" t="s">
        <v>34</v>
      </c>
      <c r="D347" s="44">
        <v>21.39</v>
      </c>
      <c r="E347" s="44">
        <v>21.15</v>
      </c>
      <c r="F347">
        <v>2017</v>
      </c>
    </row>
    <row r="348" spans="1:6" ht="15" customHeight="1" x14ac:dyDescent="0.3">
      <c r="A348" s="42" t="s">
        <v>461</v>
      </c>
      <c r="B348" s="43">
        <v>43053</v>
      </c>
      <c r="C348" s="42" t="s">
        <v>34</v>
      </c>
      <c r="D348" s="44">
        <v>14.01</v>
      </c>
      <c r="E348" s="44">
        <v>13.97</v>
      </c>
      <c r="F348">
        <v>2017</v>
      </c>
    </row>
    <row r="349" spans="1:6" ht="15" customHeight="1" x14ac:dyDescent="0.3">
      <c r="A349" s="42" t="s">
        <v>462</v>
      </c>
      <c r="B349" s="43">
        <v>43070</v>
      </c>
      <c r="C349" s="42" t="s">
        <v>34</v>
      </c>
      <c r="D349" s="44">
        <v>10.38</v>
      </c>
      <c r="E349" s="44">
        <v>10.39</v>
      </c>
      <c r="F349">
        <v>2017</v>
      </c>
    </row>
    <row r="350" spans="1:6" ht="15" customHeight="1" x14ac:dyDescent="0.3">
      <c r="A350" s="42" t="s">
        <v>463</v>
      </c>
      <c r="B350" s="43">
        <v>43112</v>
      </c>
      <c r="C350" s="42" t="s">
        <v>34</v>
      </c>
      <c r="D350" s="44">
        <v>1.31</v>
      </c>
      <c r="E350" s="44">
        <v>1.27</v>
      </c>
      <c r="F350">
        <v>2018</v>
      </c>
    </row>
    <row r="351" spans="1:6" ht="15" customHeight="1" x14ac:dyDescent="0.3">
      <c r="A351" s="42" t="s">
        <v>464</v>
      </c>
      <c r="B351" s="43">
        <v>43137</v>
      </c>
      <c r="C351" s="42" t="s">
        <v>34</v>
      </c>
      <c r="D351" s="44">
        <v>1.2</v>
      </c>
      <c r="E351" s="44">
        <v>1.28</v>
      </c>
      <c r="F351">
        <v>2018</v>
      </c>
    </row>
    <row r="352" spans="1:6" ht="15" customHeight="1" x14ac:dyDescent="0.3">
      <c r="A352" s="42" t="s">
        <v>466</v>
      </c>
      <c r="B352" s="43">
        <v>43167</v>
      </c>
      <c r="C352" s="42" t="s">
        <v>34</v>
      </c>
      <c r="D352" s="44">
        <v>2.87</v>
      </c>
      <c r="E352" s="44">
        <v>2.71</v>
      </c>
      <c r="F352">
        <v>2018</v>
      </c>
    </row>
    <row r="353" spans="1:6" ht="15" customHeight="1" x14ac:dyDescent="0.3">
      <c r="A353" s="42" t="s">
        <v>467</v>
      </c>
      <c r="B353" s="43">
        <v>43200</v>
      </c>
      <c r="C353" s="42" t="s">
        <v>34</v>
      </c>
      <c r="D353" s="44">
        <v>4.83</v>
      </c>
      <c r="E353" s="44">
        <v>4.71</v>
      </c>
      <c r="F353">
        <v>2018</v>
      </c>
    </row>
    <row r="354" spans="1:6" ht="15" customHeight="1" x14ac:dyDescent="0.3">
      <c r="A354" s="42" t="s">
        <v>468</v>
      </c>
      <c r="B354" s="43">
        <v>43223</v>
      </c>
      <c r="C354" s="42" t="s">
        <v>34</v>
      </c>
      <c r="D354" s="44">
        <v>9.76</v>
      </c>
      <c r="E354" s="44">
        <v>9.11</v>
      </c>
      <c r="F354">
        <v>2018</v>
      </c>
    </row>
    <row r="355" spans="1:6" ht="15" customHeight="1" x14ac:dyDescent="0.3">
      <c r="A355" s="42" t="s">
        <v>469</v>
      </c>
      <c r="B355" s="43">
        <v>43252</v>
      </c>
      <c r="C355" s="42" t="s">
        <v>34</v>
      </c>
      <c r="D355" s="44">
        <v>14.63</v>
      </c>
      <c r="E355" s="44">
        <v>12.1</v>
      </c>
      <c r="F355">
        <v>2018</v>
      </c>
    </row>
    <row r="356" spans="1:6" ht="15" customHeight="1" x14ac:dyDescent="0.3">
      <c r="A356" s="42" t="s">
        <v>470</v>
      </c>
      <c r="B356" s="43">
        <v>43263</v>
      </c>
      <c r="C356" s="42" t="s">
        <v>34</v>
      </c>
      <c r="D356" s="44">
        <v>16.05</v>
      </c>
      <c r="E356" s="44">
        <v>13.76</v>
      </c>
      <c r="F356">
        <v>2018</v>
      </c>
    </row>
    <row r="357" spans="1:6" ht="15" customHeight="1" x14ac:dyDescent="0.3">
      <c r="A357" s="42" t="s">
        <v>471</v>
      </c>
      <c r="B357" s="43">
        <v>43284</v>
      </c>
      <c r="C357" s="42" t="s">
        <v>34</v>
      </c>
      <c r="D357" s="44">
        <v>21.57</v>
      </c>
      <c r="E357" s="44">
        <v>17.21</v>
      </c>
      <c r="F357">
        <v>2018</v>
      </c>
    </row>
    <row r="358" spans="1:6" ht="15" customHeight="1" x14ac:dyDescent="0.3">
      <c r="A358" s="42" t="s">
        <v>472</v>
      </c>
      <c r="B358" s="43">
        <v>43298</v>
      </c>
      <c r="C358" s="42" t="s">
        <v>34</v>
      </c>
      <c r="D358" s="44">
        <v>20.78</v>
      </c>
      <c r="E358" s="44">
        <v>19.68</v>
      </c>
      <c r="F358">
        <v>2018</v>
      </c>
    </row>
    <row r="359" spans="1:6" ht="15" customHeight="1" x14ac:dyDescent="0.3">
      <c r="A359" s="42" t="s">
        <v>473</v>
      </c>
      <c r="B359" s="43">
        <v>43312</v>
      </c>
      <c r="C359" s="42" t="s">
        <v>34</v>
      </c>
      <c r="D359" s="44">
        <v>23.33</v>
      </c>
      <c r="E359" s="44">
        <v>22.51</v>
      </c>
      <c r="F359">
        <v>2018</v>
      </c>
    </row>
    <row r="360" spans="1:6" ht="15" customHeight="1" x14ac:dyDescent="0.3">
      <c r="A360" s="42" t="s">
        <v>474</v>
      </c>
      <c r="B360" s="43">
        <v>43326</v>
      </c>
      <c r="C360" s="42" t="s">
        <v>34</v>
      </c>
      <c r="D360" s="44">
        <v>22.92</v>
      </c>
      <c r="E360" s="44">
        <v>21.64</v>
      </c>
      <c r="F360">
        <v>2018</v>
      </c>
    </row>
    <row r="361" spans="1:6" ht="15" customHeight="1" x14ac:dyDescent="0.3">
      <c r="A361" s="42" t="s">
        <v>475</v>
      </c>
      <c r="B361" s="43">
        <v>43340</v>
      </c>
      <c r="C361" s="42" t="s">
        <v>34</v>
      </c>
      <c r="D361" s="44">
        <v>25.04</v>
      </c>
      <c r="E361" s="44">
        <v>23.64</v>
      </c>
      <c r="F361">
        <v>2018</v>
      </c>
    </row>
    <row r="362" spans="1:6" ht="15" customHeight="1" x14ac:dyDescent="0.3">
      <c r="A362" s="42" t="s">
        <v>476</v>
      </c>
      <c r="B362" s="43">
        <v>43355</v>
      </c>
      <c r="C362" s="42" t="s">
        <v>34</v>
      </c>
      <c r="D362" s="44">
        <v>22.81</v>
      </c>
      <c r="E362" s="44">
        <v>22.42</v>
      </c>
      <c r="F362">
        <v>2018</v>
      </c>
    </row>
    <row r="363" spans="1:6" ht="15" customHeight="1" x14ac:dyDescent="0.3">
      <c r="A363" s="42" t="s">
        <v>477</v>
      </c>
      <c r="B363" s="43">
        <v>43377</v>
      </c>
      <c r="C363" s="42" t="s">
        <v>34</v>
      </c>
      <c r="D363" s="44">
        <v>21.44</v>
      </c>
      <c r="E363" s="44">
        <v>20.97</v>
      </c>
      <c r="F363">
        <v>2018</v>
      </c>
    </row>
    <row r="364" spans="1:6" ht="15" customHeight="1" x14ac:dyDescent="0.3">
      <c r="A364" s="42" t="s">
        <v>478</v>
      </c>
      <c r="B364" s="43">
        <v>43411</v>
      </c>
      <c r="C364" s="42" t="s">
        <v>34</v>
      </c>
      <c r="D364" s="44">
        <v>14.45</v>
      </c>
      <c r="E364" s="44">
        <v>14.43</v>
      </c>
      <c r="F364">
        <v>2018</v>
      </c>
    </row>
    <row r="365" spans="1:6" ht="15" customHeight="1" x14ac:dyDescent="0.3">
      <c r="A365" s="42" t="s">
        <v>479</v>
      </c>
      <c r="B365" s="43">
        <v>43438</v>
      </c>
      <c r="C365" s="42" t="s">
        <v>34</v>
      </c>
      <c r="D365" s="44">
        <v>8.07</v>
      </c>
      <c r="E365" s="46">
        <v>8.09</v>
      </c>
      <c r="F365">
        <v>2018</v>
      </c>
    </row>
    <row r="366" spans="1:6" ht="15" customHeight="1" x14ac:dyDescent="0.3">
      <c r="A366" s="42" t="s">
        <v>6</v>
      </c>
      <c r="B366" s="43">
        <v>43472</v>
      </c>
      <c r="C366" s="42" t="s">
        <v>34</v>
      </c>
      <c r="D366" s="44">
        <v>5.1100000000000003</v>
      </c>
      <c r="E366" s="44">
        <v>5.13</v>
      </c>
      <c r="F366">
        <v>2019</v>
      </c>
    </row>
    <row r="367" spans="1:6" ht="15" customHeight="1" x14ac:dyDescent="0.3">
      <c r="A367" s="42" t="s">
        <v>7</v>
      </c>
      <c r="B367" s="43">
        <v>43502</v>
      </c>
      <c r="C367" s="42" t="s">
        <v>34</v>
      </c>
      <c r="D367" s="44">
        <v>1.86</v>
      </c>
      <c r="E367" s="44">
        <v>1.48</v>
      </c>
      <c r="F367">
        <v>2019</v>
      </c>
    </row>
    <row r="368" spans="1:6" ht="15" customHeight="1" x14ac:dyDescent="0.3">
      <c r="A368" s="42" t="s">
        <v>9</v>
      </c>
      <c r="B368" s="43">
        <v>43531</v>
      </c>
      <c r="C368" s="42" t="s">
        <v>34</v>
      </c>
      <c r="D368" s="44">
        <v>1.37</v>
      </c>
      <c r="E368" s="44">
        <v>1.35</v>
      </c>
      <c r="F368">
        <v>2019</v>
      </c>
    </row>
    <row r="369" spans="1:6" ht="15" customHeight="1" x14ac:dyDescent="0.3">
      <c r="A369" s="42" t="s">
        <v>10</v>
      </c>
      <c r="B369" s="43">
        <v>43559</v>
      </c>
      <c r="C369" s="42" t="s">
        <v>34</v>
      </c>
      <c r="D369" s="44">
        <v>5.16</v>
      </c>
      <c r="E369" s="44">
        <v>5.0999999999999996</v>
      </c>
      <c r="F369">
        <v>2019</v>
      </c>
    </row>
    <row r="370" spans="1:6" ht="15" customHeight="1" x14ac:dyDescent="0.3">
      <c r="A370" s="42" t="s">
        <v>11</v>
      </c>
      <c r="B370" s="43">
        <v>43593</v>
      </c>
      <c r="C370" s="42" t="s">
        <v>34</v>
      </c>
      <c r="D370" s="44">
        <v>10.96</v>
      </c>
      <c r="E370" s="44">
        <v>10.44</v>
      </c>
      <c r="F370">
        <v>2019</v>
      </c>
    </row>
    <row r="371" spans="1:6" ht="15" customHeight="1" x14ac:dyDescent="0.3">
      <c r="A371" s="42" t="s">
        <v>12</v>
      </c>
      <c r="B371" s="43">
        <v>43616</v>
      </c>
      <c r="C371" s="42" t="s">
        <v>34</v>
      </c>
      <c r="D371" s="44">
        <v>15.18</v>
      </c>
      <c r="E371" s="44">
        <v>12.75</v>
      </c>
      <c r="F371">
        <v>2019</v>
      </c>
    </row>
    <row r="372" spans="1:6" ht="15" customHeight="1" x14ac:dyDescent="0.3">
      <c r="A372" s="42" t="s">
        <v>13</v>
      </c>
      <c r="B372" s="43">
        <v>43628</v>
      </c>
      <c r="C372" s="42" t="s">
        <v>34</v>
      </c>
      <c r="D372" s="44">
        <v>16.600000000000001</v>
      </c>
      <c r="E372" s="44">
        <v>15.71</v>
      </c>
      <c r="F372">
        <v>2019</v>
      </c>
    </row>
    <row r="373" spans="1:6" ht="15" customHeight="1" x14ac:dyDescent="0.3">
      <c r="A373" s="42" t="s">
        <v>14</v>
      </c>
      <c r="B373" s="43">
        <v>43649</v>
      </c>
      <c r="C373" s="42" t="s">
        <v>34</v>
      </c>
      <c r="D373" s="44">
        <v>22.15</v>
      </c>
      <c r="E373" s="44">
        <v>15.95</v>
      </c>
      <c r="F373">
        <v>2019</v>
      </c>
    </row>
    <row r="374" spans="1:6" ht="15" customHeight="1" x14ac:dyDescent="0.3">
      <c r="A374" s="42" t="s">
        <v>15</v>
      </c>
      <c r="B374" s="43">
        <v>43662</v>
      </c>
      <c r="C374" s="42" t="s">
        <v>34</v>
      </c>
      <c r="D374" s="44">
        <v>23.35</v>
      </c>
      <c r="E374" s="44">
        <v>18.12</v>
      </c>
      <c r="F374">
        <v>2019</v>
      </c>
    </row>
    <row r="375" spans="1:6" ht="15" customHeight="1" x14ac:dyDescent="0.3">
      <c r="A375" s="42" t="s">
        <v>16</v>
      </c>
      <c r="B375" s="43">
        <v>43678</v>
      </c>
      <c r="C375" s="42" t="s">
        <v>34</v>
      </c>
      <c r="D375" s="44">
        <v>23.13</v>
      </c>
      <c r="E375" s="44">
        <v>20.02</v>
      </c>
      <c r="F375">
        <v>2019</v>
      </c>
    </row>
    <row r="376" spans="1:6" ht="15" customHeight="1" x14ac:dyDescent="0.3">
      <c r="A376" s="42" t="s">
        <v>17</v>
      </c>
      <c r="B376" s="43">
        <v>43690</v>
      </c>
      <c r="C376" s="42" t="s">
        <v>34</v>
      </c>
      <c r="D376" s="44">
        <v>23.19</v>
      </c>
      <c r="E376" s="44">
        <v>22.96</v>
      </c>
      <c r="F376">
        <v>2019</v>
      </c>
    </row>
    <row r="377" spans="1:6" ht="15" customHeight="1" x14ac:dyDescent="0.3">
      <c r="A377" s="42" t="s">
        <v>18</v>
      </c>
      <c r="B377" s="43">
        <v>43706</v>
      </c>
      <c r="C377" s="42" t="s">
        <v>34</v>
      </c>
      <c r="D377" s="44">
        <v>22.61</v>
      </c>
      <c r="E377" s="44">
        <v>22.28</v>
      </c>
      <c r="F377">
        <v>2019</v>
      </c>
    </row>
    <row r="378" spans="1:6" ht="15" customHeight="1" x14ac:dyDescent="0.3">
      <c r="A378" s="42" t="s">
        <v>19</v>
      </c>
      <c r="B378" s="43">
        <v>43718</v>
      </c>
      <c r="C378" s="42" t="s">
        <v>34</v>
      </c>
      <c r="D378" s="44">
        <v>21.97</v>
      </c>
      <c r="E378" s="44">
        <v>21.85</v>
      </c>
      <c r="F378">
        <v>2019</v>
      </c>
    </row>
    <row r="379" spans="1:6" ht="15" customHeight="1" x14ac:dyDescent="0.3">
      <c r="A379" s="42" t="s">
        <v>39</v>
      </c>
      <c r="B379" s="43">
        <v>43740</v>
      </c>
      <c r="C379" s="42" t="s">
        <v>34</v>
      </c>
      <c r="D379" s="44">
        <v>21.41</v>
      </c>
      <c r="E379" s="44">
        <v>21.38</v>
      </c>
      <c r="F379">
        <v>2019</v>
      </c>
    </row>
    <row r="380" spans="1:6" ht="15" customHeight="1" x14ac:dyDescent="0.3">
      <c r="A380" s="42" t="s">
        <v>40</v>
      </c>
      <c r="B380" s="43">
        <v>43775</v>
      </c>
      <c r="C380" s="42" t="s">
        <v>34</v>
      </c>
      <c r="D380" s="44">
        <v>14.73</v>
      </c>
      <c r="E380" s="44">
        <v>14.71</v>
      </c>
      <c r="F380">
        <v>2019</v>
      </c>
    </row>
    <row r="381" spans="1:6" ht="15" customHeight="1" x14ac:dyDescent="0.3">
      <c r="A381" s="42" t="s">
        <v>41</v>
      </c>
      <c r="B381" s="43">
        <v>43815</v>
      </c>
      <c r="C381" s="42" t="s">
        <v>34</v>
      </c>
      <c r="D381" s="44">
        <v>6.86</v>
      </c>
      <c r="E381" s="44">
        <v>6.87</v>
      </c>
      <c r="F381">
        <v>2019</v>
      </c>
    </row>
    <row r="382" spans="1:6" ht="15" customHeight="1" x14ac:dyDescent="0.3">
      <c r="A382" s="42" t="s">
        <v>502</v>
      </c>
      <c r="B382" s="43">
        <v>43840</v>
      </c>
      <c r="C382" s="42" t="s">
        <v>34</v>
      </c>
      <c r="D382" s="44">
        <v>4.33</v>
      </c>
      <c r="E382" s="44">
        <v>4.32</v>
      </c>
      <c r="F382">
        <v>2020</v>
      </c>
    </row>
    <row r="383" spans="1:6" ht="15" customHeight="1" x14ac:dyDescent="0.3">
      <c r="A383" s="42" t="s">
        <v>503</v>
      </c>
      <c r="B383" s="43">
        <v>43872</v>
      </c>
      <c r="C383" s="42" t="s">
        <v>34</v>
      </c>
      <c r="D383" s="44">
        <v>4</v>
      </c>
      <c r="E383" s="44">
        <v>3.86</v>
      </c>
      <c r="F383">
        <v>2020</v>
      </c>
    </row>
    <row r="384" spans="1:6" ht="15" customHeight="1" x14ac:dyDescent="0.3">
      <c r="A384" s="42" t="s">
        <v>504</v>
      </c>
      <c r="B384" s="43">
        <v>43901</v>
      </c>
      <c r="C384" s="42" t="s">
        <v>34</v>
      </c>
      <c r="D384" s="44">
        <v>4.83</v>
      </c>
      <c r="E384" s="44">
        <v>4.78</v>
      </c>
      <c r="F384">
        <v>2020</v>
      </c>
    </row>
    <row r="385" spans="1:6" ht="15" customHeight="1" x14ac:dyDescent="0.3">
      <c r="A385" s="42" t="s">
        <v>510</v>
      </c>
      <c r="B385" s="43">
        <v>43999</v>
      </c>
      <c r="C385" s="42" t="s">
        <v>34</v>
      </c>
      <c r="D385" s="44">
        <v>17.93</v>
      </c>
      <c r="E385" s="44">
        <v>14.12</v>
      </c>
      <c r="F385">
        <v>2020</v>
      </c>
    </row>
    <row r="386" spans="1:6" ht="15" customHeight="1" x14ac:dyDescent="0.3">
      <c r="A386" s="42" t="s">
        <v>505</v>
      </c>
      <c r="B386" s="43">
        <v>44020</v>
      </c>
      <c r="C386" s="42" t="s">
        <v>34</v>
      </c>
      <c r="D386" s="44">
        <v>19.940000000000001</v>
      </c>
      <c r="E386" s="44">
        <v>17.86</v>
      </c>
      <c r="F386">
        <v>2020</v>
      </c>
    </row>
    <row r="387" spans="1:6" ht="15" customHeight="1" x14ac:dyDescent="0.3">
      <c r="A387" s="42" t="s">
        <v>511</v>
      </c>
      <c r="B387" s="43">
        <v>44033</v>
      </c>
      <c r="C387" s="42" t="s">
        <v>34</v>
      </c>
      <c r="D387" s="44">
        <v>24.57</v>
      </c>
      <c r="E387" s="46">
        <v>20.99</v>
      </c>
      <c r="F387">
        <v>2020</v>
      </c>
    </row>
    <row r="388" spans="1:6" ht="15" customHeight="1" x14ac:dyDescent="0.3">
      <c r="A388" s="42" t="s">
        <v>506</v>
      </c>
      <c r="B388" s="43">
        <v>44054</v>
      </c>
      <c r="C388" s="42" t="s">
        <v>34</v>
      </c>
      <c r="D388" s="44">
        <v>24.18</v>
      </c>
      <c r="E388" s="44">
        <v>22.41</v>
      </c>
      <c r="F388">
        <v>2020</v>
      </c>
    </row>
    <row r="389" spans="1:6" ht="15" customHeight="1" x14ac:dyDescent="0.3">
      <c r="A389" s="42" t="s">
        <v>512</v>
      </c>
      <c r="B389" s="43">
        <v>44069</v>
      </c>
      <c r="C389" s="42" t="s">
        <v>34</v>
      </c>
      <c r="D389" s="44">
        <v>24.52</v>
      </c>
      <c r="E389" s="44">
        <v>24.29</v>
      </c>
      <c r="F389">
        <v>2020</v>
      </c>
    </row>
    <row r="390" spans="1:6" ht="15" customHeight="1" x14ac:dyDescent="0.3">
      <c r="A390" s="42" t="s">
        <v>507</v>
      </c>
      <c r="B390" s="43">
        <v>44082</v>
      </c>
      <c r="C390" s="42" t="s">
        <v>34</v>
      </c>
      <c r="D390" s="44">
        <v>23.8</v>
      </c>
      <c r="E390" s="44">
        <v>23.49</v>
      </c>
      <c r="F390">
        <v>2020</v>
      </c>
    </row>
    <row r="391" spans="1:6" ht="15" customHeight="1" x14ac:dyDescent="0.3">
      <c r="A391" s="42" t="s">
        <v>508</v>
      </c>
      <c r="B391" s="43">
        <v>44119</v>
      </c>
      <c r="C391" s="42" t="s">
        <v>34</v>
      </c>
      <c r="D391" s="44">
        <v>18.32</v>
      </c>
      <c r="E391" s="44">
        <v>18.34</v>
      </c>
      <c r="F391">
        <v>2020</v>
      </c>
    </row>
    <row r="392" spans="1:6" ht="15" customHeight="1" x14ac:dyDescent="0.3">
      <c r="A392" s="42" t="s">
        <v>509</v>
      </c>
      <c r="B392" s="43">
        <v>44139</v>
      </c>
      <c r="C392" s="42" t="s">
        <v>34</v>
      </c>
      <c r="D392" s="44">
        <v>13.91</v>
      </c>
      <c r="E392" s="44">
        <v>13.5</v>
      </c>
      <c r="F392">
        <v>2020</v>
      </c>
    </row>
    <row r="393" spans="1:6" ht="15" customHeight="1" x14ac:dyDescent="0.3">
      <c r="A393" s="62" t="s">
        <v>522</v>
      </c>
      <c r="B393" s="63">
        <v>44264</v>
      </c>
      <c r="C393" s="62" t="s">
        <v>34</v>
      </c>
      <c r="D393" s="64">
        <v>2.2999999999999998</v>
      </c>
      <c r="E393" s="64">
        <v>2.21</v>
      </c>
      <c r="F393">
        <v>2021</v>
      </c>
    </row>
    <row r="394" spans="1:6" ht="15" customHeight="1" x14ac:dyDescent="0.3">
      <c r="A394" s="62" t="s">
        <v>523</v>
      </c>
      <c r="B394" s="63">
        <v>44294</v>
      </c>
      <c r="C394" s="62" t="s">
        <v>34</v>
      </c>
      <c r="D394" s="64">
        <v>7.23</v>
      </c>
      <c r="E394" s="64">
        <v>6.45</v>
      </c>
      <c r="F394">
        <v>2021</v>
      </c>
    </row>
    <row r="395" spans="1:6" ht="15" customHeight="1" x14ac:dyDescent="0.3">
      <c r="A395" s="62" t="s">
        <v>524</v>
      </c>
      <c r="B395" s="63">
        <v>44320</v>
      </c>
      <c r="C395" s="62" t="s">
        <v>34</v>
      </c>
      <c r="D395" s="64">
        <v>10.46</v>
      </c>
      <c r="E395" s="64">
        <v>9.4600000000000009</v>
      </c>
      <c r="F395">
        <v>2021</v>
      </c>
    </row>
    <row r="396" spans="1:6" ht="15" customHeight="1" x14ac:dyDescent="0.3">
      <c r="A396" s="62" t="s">
        <v>525</v>
      </c>
      <c r="B396" s="63">
        <v>44356</v>
      </c>
      <c r="C396" s="62" t="s">
        <v>34</v>
      </c>
      <c r="D396" s="64">
        <v>18.22</v>
      </c>
      <c r="E396" s="64">
        <v>14.95</v>
      </c>
      <c r="F396">
        <v>2021</v>
      </c>
    </row>
    <row r="397" spans="1:6" ht="15" customHeight="1" x14ac:dyDescent="0.3">
      <c r="A397" s="62" t="s">
        <v>526</v>
      </c>
      <c r="B397" s="63">
        <v>44368</v>
      </c>
      <c r="C397" s="62" t="s">
        <v>34</v>
      </c>
      <c r="D397" s="64">
        <v>19.670000000000002</v>
      </c>
      <c r="E397" s="64">
        <v>16.61</v>
      </c>
      <c r="F397">
        <v>2021</v>
      </c>
    </row>
    <row r="398" spans="1:6" ht="15" customHeight="1" x14ac:dyDescent="0.3">
      <c r="A398" s="62" t="s">
        <v>527</v>
      </c>
      <c r="B398" s="63">
        <v>44389</v>
      </c>
      <c r="C398" s="62" t="s">
        <v>34</v>
      </c>
      <c r="D398" s="64">
        <v>21.87</v>
      </c>
      <c r="E398" s="64">
        <v>20.21</v>
      </c>
      <c r="F398">
        <v>2021</v>
      </c>
    </row>
    <row r="399" spans="1:6" ht="15" customHeight="1" x14ac:dyDescent="0.3">
      <c r="A399" s="62" t="s">
        <v>528</v>
      </c>
      <c r="B399" s="63">
        <v>44397</v>
      </c>
      <c r="C399" s="62" t="s">
        <v>34</v>
      </c>
      <c r="D399" s="64">
        <v>23.38</v>
      </c>
      <c r="E399" s="64">
        <v>20.97</v>
      </c>
      <c r="F399">
        <v>2021</v>
      </c>
    </row>
    <row r="400" spans="1:6" ht="15" customHeight="1" x14ac:dyDescent="0.3">
      <c r="A400" s="62" t="s">
        <v>529</v>
      </c>
      <c r="B400" s="63">
        <v>44412</v>
      </c>
      <c r="C400" s="62" t="s">
        <v>34</v>
      </c>
      <c r="D400" s="64">
        <v>22.79</v>
      </c>
      <c r="E400" s="64">
        <v>20.81</v>
      </c>
      <c r="F400">
        <v>2021</v>
      </c>
    </row>
    <row r="401" spans="1:6" ht="15" customHeight="1" x14ac:dyDescent="0.3">
      <c r="A401" s="62" t="s">
        <v>530</v>
      </c>
      <c r="B401" s="63">
        <v>44425</v>
      </c>
      <c r="C401" s="62" t="s">
        <v>34</v>
      </c>
      <c r="D401" s="64">
        <v>24.24</v>
      </c>
      <c r="E401" s="64">
        <v>22.05</v>
      </c>
      <c r="F401">
        <v>2021</v>
      </c>
    </row>
    <row r="402" spans="1:6" ht="15" customHeight="1" x14ac:dyDescent="0.3">
      <c r="A402" s="62" t="s">
        <v>531</v>
      </c>
      <c r="B402" s="63">
        <v>44440</v>
      </c>
      <c r="C402" s="62" t="s">
        <v>34</v>
      </c>
      <c r="D402" s="64">
        <v>24.24</v>
      </c>
      <c r="E402" s="64">
        <v>23.32</v>
      </c>
      <c r="F402">
        <v>2021</v>
      </c>
    </row>
    <row r="403" spans="1:6" ht="15" customHeight="1" x14ac:dyDescent="0.3">
      <c r="A403" s="62" t="s">
        <v>532</v>
      </c>
      <c r="B403" s="63">
        <v>44453</v>
      </c>
      <c r="C403" s="62" t="s">
        <v>34</v>
      </c>
      <c r="D403" s="64">
        <v>23.47</v>
      </c>
      <c r="E403" s="64">
        <v>22.86</v>
      </c>
      <c r="F403">
        <v>2021</v>
      </c>
    </row>
    <row r="404" spans="1:6" ht="15" customHeight="1" x14ac:dyDescent="0.3">
      <c r="A404" s="62" t="s">
        <v>533</v>
      </c>
      <c r="B404" s="63">
        <v>44475</v>
      </c>
      <c r="C404" s="62" t="s">
        <v>34</v>
      </c>
      <c r="D404" s="64">
        <v>20.83</v>
      </c>
      <c r="E404" s="64">
        <v>20.83</v>
      </c>
      <c r="F404">
        <v>2021</v>
      </c>
    </row>
    <row r="405" spans="1:6" ht="15" customHeight="1" x14ac:dyDescent="0.3">
      <c r="A405" s="62" t="s">
        <v>534</v>
      </c>
      <c r="B405" s="63">
        <v>44509</v>
      </c>
      <c r="C405" s="62" t="s">
        <v>34</v>
      </c>
      <c r="D405" s="64">
        <v>14.42</v>
      </c>
      <c r="E405" s="64">
        <v>14.14</v>
      </c>
      <c r="F405">
        <v>2021</v>
      </c>
    </row>
    <row r="406" spans="1:6" ht="15" customHeight="1" x14ac:dyDescent="0.3">
      <c r="A406" s="62" t="s">
        <v>535</v>
      </c>
      <c r="B406" s="63">
        <v>44538</v>
      </c>
      <c r="C406" s="62" t="s">
        <v>34</v>
      </c>
      <c r="D406" s="64">
        <v>9.6300000000000008</v>
      </c>
      <c r="E406" s="64">
        <v>9.68</v>
      </c>
      <c r="F406">
        <v>2021</v>
      </c>
    </row>
    <row r="407" spans="1:6" ht="15" customHeight="1" x14ac:dyDescent="0.3">
      <c r="A407" s="91" t="s">
        <v>539</v>
      </c>
      <c r="B407" s="92">
        <v>44595</v>
      </c>
      <c r="C407" s="91" t="s">
        <v>34</v>
      </c>
      <c r="D407" s="93">
        <v>1.85</v>
      </c>
      <c r="E407" s="93">
        <v>1.72</v>
      </c>
      <c r="F407">
        <v>2022</v>
      </c>
    </row>
    <row r="408" spans="1:6" ht="15" customHeight="1" x14ac:dyDescent="0.3">
      <c r="A408" s="91" t="s">
        <v>541</v>
      </c>
      <c r="B408" s="92">
        <v>44627</v>
      </c>
      <c r="C408" s="91" t="s">
        <v>34</v>
      </c>
      <c r="D408" s="93">
        <v>3.8</v>
      </c>
      <c r="E408" s="93">
        <v>3.45</v>
      </c>
      <c r="F408">
        <v>2022</v>
      </c>
    </row>
    <row r="409" spans="1:6" ht="15" customHeight="1" x14ac:dyDescent="0.3">
      <c r="A409" s="91" t="s">
        <v>542</v>
      </c>
      <c r="B409" s="92">
        <v>44659</v>
      </c>
      <c r="C409" s="91" t="s">
        <v>34</v>
      </c>
      <c r="D409" s="93">
        <v>6</v>
      </c>
      <c r="E409" s="93">
        <v>5.82</v>
      </c>
      <c r="F409">
        <v>2022</v>
      </c>
    </row>
    <row r="410" spans="1:6" ht="15" customHeight="1" x14ac:dyDescent="0.3">
      <c r="A410" s="91" t="s">
        <v>543</v>
      </c>
      <c r="B410" s="92">
        <v>44687</v>
      </c>
      <c r="C410" s="91" t="s">
        <v>34</v>
      </c>
      <c r="D410" s="93">
        <v>10.51</v>
      </c>
      <c r="E410" s="93">
        <v>9.0399999999999991</v>
      </c>
      <c r="F410">
        <v>2022</v>
      </c>
    </row>
    <row r="411" spans="1:6" ht="15" customHeight="1" x14ac:dyDescent="0.3">
      <c r="A411" s="91" t="s">
        <v>544</v>
      </c>
      <c r="B411" s="92">
        <v>44718</v>
      </c>
      <c r="C411" s="91" t="s">
        <v>34</v>
      </c>
      <c r="D411" s="93">
        <v>16.59</v>
      </c>
      <c r="E411" s="93">
        <v>14.41</v>
      </c>
      <c r="F411">
        <v>2022</v>
      </c>
    </row>
    <row r="412" spans="1:6" ht="15" customHeight="1" x14ac:dyDescent="0.3">
      <c r="A412" s="91" t="s">
        <v>545</v>
      </c>
      <c r="B412" s="92">
        <v>44726</v>
      </c>
      <c r="C412" s="91" t="s">
        <v>34</v>
      </c>
      <c r="D412" s="93">
        <v>17.54</v>
      </c>
      <c r="E412" s="93">
        <v>13.71</v>
      </c>
      <c r="F412">
        <v>2022</v>
      </c>
    </row>
    <row r="413" spans="1:6" ht="15" customHeight="1" x14ac:dyDescent="0.3">
      <c r="A413" s="91" t="s">
        <v>546</v>
      </c>
      <c r="B413" s="92">
        <v>44749</v>
      </c>
      <c r="C413" s="91" t="s">
        <v>34</v>
      </c>
      <c r="D413" s="93">
        <v>20.3</v>
      </c>
      <c r="E413" s="93">
        <v>17.39</v>
      </c>
      <c r="F413">
        <v>2022</v>
      </c>
    </row>
    <row r="414" spans="1:6" ht="15" customHeight="1" x14ac:dyDescent="0.3">
      <c r="A414" s="91" t="s">
        <v>547</v>
      </c>
      <c r="B414" s="92">
        <v>44760</v>
      </c>
      <c r="C414" s="91" t="s">
        <v>34</v>
      </c>
      <c r="D414" s="93">
        <v>21.53</v>
      </c>
      <c r="E414" s="93">
        <v>19.41</v>
      </c>
      <c r="F414">
        <v>2022</v>
      </c>
    </row>
    <row r="415" spans="1:6" ht="15" customHeight="1" x14ac:dyDescent="0.3">
      <c r="A415" s="91" t="s">
        <v>548</v>
      </c>
      <c r="B415" s="92">
        <v>44776</v>
      </c>
      <c r="C415" s="91" t="s">
        <v>34</v>
      </c>
      <c r="D415" s="93">
        <v>23.74</v>
      </c>
      <c r="E415" s="93">
        <v>21.38</v>
      </c>
      <c r="F415">
        <v>2022</v>
      </c>
    </row>
    <row r="416" spans="1:6" ht="15" customHeight="1" x14ac:dyDescent="0.3">
      <c r="A416" s="91" t="s">
        <v>549</v>
      </c>
      <c r="B416" s="92">
        <v>44791</v>
      </c>
      <c r="C416" s="91" t="s">
        <v>34</v>
      </c>
      <c r="D416" s="93">
        <v>23.12</v>
      </c>
      <c r="E416" s="93">
        <v>22.72</v>
      </c>
      <c r="F416">
        <v>2022</v>
      </c>
    </row>
    <row r="417" spans="1:13" ht="15" customHeight="1" x14ac:dyDescent="0.3">
      <c r="A417" s="91" t="s">
        <v>550</v>
      </c>
      <c r="B417" s="92">
        <v>44806</v>
      </c>
      <c r="C417" s="91" t="s">
        <v>34</v>
      </c>
      <c r="D417" s="93">
        <v>24.23</v>
      </c>
      <c r="E417" s="93">
        <v>24.18</v>
      </c>
      <c r="F417">
        <v>2022</v>
      </c>
    </row>
    <row r="418" spans="1:13" ht="15" customHeight="1" x14ac:dyDescent="0.3">
      <c r="A418" s="91" t="s">
        <v>552</v>
      </c>
      <c r="B418" s="92">
        <v>44841</v>
      </c>
      <c r="C418" s="91" t="s">
        <v>34</v>
      </c>
      <c r="D418" s="93">
        <v>18.75</v>
      </c>
      <c r="E418" s="93">
        <v>18.510000000000002</v>
      </c>
      <c r="F418">
        <v>2022</v>
      </c>
    </row>
    <row r="419" spans="1:13" ht="15" customHeight="1" x14ac:dyDescent="0.3">
      <c r="A419" s="91" t="s">
        <v>553</v>
      </c>
      <c r="B419" s="92">
        <v>44875</v>
      </c>
      <c r="C419" s="91" t="s">
        <v>34</v>
      </c>
      <c r="D419" s="93">
        <v>15.89</v>
      </c>
      <c r="E419" s="93">
        <v>15.65</v>
      </c>
      <c r="F419">
        <v>2022</v>
      </c>
    </row>
    <row r="420" spans="1:13" ht="15" customHeight="1" x14ac:dyDescent="0.3">
      <c r="A420" s="91" t="s">
        <v>556</v>
      </c>
      <c r="B420" s="92">
        <v>44901</v>
      </c>
      <c r="C420" s="91" t="s">
        <v>34</v>
      </c>
      <c r="D420" s="93">
        <v>9.94</v>
      </c>
      <c r="E420" s="93">
        <v>9.99</v>
      </c>
      <c r="F420">
        <v>2022</v>
      </c>
    </row>
    <row r="421" spans="1:13" ht="15" customHeight="1" x14ac:dyDescent="0.3">
      <c r="A421" s="91" t="s">
        <v>557</v>
      </c>
      <c r="B421" s="92">
        <v>44932</v>
      </c>
      <c r="C421" s="91" t="s">
        <v>34</v>
      </c>
      <c r="D421" s="93">
        <v>5.83</v>
      </c>
      <c r="E421" s="93">
        <v>5.34</v>
      </c>
      <c r="F421">
        <v>2023</v>
      </c>
      <c r="I421" s="127" t="s">
        <v>1</v>
      </c>
      <c r="J421" s="127" t="s">
        <v>3</v>
      </c>
      <c r="K421" s="127" t="s">
        <v>2</v>
      </c>
      <c r="L421" s="127" t="s">
        <v>4</v>
      </c>
      <c r="M421" s="127" t="s">
        <v>5</v>
      </c>
    </row>
    <row r="422" spans="1:13" ht="15" customHeight="1" x14ac:dyDescent="0.3">
      <c r="A422" s="91" t="s">
        <v>558</v>
      </c>
      <c r="B422" s="92">
        <v>44965</v>
      </c>
      <c r="C422" s="91" t="s">
        <v>34</v>
      </c>
      <c r="D422" s="93">
        <v>3.87</v>
      </c>
      <c r="E422" s="93">
        <v>3.75</v>
      </c>
      <c r="F422">
        <v>2023</v>
      </c>
    </row>
    <row r="423" spans="1:13" ht="15" customHeight="1" x14ac:dyDescent="0.3">
      <c r="A423" s="91" t="s">
        <v>559</v>
      </c>
      <c r="B423" s="92">
        <v>45034</v>
      </c>
      <c r="C423" s="91" t="s">
        <v>34</v>
      </c>
      <c r="D423" s="93">
        <v>8.8800000000000008</v>
      </c>
      <c r="E423" s="93">
        <v>8.86</v>
      </c>
      <c r="F423">
        <v>2023</v>
      </c>
    </row>
    <row r="424" spans="1:13" ht="15" customHeight="1" x14ac:dyDescent="0.3">
      <c r="A424" s="91" t="s">
        <v>560</v>
      </c>
      <c r="B424" s="92">
        <v>45051</v>
      </c>
      <c r="C424" s="91" t="s">
        <v>34</v>
      </c>
      <c r="D424" s="93">
        <v>11.06</v>
      </c>
      <c r="E424" s="93">
        <v>10.88</v>
      </c>
      <c r="F424">
        <v>2023</v>
      </c>
    </row>
    <row r="425" spans="1:13" ht="15" customHeight="1" x14ac:dyDescent="0.3">
      <c r="A425" s="91" t="s">
        <v>561</v>
      </c>
      <c r="B425" s="92">
        <v>45079</v>
      </c>
      <c r="C425" s="91" t="s">
        <v>34</v>
      </c>
      <c r="D425" s="93">
        <v>16.95</v>
      </c>
      <c r="E425" s="93">
        <v>13.74</v>
      </c>
      <c r="F425">
        <v>2023</v>
      </c>
    </row>
    <row r="426" spans="1:13" ht="15" customHeight="1" x14ac:dyDescent="0.3">
      <c r="A426" s="91" t="s">
        <v>562</v>
      </c>
      <c r="B426" s="92">
        <v>45100</v>
      </c>
      <c r="C426" s="91" t="s">
        <v>34</v>
      </c>
      <c r="D426" s="93">
        <v>17.399999999999999</v>
      </c>
      <c r="E426" s="93">
        <v>16.39</v>
      </c>
      <c r="F426">
        <v>2023</v>
      </c>
    </row>
    <row r="427" spans="1:13" ht="15" customHeight="1" x14ac:dyDescent="0.3">
      <c r="A427" s="91" t="s">
        <v>563</v>
      </c>
      <c r="B427" s="92">
        <v>45114</v>
      </c>
      <c r="C427" s="91" t="s">
        <v>34</v>
      </c>
      <c r="D427" s="93">
        <v>22.66</v>
      </c>
      <c r="E427" s="93">
        <v>19.27</v>
      </c>
      <c r="F427">
        <v>2023</v>
      </c>
    </row>
    <row r="428" spans="1:13" ht="15" customHeight="1" x14ac:dyDescent="0.3">
      <c r="A428" s="91" t="s">
        <v>564</v>
      </c>
      <c r="B428" s="92">
        <v>45125</v>
      </c>
      <c r="C428" s="91" t="s">
        <v>34</v>
      </c>
      <c r="D428" s="93">
        <v>23.25</v>
      </c>
      <c r="E428" s="93">
        <v>20.91</v>
      </c>
      <c r="F428">
        <v>2023</v>
      </c>
    </row>
    <row r="429" spans="1:13" ht="15" customHeight="1" x14ac:dyDescent="0.3">
      <c r="A429" s="91" t="s">
        <v>565</v>
      </c>
      <c r="B429" s="92">
        <v>45141</v>
      </c>
      <c r="C429" s="91" t="s">
        <v>34</v>
      </c>
      <c r="D429" s="93">
        <v>22.99</v>
      </c>
      <c r="E429" s="93">
        <v>22</v>
      </c>
      <c r="F429">
        <v>2023</v>
      </c>
    </row>
    <row r="430" spans="1:13" ht="15" customHeight="1" x14ac:dyDescent="0.3">
      <c r="A430" s="91" t="s">
        <v>566</v>
      </c>
      <c r="B430" s="92">
        <v>45154</v>
      </c>
      <c r="C430" s="91" t="s">
        <v>34</v>
      </c>
      <c r="D430" s="93">
        <v>22.84</v>
      </c>
      <c r="E430" s="93">
        <v>21.53</v>
      </c>
      <c r="F430">
        <v>2023</v>
      </c>
    </row>
    <row r="431" spans="1:13" ht="15" customHeight="1" x14ac:dyDescent="0.3">
      <c r="A431" s="91" t="s">
        <v>567</v>
      </c>
      <c r="B431" s="92">
        <v>45175</v>
      </c>
      <c r="C431" s="91" t="s">
        <v>34</v>
      </c>
      <c r="D431" s="93">
        <v>25.2</v>
      </c>
      <c r="E431" s="93">
        <v>22.41</v>
      </c>
      <c r="F431">
        <v>2023</v>
      </c>
    </row>
    <row r="432" spans="1:13" ht="15" customHeight="1" x14ac:dyDescent="0.3">
      <c r="A432" s="91" t="s">
        <v>568</v>
      </c>
      <c r="B432" s="92">
        <v>45205</v>
      </c>
      <c r="C432" s="91" t="s">
        <v>34</v>
      </c>
      <c r="D432" s="93">
        <v>20.059999999999999</v>
      </c>
      <c r="E432" s="93">
        <v>19.22</v>
      </c>
      <c r="F432">
        <v>2023</v>
      </c>
    </row>
    <row r="433" spans="1:6" ht="15" customHeight="1" x14ac:dyDescent="0.3">
      <c r="A433" s="91" t="s">
        <v>569</v>
      </c>
      <c r="B433" s="92">
        <v>45239</v>
      </c>
      <c r="C433" s="91" t="s">
        <v>34</v>
      </c>
      <c r="D433" s="93">
        <v>14.17</v>
      </c>
      <c r="E433" s="93">
        <v>14.17</v>
      </c>
      <c r="F433">
        <v>2023</v>
      </c>
    </row>
    <row r="434" spans="1:6" ht="15" customHeight="1" x14ac:dyDescent="0.3">
      <c r="A434" s="91" t="s">
        <v>570</v>
      </c>
      <c r="B434" s="92">
        <v>45267</v>
      </c>
      <c r="C434" s="91" t="s">
        <v>34</v>
      </c>
      <c r="D434" s="93">
        <v>8.77</v>
      </c>
      <c r="E434" s="93">
        <v>8.7799999999999994</v>
      </c>
      <c r="F434">
        <v>2023</v>
      </c>
    </row>
    <row r="435" spans="1:6" ht="15" customHeight="1" x14ac:dyDescent="0.3">
      <c r="A435" s="91" t="s">
        <v>571</v>
      </c>
      <c r="B435" s="92">
        <v>45295</v>
      </c>
      <c r="C435" s="91" t="s">
        <v>34</v>
      </c>
      <c r="D435" s="93">
        <v>6.7</v>
      </c>
      <c r="E435" s="93">
        <v>6.78</v>
      </c>
      <c r="F435">
        <v>2024</v>
      </c>
    </row>
    <row r="436" spans="1:6" ht="15" customHeight="1" x14ac:dyDescent="0.3">
      <c r="A436" s="91" t="s">
        <v>572</v>
      </c>
      <c r="B436" s="92">
        <v>45329</v>
      </c>
      <c r="C436" s="91" t="s">
        <v>34</v>
      </c>
      <c r="D436" s="93">
        <v>3.71</v>
      </c>
      <c r="E436" s="93">
        <v>3.68</v>
      </c>
      <c r="F436">
        <v>2024</v>
      </c>
    </row>
    <row r="437" spans="1:6" ht="15" customHeight="1" x14ac:dyDescent="0.3">
      <c r="A437" s="91" t="s">
        <v>574</v>
      </c>
      <c r="B437" s="92">
        <v>45358</v>
      </c>
      <c r="C437" s="91" t="s">
        <v>34</v>
      </c>
      <c r="D437" s="93">
        <v>5.0999999999999996</v>
      </c>
      <c r="E437" s="93">
        <v>4.1900000000000004</v>
      </c>
      <c r="F437">
        <v>2024</v>
      </c>
    </row>
    <row r="438" spans="1:6" ht="15" customHeight="1" x14ac:dyDescent="0.3">
      <c r="A438" s="91" t="s">
        <v>576</v>
      </c>
      <c r="B438" s="92">
        <v>45391</v>
      </c>
      <c r="C438" s="91" t="s">
        <v>34</v>
      </c>
      <c r="D438" s="93">
        <v>7.14</v>
      </c>
      <c r="E438" s="93">
        <v>6.56</v>
      </c>
      <c r="F438">
        <v>2024</v>
      </c>
    </row>
    <row r="439" spans="1:6" ht="15" customHeight="1" x14ac:dyDescent="0.3">
      <c r="A439" s="91" t="s">
        <v>577</v>
      </c>
      <c r="B439" s="92">
        <v>45418</v>
      </c>
      <c r="C439" s="91" t="s">
        <v>34</v>
      </c>
      <c r="D439" s="93">
        <v>10.7</v>
      </c>
      <c r="E439" s="93">
        <v>9.75</v>
      </c>
      <c r="F439">
        <v>2024</v>
      </c>
    </row>
    <row r="440" spans="1:6" ht="15" customHeight="1" x14ac:dyDescent="0.3">
      <c r="A440" s="91" t="s">
        <v>578</v>
      </c>
      <c r="B440" s="92">
        <v>45446</v>
      </c>
      <c r="C440" s="91" t="s">
        <v>34</v>
      </c>
      <c r="D440" s="93">
        <v>18.32</v>
      </c>
      <c r="E440" s="93">
        <v>12.5</v>
      </c>
      <c r="F440">
        <v>2024</v>
      </c>
    </row>
    <row r="441" spans="1:6" ht="15" customHeight="1" x14ac:dyDescent="0.3">
      <c r="A441" s="91" t="s">
        <v>580</v>
      </c>
      <c r="B441" s="92">
        <v>45476</v>
      </c>
      <c r="C441" s="91" t="s">
        <v>34</v>
      </c>
      <c r="D441" s="93">
        <v>20.65</v>
      </c>
      <c r="E441" s="93">
        <v>17.420000000000002</v>
      </c>
      <c r="F441">
        <v>2024</v>
      </c>
    </row>
    <row r="442" spans="1:6" ht="15" customHeight="1" x14ac:dyDescent="0.3">
      <c r="A442" s="91" t="s">
        <v>581</v>
      </c>
      <c r="B442" s="92">
        <v>45489</v>
      </c>
      <c r="C442" s="91" t="s">
        <v>34</v>
      </c>
      <c r="D442" s="93">
        <v>24.5</v>
      </c>
      <c r="E442" s="128"/>
      <c r="F442">
        <v>2024</v>
      </c>
    </row>
    <row r="443" spans="1:6" ht="15" customHeight="1" x14ac:dyDescent="0.3">
      <c r="A443" s="91" t="s">
        <v>582</v>
      </c>
      <c r="B443" s="92">
        <v>45505</v>
      </c>
      <c r="C443" s="91" t="s">
        <v>34</v>
      </c>
      <c r="D443" s="93">
        <v>23.29</v>
      </c>
      <c r="E443" s="93">
        <v>21.21</v>
      </c>
      <c r="F443">
        <v>2024</v>
      </c>
    </row>
    <row r="444" spans="1:6" ht="15" customHeight="1" x14ac:dyDescent="0.3">
      <c r="A444" s="91" t="s">
        <v>583</v>
      </c>
      <c r="B444" s="92">
        <v>45517</v>
      </c>
      <c r="C444" s="91" t="s">
        <v>34</v>
      </c>
      <c r="D444" s="93">
        <v>23.21</v>
      </c>
      <c r="E444" s="93">
        <v>22.99</v>
      </c>
      <c r="F444">
        <v>2024</v>
      </c>
    </row>
    <row r="445" spans="1:6" ht="15" customHeight="1" x14ac:dyDescent="0.3">
      <c r="A445" s="91" t="s">
        <v>584</v>
      </c>
      <c r="B445" s="92">
        <v>45532</v>
      </c>
      <c r="C445" s="91" t="s">
        <v>34</v>
      </c>
      <c r="D445" s="93">
        <v>23.38</v>
      </c>
      <c r="E445" s="93">
        <v>22.08</v>
      </c>
      <c r="F445">
        <v>2024</v>
      </c>
    </row>
    <row r="446" spans="1:6" ht="15" customHeight="1" x14ac:dyDescent="0.3">
      <c r="A446" s="138" t="s">
        <v>585</v>
      </c>
      <c r="B446" s="34">
        <v>45569</v>
      </c>
      <c r="C446">
        <v>15</v>
      </c>
      <c r="D446" s="139">
        <v>20.41</v>
      </c>
      <c r="E446" s="140">
        <v>20.5</v>
      </c>
      <c r="F446">
        <v>2024</v>
      </c>
    </row>
    <row r="447" spans="1:6" ht="15" customHeight="1" x14ac:dyDescent="0.3">
      <c r="A447" t="s">
        <v>601</v>
      </c>
      <c r="B447" s="34">
        <v>45688</v>
      </c>
      <c r="C447">
        <v>15</v>
      </c>
      <c r="D447">
        <v>1.63</v>
      </c>
      <c r="E447">
        <v>1.77</v>
      </c>
      <c r="F447">
        <v>2025</v>
      </c>
    </row>
    <row r="448" spans="1:6" ht="15" customHeight="1" x14ac:dyDescent="0.3">
      <c r="A448" t="s">
        <v>593</v>
      </c>
      <c r="B448" s="34">
        <v>45729</v>
      </c>
      <c r="C448">
        <v>15</v>
      </c>
      <c r="D448">
        <v>3.46</v>
      </c>
      <c r="E448">
        <v>3.13</v>
      </c>
      <c r="F448">
        <v>2025</v>
      </c>
    </row>
    <row r="449" spans="1:6" ht="15" customHeight="1" x14ac:dyDescent="0.3">
      <c r="A449" t="s">
        <v>594</v>
      </c>
      <c r="B449" s="34">
        <v>45749</v>
      </c>
      <c r="C449">
        <v>15</v>
      </c>
      <c r="D449">
        <v>6.69</v>
      </c>
      <c r="E449">
        <v>6.26</v>
      </c>
      <c r="F449">
        <v>2025</v>
      </c>
    </row>
    <row r="450" spans="1:6" ht="15" customHeight="1" x14ac:dyDescent="0.3">
      <c r="A450" t="s">
        <v>595</v>
      </c>
      <c r="B450" s="34">
        <v>45784</v>
      </c>
      <c r="C450">
        <v>15</v>
      </c>
      <c r="D450">
        <v>11.18</v>
      </c>
      <c r="E450">
        <v>10.14</v>
      </c>
      <c r="F450">
        <v>2025</v>
      </c>
    </row>
    <row r="451" spans="1:6" ht="15" customHeight="1" x14ac:dyDescent="0.3">
      <c r="A451" t="s">
        <v>596</v>
      </c>
      <c r="B451" s="34">
        <v>45812</v>
      </c>
      <c r="C451">
        <v>15</v>
      </c>
      <c r="D451">
        <v>15.65</v>
      </c>
      <c r="E451">
        <v>14.72</v>
      </c>
      <c r="F451">
        <v>2025</v>
      </c>
    </row>
    <row r="452" spans="1:6" ht="15" customHeight="1" x14ac:dyDescent="0.3">
      <c r="A452" t="s">
        <v>597</v>
      </c>
      <c r="B452" s="34">
        <v>45838</v>
      </c>
      <c r="C452">
        <v>15</v>
      </c>
      <c r="D452">
        <v>22.32</v>
      </c>
      <c r="E452">
        <v>18.12</v>
      </c>
      <c r="F452">
        <v>2025</v>
      </c>
    </row>
    <row r="453" spans="1:6" ht="15" customHeight="1" x14ac:dyDescent="0.3">
      <c r="A453" t="s">
        <v>598</v>
      </c>
      <c r="B453" s="34">
        <v>45853</v>
      </c>
      <c r="C453">
        <v>15</v>
      </c>
      <c r="D453">
        <v>20.9</v>
      </c>
      <c r="E453">
        <v>19.2</v>
      </c>
      <c r="F453">
        <v>2025</v>
      </c>
    </row>
    <row r="454" spans="1:6" ht="15" customHeight="1" x14ac:dyDescent="0.3">
      <c r="A454" t="s">
        <v>599</v>
      </c>
      <c r="B454" s="34">
        <v>45869</v>
      </c>
      <c r="C454">
        <v>15</v>
      </c>
      <c r="D454">
        <v>25.72</v>
      </c>
      <c r="E454">
        <v>21.99</v>
      </c>
      <c r="F454">
        <v>2025</v>
      </c>
    </row>
    <row r="455" spans="1:6" ht="15" customHeight="1" x14ac:dyDescent="0.3">
      <c r="A455" t="s">
        <v>600</v>
      </c>
      <c r="B455" s="34">
        <v>45881</v>
      </c>
      <c r="C455">
        <v>15</v>
      </c>
      <c r="D455">
        <v>23.88</v>
      </c>
      <c r="E455">
        <v>22.73</v>
      </c>
      <c r="F455">
        <v>2025</v>
      </c>
    </row>
    <row r="456" spans="1:6" ht="15" customHeight="1" x14ac:dyDescent="0.3">
      <c r="A456" t="s">
        <v>603</v>
      </c>
      <c r="B456" s="34">
        <v>45897</v>
      </c>
      <c r="C456">
        <v>15</v>
      </c>
      <c r="D456">
        <v>22.45</v>
      </c>
      <c r="E456">
        <v>22.3</v>
      </c>
      <c r="F456">
        <v>2025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57"/>
  <sheetViews>
    <sheetView workbookViewId="0">
      <pane ySplit="1" topLeftCell="A434" activePane="bottomLeft" state="frozen"/>
      <selection pane="bottomLeft" activeCell="A457" sqref="A457"/>
    </sheetView>
  </sheetViews>
  <sheetFormatPr defaultRowHeight="15" customHeight="1" x14ac:dyDescent="0.3"/>
  <cols>
    <col min="1" max="1" width="10.44140625" bestFit="1" customWidth="1"/>
    <col min="2" max="2" width="10.6640625" bestFit="1" customWidth="1"/>
    <col min="3" max="3" width="13.109375" bestFit="1" customWidth="1"/>
    <col min="4" max="4" width="7.44140625" bestFit="1" customWidth="1"/>
    <col min="5" max="5" width="7.5546875" bestFit="1" customWidth="1"/>
    <col min="9" max="9" width="12.5546875" bestFit="1" customWidth="1"/>
    <col min="10" max="10" width="16.88671875" bestFit="1" customWidth="1"/>
    <col min="11" max="11" width="17" bestFit="1" customWidth="1"/>
    <col min="12" max="12" width="20.44140625" bestFit="1" customWidth="1"/>
  </cols>
  <sheetData>
    <row r="1" spans="1:17" ht="15" customHeight="1" x14ac:dyDescent="0.3">
      <c r="A1" s="41" t="s">
        <v>1</v>
      </c>
      <c r="B1" s="41" t="s">
        <v>3</v>
      </c>
      <c r="C1" s="41" t="s">
        <v>2</v>
      </c>
      <c r="D1" s="41" t="s">
        <v>591</v>
      </c>
      <c r="E1" s="41" t="s">
        <v>592</v>
      </c>
      <c r="F1" s="48" t="s">
        <v>480</v>
      </c>
      <c r="I1" s="47" t="s">
        <v>515</v>
      </c>
      <c r="J1" t="s">
        <v>519</v>
      </c>
      <c r="K1" t="s">
        <v>518</v>
      </c>
      <c r="L1" t="s">
        <v>520</v>
      </c>
      <c r="N1" t="s">
        <v>515</v>
      </c>
      <c r="O1" t="s">
        <v>519</v>
      </c>
      <c r="P1" t="s">
        <v>518</v>
      </c>
      <c r="Q1" t="s">
        <v>520</v>
      </c>
    </row>
    <row r="2" spans="1:17" ht="15" customHeight="1" x14ac:dyDescent="0.3">
      <c r="A2" s="42" t="s">
        <v>79</v>
      </c>
      <c r="B2" s="43">
        <v>34507</v>
      </c>
      <c r="C2" s="42" t="s">
        <v>31</v>
      </c>
      <c r="D2" s="44">
        <v>19.97</v>
      </c>
      <c r="E2" s="45"/>
      <c r="F2">
        <v>1994</v>
      </c>
      <c r="I2" s="9">
        <v>1994</v>
      </c>
      <c r="J2">
        <v>20.452857142857145</v>
      </c>
      <c r="K2">
        <v>10.55</v>
      </c>
      <c r="L2">
        <v>7</v>
      </c>
      <c r="N2">
        <v>1995</v>
      </c>
      <c r="O2">
        <v>14.91642857142857</v>
      </c>
      <c r="P2">
        <v>12.180571428571429</v>
      </c>
      <c r="Q2">
        <v>14</v>
      </c>
    </row>
    <row r="3" spans="1:17" ht="15" customHeight="1" x14ac:dyDescent="0.3">
      <c r="A3" s="42" t="s">
        <v>80</v>
      </c>
      <c r="B3" s="43">
        <v>34520</v>
      </c>
      <c r="C3" s="42" t="s">
        <v>31</v>
      </c>
      <c r="D3" s="44">
        <v>20.77</v>
      </c>
      <c r="E3" s="45"/>
      <c r="F3">
        <v>1994</v>
      </c>
      <c r="I3" s="9">
        <v>1995</v>
      </c>
      <c r="J3">
        <v>14.91642857142857</v>
      </c>
      <c r="K3">
        <v>12.180571428571429</v>
      </c>
      <c r="L3">
        <v>14</v>
      </c>
      <c r="N3">
        <v>1996</v>
      </c>
      <c r="O3">
        <v>13.967857142857143</v>
      </c>
      <c r="P3">
        <v>11.984285714285713</v>
      </c>
      <c r="Q3">
        <v>14</v>
      </c>
    </row>
    <row r="4" spans="1:17" ht="15" customHeight="1" x14ac:dyDescent="0.3">
      <c r="A4" s="42" t="s">
        <v>81</v>
      </c>
      <c r="B4" s="43">
        <v>34536</v>
      </c>
      <c r="C4" s="42" t="s">
        <v>31</v>
      </c>
      <c r="D4" s="44">
        <v>23.54</v>
      </c>
      <c r="E4" s="45"/>
      <c r="F4">
        <v>1994</v>
      </c>
      <c r="I4" s="9">
        <v>1996</v>
      </c>
      <c r="J4">
        <v>13.967857142857143</v>
      </c>
      <c r="K4">
        <v>11.984285714285713</v>
      </c>
      <c r="L4">
        <v>14</v>
      </c>
      <c r="N4">
        <v>1997</v>
      </c>
      <c r="O4">
        <v>14.046666666666665</v>
      </c>
      <c r="P4">
        <v>12.348000000000001</v>
      </c>
      <c r="Q4">
        <v>13</v>
      </c>
    </row>
    <row r="5" spans="1:17" ht="15" customHeight="1" x14ac:dyDescent="0.3">
      <c r="A5" s="42" t="s">
        <v>82</v>
      </c>
      <c r="B5" s="43">
        <v>34549</v>
      </c>
      <c r="C5" s="42" t="s">
        <v>31</v>
      </c>
      <c r="D5" s="44">
        <v>24.4</v>
      </c>
      <c r="E5" s="45"/>
      <c r="F5">
        <v>1994</v>
      </c>
      <c r="I5" s="9">
        <v>1997</v>
      </c>
      <c r="J5">
        <v>14.046666666666665</v>
      </c>
      <c r="K5">
        <v>12.348000000000001</v>
      </c>
      <c r="L5">
        <v>13</v>
      </c>
      <c r="N5">
        <v>1998</v>
      </c>
      <c r="O5">
        <v>16.518571428571427</v>
      </c>
      <c r="P5">
        <v>13.829230769230769</v>
      </c>
      <c r="Q5">
        <v>15</v>
      </c>
    </row>
    <row r="6" spans="1:17" ht="15" customHeight="1" x14ac:dyDescent="0.3">
      <c r="A6" s="42" t="s">
        <v>83</v>
      </c>
      <c r="B6" s="43">
        <v>34562</v>
      </c>
      <c r="C6" s="42" t="s">
        <v>31</v>
      </c>
      <c r="D6" s="44">
        <v>22.4</v>
      </c>
      <c r="F6">
        <v>1994</v>
      </c>
      <c r="I6" s="9">
        <v>1998</v>
      </c>
      <c r="J6">
        <v>16.518571428571427</v>
      </c>
      <c r="K6">
        <v>13.829230769230769</v>
      </c>
      <c r="L6">
        <v>15</v>
      </c>
      <c r="N6">
        <v>1999</v>
      </c>
      <c r="O6">
        <v>14.965999999999999</v>
      </c>
      <c r="P6">
        <v>13.104666666666667</v>
      </c>
      <c r="Q6">
        <v>15</v>
      </c>
    </row>
    <row r="7" spans="1:17" ht="15" customHeight="1" x14ac:dyDescent="0.3">
      <c r="A7" s="42" t="s">
        <v>84</v>
      </c>
      <c r="B7" s="43">
        <v>34576</v>
      </c>
      <c r="C7" s="42" t="s">
        <v>31</v>
      </c>
      <c r="D7" s="44">
        <v>21.66</v>
      </c>
      <c r="E7" s="45"/>
      <c r="F7">
        <v>1994</v>
      </c>
      <c r="I7" s="9">
        <v>1999</v>
      </c>
      <c r="J7">
        <v>14.965999999999999</v>
      </c>
      <c r="K7">
        <v>13.104666666666667</v>
      </c>
      <c r="L7">
        <v>15</v>
      </c>
      <c r="N7">
        <v>2000</v>
      </c>
      <c r="O7">
        <v>13.919333333333334</v>
      </c>
      <c r="P7">
        <v>12.089285714285714</v>
      </c>
      <c r="Q7">
        <v>15</v>
      </c>
    </row>
    <row r="8" spans="1:17" ht="15" customHeight="1" x14ac:dyDescent="0.3">
      <c r="A8" s="42" t="s">
        <v>88</v>
      </c>
      <c r="B8" s="43">
        <v>34673</v>
      </c>
      <c r="C8" s="42" t="s">
        <v>31</v>
      </c>
      <c r="D8" s="44">
        <v>10.43</v>
      </c>
      <c r="E8" s="44">
        <v>10.55</v>
      </c>
      <c r="F8">
        <v>1994</v>
      </c>
      <c r="I8" s="9">
        <v>2000</v>
      </c>
      <c r="J8">
        <v>13.919333333333334</v>
      </c>
      <c r="K8">
        <v>12.089285714285714</v>
      </c>
      <c r="L8">
        <v>15</v>
      </c>
      <c r="N8">
        <v>2001</v>
      </c>
      <c r="O8">
        <v>14.207857142857138</v>
      </c>
      <c r="P8">
        <v>12.367857142857144</v>
      </c>
      <c r="Q8">
        <v>15</v>
      </c>
    </row>
    <row r="9" spans="1:17" ht="15" customHeight="1" x14ac:dyDescent="0.3">
      <c r="A9" s="42" t="s">
        <v>89</v>
      </c>
      <c r="B9" s="43">
        <v>34708</v>
      </c>
      <c r="C9" s="42" t="s">
        <v>31</v>
      </c>
      <c r="D9" s="44">
        <v>4.74</v>
      </c>
      <c r="E9" s="44">
        <v>5.38</v>
      </c>
      <c r="F9">
        <v>1995</v>
      </c>
      <c r="I9" s="9">
        <v>2001</v>
      </c>
      <c r="J9">
        <v>14.207857142857138</v>
      </c>
      <c r="K9">
        <v>12.367857142857144</v>
      </c>
      <c r="L9">
        <v>15</v>
      </c>
      <c r="N9">
        <v>2002</v>
      </c>
      <c r="O9">
        <v>14.735999999999999</v>
      </c>
      <c r="P9">
        <v>12.958</v>
      </c>
      <c r="Q9">
        <v>15</v>
      </c>
    </row>
    <row r="10" spans="1:17" ht="15" customHeight="1" x14ac:dyDescent="0.3">
      <c r="A10" s="42" t="s">
        <v>90</v>
      </c>
      <c r="B10" s="43">
        <v>34744</v>
      </c>
      <c r="C10" s="42" t="s">
        <v>31</v>
      </c>
      <c r="D10" s="44">
        <v>11.1</v>
      </c>
      <c r="E10" s="44">
        <v>1.45</v>
      </c>
      <c r="F10">
        <v>1995</v>
      </c>
      <c r="I10" s="9">
        <v>2002</v>
      </c>
      <c r="J10">
        <v>14.735999999999999</v>
      </c>
      <c r="K10">
        <v>12.958</v>
      </c>
      <c r="L10">
        <v>15</v>
      </c>
      <c r="N10">
        <v>2003</v>
      </c>
      <c r="O10">
        <v>13.693571428571429</v>
      </c>
      <c r="P10">
        <v>11.277142857142859</v>
      </c>
      <c r="Q10">
        <v>14</v>
      </c>
    </row>
    <row r="11" spans="1:17" ht="15" customHeight="1" x14ac:dyDescent="0.3">
      <c r="A11" s="42" t="s">
        <v>91</v>
      </c>
      <c r="B11" s="43">
        <v>34768</v>
      </c>
      <c r="C11" s="42" t="s">
        <v>31</v>
      </c>
      <c r="D11" s="44">
        <v>2.2599999999999998</v>
      </c>
      <c r="E11" s="44">
        <v>2.0099999999999998</v>
      </c>
      <c r="F11">
        <v>1995</v>
      </c>
      <c r="I11" s="9">
        <v>2003</v>
      </c>
      <c r="J11">
        <v>13.693571428571429</v>
      </c>
      <c r="K11">
        <v>11.277142857142859</v>
      </c>
      <c r="L11">
        <v>14</v>
      </c>
      <c r="N11">
        <v>2004</v>
      </c>
      <c r="O11">
        <v>14.234615384615385</v>
      </c>
      <c r="P11">
        <v>11.922307692307694</v>
      </c>
      <c r="Q11">
        <v>13</v>
      </c>
    </row>
    <row r="12" spans="1:17" ht="15" customHeight="1" x14ac:dyDescent="0.3">
      <c r="A12" s="42" t="s">
        <v>92</v>
      </c>
      <c r="B12" s="43">
        <v>34795</v>
      </c>
      <c r="C12" s="42" t="s">
        <v>31</v>
      </c>
      <c r="D12" s="44">
        <v>5.15</v>
      </c>
      <c r="E12" s="44">
        <v>4.37</v>
      </c>
      <c r="F12">
        <v>1995</v>
      </c>
      <c r="I12" s="9">
        <v>2004</v>
      </c>
      <c r="J12">
        <v>14.234615384615385</v>
      </c>
      <c r="K12">
        <v>11.922307692307694</v>
      </c>
      <c r="L12">
        <v>13</v>
      </c>
      <c r="N12">
        <v>2005</v>
      </c>
      <c r="O12">
        <v>14.033571428571429</v>
      </c>
      <c r="P12">
        <v>11.531428571428572</v>
      </c>
      <c r="Q12">
        <v>14</v>
      </c>
    </row>
    <row r="13" spans="1:17" ht="15" customHeight="1" x14ac:dyDescent="0.3">
      <c r="A13" s="42" t="s">
        <v>93</v>
      </c>
      <c r="B13" s="43">
        <v>34829</v>
      </c>
      <c r="C13" s="42" t="s">
        <v>31</v>
      </c>
      <c r="D13" s="44">
        <v>10.62</v>
      </c>
      <c r="E13" s="44">
        <v>7.76</v>
      </c>
      <c r="F13">
        <v>1995</v>
      </c>
      <c r="I13" s="9">
        <v>2005</v>
      </c>
      <c r="J13">
        <v>14.033571428571429</v>
      </c>
      <c r="K13">
        <v>11.531428571428572</v>
      </c>
      <c r="L13">
        <v>14</v>
      </c>
      <c r="N13">
        <v>2006</v>
      </c>
      <c r="O13">
        <v>15.879230769230768</v>
      </c>
      <c r="P13">
        <v>13.45923076923077</v>
      </c>
      <c r="Q13">
        <v>13</v>
      </c>
    </row>
    <row r="14" spans="1:17" ht="15" customHeight="1" x14ac:dyDescent="0.3">
      <c r="A14" s="42" t="s">
        <v>94</v>
      </c>
      <c r="B14" s="43">
        <v>34856</v>
      </c>
      <c r="C14" s="42" t="s">
        <v>31</v>
      </c>
      <c r="D14" s="44">
        <v>16.88</v>
      </c>
      <c r="E14" s="44">
        <v>10.7849</v>
      </c>
      <c r="F14">
        <v>1995</v>
      </c>
      <c r="I14" s="9">
        <v>2006</v>
      </c>
      <c r="J14">
        <v>15.879230769230768</v>
      </c>
      <c r="K14">
        <v>13.45923076923077</v>
      </c>
      <c r="L14">
        <v>13</v>
      </c>
      <c r="N14">
        <v>2007</v>
      </c>
      <c r="O14">
        <v>15.032857142857143</v>
      </c>
      <c r="P14">
        <v>12.671428571428573</v>
      </c>
      <c r="Q14">
        <v>15</v>
      </c>
    </row>
    <row r="15" spans="1:17" ht="15" customHeight="1" x14ac:dyDescent="0.3">
      <c r="A15" s="42" t="s">
        <v>96</v>
      </c>
      <c r="B15" s="43">
        <v>34886</v>
      </c>
      <c r="C15" s="42" t="s">
        <v>31</v>
      </c>
      <c r="D15" s="44">
        <v>20.51</v>
      </c>
      <c r="E15" s="44">
        <v>15.1</v>
      </c>
      <c r="F15">
        <v>1995</v>
      </c>
      <c r="I15" s="9">
        <v>2007</v>
      </c>
      <c r="J15">
        <v>15.032857142857143</v>
      </c>
      <c r="K15">
        <v>12.671428571428573</v>
      </c>
      <c r="L15">
        <v>15</v>
      </c>
      <c r="N15">
        <v>2008</v>
      </c>
      <c r="O15">
        <v>14.257999999999999</v>
      </c>
      <c r="P15">
        <v>12.39133333333333</v>
      </c>
      <c r="Q15">
        <v>15</v>
      </c>
    </row>
    <row r="16" spans="1:17" ht="15" customHeight="1" x14ac:dyDescent="0.3">
      <c r="A16" s="42" t="s">
        <v>97</v>
      </c>
      <c r="B16" s="43">
        <v>34899</v>
      </c>
      <c r="C16" s="42" t="s">
        <v>31</v>
      </c>
      <c r="D16" s="44">
        <v>22.13</v>
      </c>
      <c r="E16" s="44">
        <v>16.989999999999998</v>
      </c>
      <c r="F16">
        <v>1995</v>
      </c>
      <c r="I16" s="9">
        <v>2008</v>
      </c>
      <c r="J16">
        <v>14.257999999999999</v>
      </c>
      <c r="K16">
        <v>12.39133333333333</v>
      </c>
      <c r="L16">
        <v>15</v>
      </c>
      <c r="N16">
        <v>2009</v>
      </c>
      <c r="O16">
        <v>13.67</v>
      </c>
      <c r="P16">
        <v>11.485333333333333</v>
      </c>
      <c r="Q16">
        <v>15</v>
      </c>
    </row>
    <row r="17" spans="1:17" ht="15" customHeight="1" x14ac:dyDescent="0.3">
      <c r="A17" s="42" t="s">
        <v>98</v>
      </c>
      <c r="B17" s="43">
        <v>34915</v>
      </c>
      <c r="C17" s="42" t="s">
        <v>31</v>
      </c>
      <c r="D17" s="44">
        <v>23.63</v>
      </c>
      <c r="E17" s="44">
        <v>18.75</v>
      </c>
      <c r="F17">
        <v>1995</v>
      </c>
      <c r="I17" s="9">
        <v>2009</v>
      </c>
      <c r="J17">
        <v>13.67</v>
      </c>
      <c r="K17">
        <v>11.485333333333333</v>
      </c>
      <c r="L17">
        <v>15</v>
      </c>
      <c r="N17">
        <v>2010</v>
      </c>
      <c r="O17">
        <v>14.324000000000002</v>
      </c>
      <c r="P17">
        <v>12.421333333333335</v>
      </c>
      <c r="Q17">
        <v>15</v>
      </c>
    </row>
    <row r="18" spans="1:17" ht="15" customHeight="1" x14ac:dyDescent="0.3">
      <c r="A18" s="42" t="s">
        <v>99</v>
      </c>
      <c r="B18" s="43">
        <v>34925</v>
      </c>
      <c r="C18" s="42" t="s">
        <v>31</v>
      </c>
      <c r="D18" s="44">
        <v>24.2</v>
      </c>
      <c r="E18" s="44">
        <v>20.5</v>
      </c>
      <c r="F18">
        <v>1995</v>
      </c>
      <c r="I18" s="9">
        <v>2010</v>
      </c>
      <c r="J18">
        <v>14.324000000000002</v>
      </c>
      <c r="K18">
        <v>12.421333333333335</v>
      </c>
      <c r="L18">
        <v>15</v>
      </c>
      <c r="N18">
        <v>2011</v>
      </c>
      <c r="O18">
        <v>14.346666666666666</v>
      </c>
      <c r="P18">
        <v>12.276666666666667</v>
      </c>
      <c r="Q18">
        <v>15</v>
      </c>
    </row>
    <row r="19" spans="1:17" ht="15" customHeight="1" x14ac:dyDescent="0.3">
      <c r="A19" s="42" t="s">
        <v>100</v>
      </c>
      <c r="B19" s="43">
        <v>34953</v>
      </c>
      <c r="C19" s="42" t="s">
        <v>31</v>
      </c>
      <c r="D19" s="44">
        <v>22.16</v>
      </c>
      <c r="E19" s="44">
        <v>22.223099999999999</v>
      </c>
      <c r="F19">
        <v>1995</v>
      </c>
      <c r="I19" s="9">
        <v>2011</v>
      </c>
      <c r="J19">
        <v>14.346666666666666</v>
      </c>
      <c r="K19">
        <v>12.276666666666667</v>
      </c>
      <c r="L19">
        <v>15</v>
      </c>
      <c r="N19">
        <v>2012</v>
      </c>
      <c r="O19">
        <v>15.657999999999999</v>
      </c>
      <c r="P19">
        <v>14.160666666666666</v>
      </c>
      <c r="Q19">
        <v>15</v>
      </c>
    </row>
    <row r="20" spans="1:17" ht="15" customHeight="1" x14ac:dyDescent="0.3">
      <c r="A20" s="42" t="s">
        <v>101</v>
      </c>
      <c r="B20" s="43">
        <v>34976</v>
      </c>
      <c r="C20" s="42" t="s">
        <v>31</v>
      </c>
      <c r="D20" s="44">
        <v>20.05</v>
      </c>
      <c r="E20" s="44">
        <v>19.73</v>
      </c>
      <c r="F20">
        <v>1995</v>
      </c>
      <c r="I20" s="9">
        <v>2012</v>
      </c>
      <c r="J20">
        <v>15.657999999999999</v>
      </c>
      <c r="K20">
        <v>14.160666666666666</v>
      </c>
      <c r="L20">
        <v>15</v>
      </c>
      <c r="N20">
        <v>2013</v>
      </c>
      <c r="O20">
        <v>14.936249999999998</v>
      </c>
      <c r="P20">
        <v>12.928750000000001</v>
      </c>
      <c r="Q20">
        <v>16</v>
      </c>
    </row>
    <row r="21" spans="1:17" ht="15" customHeight="1" x14ac:dyDescent="0.3">
      <c r="A21" s="42" t="s">
        <v>102</v>
      </c>
      <c r="B21" s="43">
        <v>35004</v>
      </c>
      <c r="C21" s="42" t="s">
        <v>31</v>
      </c>
      <c r="D21" s="44">
        <v>16.579999999999998</v>
      </c>
      <c r="E21" s="44">
        <v>16.59</v>
      </c>
      <c r="F21">
        <v>1995</v>
      </c>
      <c r="I21" s="9">
        <v>2013</v>
      </c>
      <c r="J21">
        <v>14.936249999999998</v>
      </c>
      <c r="K21">
        <v>12.928750000000001</v>
      </c>
      <c r="L21">
        <v>16</v>
      </c>
      <c r="N21">
        <v>2014</v>
      </c>
      <c r="O21">
        <v>13.759333333333334</v>
      </c>
      <c r="P21">
        <v>12.018666666666665</v>
      </c>
      <c r="Q21">
        <v>15</v>
      </c>
    </row>
    <row r="22" spans="1:17" ht="15" customHeight="1" x14ac:dyDescent="0.3">
      <c r="A22" s="42" t="s">
        <v>103</v>
      </c>
      <c r="B22" s="43">
        <v>35040</v>
      </c>
      <c r="C22" s="42" t="s">
        <v>31</v>
      </c>
      <c r="D22" s="44">
        <v>8.82</v>
      </c>
      <c r="E22" s="44">
        <v>8.89</v>
      </c>
      <c r="F22">
        <v>1995</v>
      </c>
      <c r="I22" s="9">
        <v>2014</v>
      </c>
      <c r="J22">
        <v>13.759333333333334</v>
      </c>
      <c r="K22">
        <v>12.018666666666665</v>
      </c>
      <c r="L22">
        <v>15</v>
      </c>
      <c r="N22">
        <v>2015</v>
      </c>
      <c r="O22">
        <v>14.167499999999999</v>
      </c>
      <c r="P22">
        <v>12.310625</v>
      </c>
      <c r="Q22">
        <v>16</v>
      </c>
    </row>
    <row r="23" spans="1:17" ht="15" customHeight="1" x14ac:dyDescent="0.3">
      <c r="A23" s="42" t="s">
        <v>104</v>
      </c>
      <c r="B23" s="43">
        <v>35104</v>
      </c>
      <c r="C23" s="42" t="s">
        <v>31</v>
      </c>
      <c r="D23" s="44">
        <v>0.05</v>
      </c>
      <c r="E23" s="44">
        <v>0.49</v>
      </c>
      <c r="F23">
        <v>1996</v>
      </c>
      <c r="I23" s="9">
        <v>2015</v>
      </c>
      <c r="J23">
        <v>14.167499999999999</v>
      </c>
      <c r="K23">
        <v>12.310625</v>
      </c>
      <c r="L23">
        <v>16</v>
      </c>
      <c r="N23">
        <v>2016</v>
      </c>
      <c r="O23">
        <v>16.087499999999999</v>
      </c>
      <c r="P23">
        <v>13.841333333333331</v>
      </c>
      <c r="Q23">
        <v>16</v>
      </c>
    </row>
    <row r="24" spans="1:17" ht="15" customHeight="1" x14ac:dyDescent="0.3">
      <c r="A24" s="42" t="s">
        <v>105</v>
      </c>
      <c r="B24" s="43">
        <v>35129</v>
      </c>
      <c r="C24" s="42" t="s">
        <v>31</v>
      </c>
      <c r="D24" s="44">
        <v>0.92</v>
      </c>
      <c r="E24" s="44">
        <v>0.63</v>
      </c>
      <c r="F24">
        <v>1996</v>
      </c>
      <c r="I24" s="9">
        <v>2016</v>
      </c>
      <c r="J24">
        <v>16.087499999999999</v>
      </c>
      <c r="K24">
        <v>13.841333333333331</v>
      </c>
      <c r="L24">
        <v>16</v>
      </c>
      <c r="N24">
        <v>2017</v>
      </c>
      <c r="O24">
        <v>14.841333333333331</v>
      </c>
      <c r="P24">
        <v>12.688666666666666</v>
      </c>
      <c r="Q24">
        <v>15</v>
      </c>
    </row>
    <row r="25" spans="1:17" ht="15" customHeight="1" x14ac:dyDescent="0.3">
      <c r="A25" s="42" t="s">
        <v>106</v>
      </c>
      <c r="B25" s="43">
        <v>35158</v>
      </c>
      <c r="C25" s="42" t="s">
        <v>31</v>
      </c>
      <c r="D25" s="44">
        <v>3.44</v>
      </c>
      <c r="E25" s="44">
        <v>2.2200000000000002</v>
      </c>
      <c r="F25">
        <v>1996</v>
      </c>
      <c r="I25" s="9">
        <v>2017</v>
      </c>
      <c r="J25">
        <v>14.841333333333331</v>
      </c>
      <c r="K25">
        <v>12.688666666666666</v>
      </c>
      <c r="L25">
        <v>15</v>
      </c>
      <c r="N25">
        <v>2018</v>
      </c>
      <c r="O25">
        <v>14.732499999999998</v>
      </c>
      <c r="P25">
        <v>12.38</v>
      </c>
      <c r="Q25">
        <v>16</v>
      </c>
    </row>
    <row r="26" spans="1:17" ht="15" customHeight="1" x14ac:dyDescent="0.3">
      <c r="A26" s="42" t="s">
        <v>107</v>
      </c>
      <c r="B26" s="43">
        <v>35198</v>
      </c>
      <c r="C26" s="42" t="s">
        <v>31</v>
      </c>
      <c r="D26" s="44">
        <v>10.01</v>
      </c>
      <c r="E26" s="44">
        <v>7.88</v>
      </c>
      <c r="F26">
        <v>1996</v>
      </c>
      <c r="I26" s="9">
        <v>2018</v>
      </c>
      <c r="J26">
        <v>14.732499999999998</v>
      </c>
      <c r="K26">
        <v>12.38</v>
      </c>
      <c r="L26">
        <v>16</v>
      </c>
      <c r="N26">
        <v>2019</v>
      </c>
      <c r="O26">
        <v>14.591249999999997</v>
      </c>
      <c r="P26">
        <v>12.778749999999999</v>
      </c>
      <c r="Q26">
        <v>16</v>
      </c>
    </row>
    <row r="27" spans="1:17" ht="15" customHeight="1" x14ac:dyDescent="0.3">
      <c r="A27" s="42" t="s">
        <v>108</v>
      </c>
      <c r="B27" s="43">
        <v>35219</v>
      </c>
      <c r="C27" s="42" t="s">
        <v>31</v>
      </c>
      <c r="D27" s="44">
        <v>14.43</v>
      </c>
      <c r="E27" s="44">
        <v>9.57</v>
      </c>
      <c r="F27">
        <v>1996</v>
      </c>
      <c r="I27" s="9">
        <v>2019</v>
      </c>
      <c r="J27">
        <v>14.591249999999997</v>
      </c>
      <c r="K27">
        <v>12.778749999999999</v>
      </c>
      <c r="L27">
        <v>16</v>
      </c>
      <c r="N27">
        <v>2020</v>
      </c>
      <c r="O27">
        <v>16.738181818181818</v>
      </c>
      <c r="P27">
        <v>14.540909090909089</v>
      </c>
      <c r="Q27">
        <v>11</v>
      </c>
    </row>
    <row r="28" spans="1:17" ht="15" customHeight="1" x14ac:dyDescent="0.3">
      <c r="A28" s="42" t="s">
        <v>109</v>
      </c>
      <c r="B28" s="43">
        <v>35243</v>
      </c>
      <c r="C28" s="42" t="s">
        <v>31</v>
      </c>
      <c r="D28" s="44">
        <v>18.98</v>
      </c>
      <c r="E28" s="44">
        <v>12.54</v>
      </c>
      <c r="F28">
        <v>1996</v>
      </c>
      <c r="I28" s="9">
        <v>2020</v>
      </c>
      <c r="J28">
        <v>16.738181818181818</v>
      </c>
      <c r="K28">
        <v>14.540909090909089</v>
      </c>
      <c r="L28">
        <v>11</v>
      </c>
      <c r="N28">
        <v>2021</v>
      </c>
      <c r="O28">
        <v>17.243571428571425</v>
      </c>
      <c r="P28">
        <v>14.77</v>
      </c>
      <c r="Q28">
        <v>14</v>
      </c>
    </row>
    <row r="29" spans="1:17" ht="15" customHeight="1" x14ac:dyDescent="0.3">
      <c r="A29" s="42" t="s">
        <v>110</v>
      </c>
      <c r="B29" s="43">
        <v>35255</v>
      </c>
      <c r="C29" s="42" t="s">
        <v>31</v>
      </c>
      <c r="D29" s="44">
        <v>18.59</v>
      </c>
      <c r="E29" s="46">
        <v>15.43</v>
      </c>
      <c r="F29">
        <v>1996</v>
      </c>
      <c r="I29" s="9">
        <v>2021</v>
      </c>
      <c r="J29">
        <v>17.243571428571425</v>
      </c>
      <c r="K29">
        <v>14.77</v>
      </c>
      <c r="L29">
        <v>14</v>
      </c>
      <c r="N29">
        <v>2022</v>
      </c>
      <c r="O29">
        <v>15.300000000000002</v>
      </c>
      <c r="P29">
        <v>13.274374999999997</v>
      </c>
      <c r="Q29">
        <v>16</v>
      </c>
    </row>
    <row r="30" spans="1:17" ht="15" customHeight="1" x14ac:dyDescent="0.3">
      <c r="A30" s="42" t="s">
        <v>111</v>
      </c>
      <c r="B30" s="43">
        <v>35271</v>
      </c>
      <c r="C30" s="42" t="s">
        <v>31</v>
      </c>
      <c r="D30" s="44">
        <v>20.55</v>
      </c>
      <c r="E30" s="44">
        <v>17.95</v>
      </c>
      <c r="F30">
        <v>1996</v>
      </c>
      <c r="I30" s="9">
        <v>2022</v>
      </c>
      <c r="J30">
        <v>15.300000000000002</v>
      </c>
      <c r="K30">
        <v>13.274374999999997</v>
      </c>
      <c r="L30">
        <v>16</v>
      </c>
      <c r="N30">
        <v>2023</v>
      </c>
      <c r="O30">
        <v>16.247692307692304</v>
      </c>
      <c r="P30">
        <v>13.826153846153847</v>
      </c>
      <c r="Q30">
        <v>13</v>
      </c>
    </row>
    <row r="31" spans="1:17" ht="15" customHeight="1" x14ac:dyDescent="0.3">
      <c r="A31" s="42" t="s">
        <v>112</v>
      </c>
      <c r="B31" s="43">
        <v>35285</v>
      </c>
      <c r="C31" s="42" t="s">
        <v>31</v>
      </c>
      <c r="D31" s="44">
        <v>22.27</v>
      </c>
      <c r="E31" s="46">
        <v>18.899999999999999</v>
      </c>
      <c r="F31">
        <v>1996</v>
      </c>
      <c r="I31" s="9">
        <v>2023</v>
      </c>
      <c r="J31">
        <v>16.247692307692304</v>
      </c>
      <c r="K31">
        <v>13.826153846153847</v>
      </c>
      <c r="L31">
        <v>13</v>
      </c>
      <c r="N31">
        <v>2024</v>
      </c>
      <c r="O31">
        <v>14.306666666666668</v>
      </c>
      <c r="P31">
        <v>12.078666666666667</v>
      </c>
      <c r="Q31">
        <v>15</v>
      </c>
    </row>
    <row r="32" spans="1:17" ht="15" customHeight="1" x14ac:dyDescent="0.3">
      <c r="A32" s="42" t="s">
        <v>113</v>
      </c>
      <c r="B32" s="43">
        <v>35299</v>
      </c>
      <c r="C32" s="42" t="s">
        <v>31</v>
      </c>
      <c r="D32" s="44">
        <v>22.85</v>
      </c>
      <c r="E32" s="44">
        <v>19.41</v>
      </c>
      <c r="F32">
        <v>1996</v>
      </c>
      <c r="I32" s="9">
        <v>2024</v>
      </c>
      <c r="J32">
        <v>14.306666666666668</v>
      </c>
      <c r="K32">
        <v>12.078666666666667</v>
      </c>
      <c r="L32">
        <v>15</v>
      </c>
      <c r="N32" t="s">
        <v>517</v>
      </c>
      <c r="O32">
        <v>14.913959276018108</v>
      </c>
      <c r="P32">
        <v>12.709531322505796</v>
      </c>
      <c r="Q32">
        <v>446</v>
      </c>
    </row>
    <row r="33" spans="1:12" ht="15" customHeight="1" x14ac:dyDescent="0.3">
      <c r="A33" s="42" t="s">
        <v>114</v>
      </c>
      <c r="B33" s="43">
        <v>35314</v>
      </c>
      <c r="C33" s="42" t="s">
        <v>31</v>
      </c>
      <c r="D33" s="44">
        <v>23.16</v>
      </c>
      <c r="E33" s="44">
        <v>20.63</v>
      </c>
      <c r="F33">
        <v>1996</v>
      </c>
      <c r="I33" s="9" t="s">
        <v>517</v>
      </c>
      <c r="J33">
        <v>14.913959276018108</v>
      </c>
      <c r="K33">
        <v>12.709531322505796</v>
      </c>
      <c r="L33">
        <v>446</v>
      </c>
    </row>
    <row r="34" spans="1:12" ht="15" customHeight="1" x14ac:dyDescent="0.3">
      <c r="A34" s="42" t="s">
        <v>115</v>
      </c>
      <c r="B34" s="43">
        <v>35342</v>
      </c>
      <c r="C34" s="42" t="s">
        <v>31</v>
      </c>
      <c r="D34" s="44">
        <v>19.149999999999999</v>
      </c>
      <c r="E34" s="44">
        <v>19.57</v>
      </c>
      <c r="F34">
        <v>1996</v>
      </c>
    </row>
    <row r="35" spans="1:12" ht="15" customHeight="1" x14ac:dyDescent="0.3">
      <c r="A35" s="42" t="s">
        <v>116</v>
      </c>
      <c r="B35" s="43">
        <v>35374</v>
      </c>
      <c r="C35" s="42" t="s">
        <v>31</v>
      </c>
      <c r="D35" s="44">
        <v>14</v>
      </c>
      <c r="E35" s="44">
        <v>14.09</v>
      </c>
      <c r="F35">
        <v>1996</v>
      </c>
    </row>
    <row r="36" spans="1:12" ht="15" customHeight="1" x14ac:dyDescent="0.3">
      <c r="A36" s="42" t="s">
        <v>117</v>
      </c>
      <c r="B36" s="43">
        <v>35409</v>
      </c>
      <c r="C36" s="42" t="s">
        <v>31</v>
      </c>
      <c r="D36" s="44">
        <v>7.15</v>
      </c>
      <c r="E36" s="44">
        <v>8.4700000000000006</v>
      </c>
      <c r="F36">
        <v>1996</v>
      </c>
    </row>
    <row r="37" spans="1:12" ht="15" customHeight="1" x14ac:dyDescent="0.3">
      <c r="A37" s="42" t="s">
        <v>118</v>
      </c>
      <c r="B37" s="43">
        <v>35465</v>
      </c>
      <c r="C37" s="42" t="s">
        <v>31</v>
      </c>
      <c r="D37" s="44">
        <v>2.02</v>
      </c>
      <c r="E37" s="44">
        <v>2.2799999999999998</v>
      </c>
      <c r="F37">
        <v>1997</v>
      </c>
    </row>
    <row r="38" spans="1:12" ht="15" customHeight="1" x14ac:dyDescent="0.3">
      <c r="A38" s="42" t="s">
        <v>119</v>
      </c>
      <c r="B38" s="43">
        <v>35493</v>
      </c>
      <c r="C38" s="42" t="s">
        <v>31</v>
      </c>
      <c r="D38" s="44">
        <v>3</v>
      </c>
      <c r="E38" s="44">
        <v>3</v>
      </c>
      <c r="F38">
        <v>1997</v>
      </c>
    </row>
    <row r="39" spans="1:12" ht="15" customHeight="1" x14ac:dyDescent="0.3">
      <c r="A39" s="42" t="s">
        <v>120</v>
      </c>
      <c r="B39" s="43">
        <v>35522</v>
      </c>
      <c r="C39" s="42" t="s">
        <v>31</v>
      </c>
      <c r="D39" s="44">
        <v>4.54</v>
      </c>
      <c r="E39" s="44">
        <v>4.2</v>
      </c>
      <c r="F39">
        <v>1997</v>
      </c>
    </row>
    <row r="40" spans="1:12" ht="15" customHeight="1" x14ac:dyDescent="0.3">
      <c r="A40" s="42" t="s">
        <v>121</v>
      </c>
      <c r="B40" s="43">
        <v>35558</v>
      </c>
      <c r="C40" s="42" t="s">
        <v>31</v>
      </c>
      <c r="D40" s="44">
        <v>8.7799999999999994</v>
      </c>
      <c r="E40" s="44">
        <v>8.2899999999999991</v>
      </c>
      <c r="F40">
        <v>1997</v>
      </c>
    </row>
    <row r="41" spans="1:12" ht="15" customHeight="1" x14ac:dyDescent="0.3">
      <c r="A41" s="42" t="s">
        <v>122</v>
      </c>
      <c r="B41" s="43">
        <v>35586</v>
      </c>
      <c r="C41" s="42" t="s">
        <v>31</v>
      </c>
      <c r="D41" s="44">
        <v>13.01</v>
      </c>
      <c r="E41" s="44">
        <v>11.86</v>
      </c>
      <c r="F41">
        <v>1997</v>
      </c>
    </row>
    <row r="42" spans="1:12" ht="15" customHeight="1" x14ac:dyDescent="0.3">
      <c r="A42" s="42" t="s">
        <v>123</v>
      </c>
      <c r="B42" s="43">
        <v>35608</v>
      </c>
      <c r="C42" s="42" t="s">
        <v>31</v>
      </c>
      <c r="D42" s="44">
        <v>18.440000000000001</v>
      </c>
      <c r="E42" s="45"/>
      <c r="F42">
        <v>1997</v>
      </c>
    </row>
    <row r="43" spans="1:12" ht="15" customHeight="1" x14ac:dyDescent="0.3">
      <c r="A43" s="42" t="s">
        <v>124</v>
      </c>
      <c r="B43" s="43">
        <v>35634</v>
      </c>
      <c r="C43" s="42" t="s">
        <v>31</v>
      </c>
      <c r="D43" s="44">
        <v>20.12</v>
      </c>
      <c r="E43" s="45"/>
      <c r="F43">
        <v>1997</v>
      </c>
    </row>
    <row r="44" spans="1:12" ht="15" customHeight="1" x14ac:dyDescent="0.3">
      <c r="A44" s="42" t="s">
        <v>125</v>
      </c>
      <c r="B44" s="43">
        <v>35646</v>
      </c>
      <c r="C44" s="42" t="s">
        <v>31</v>
      </c>
      <c r="D44" s="44">
        <v>22.07</v>
      </c>
      <c r="E44" s="44">
        <v>18.61</v>
      </c>
      <c r="F44">
        <v>1997</v>
      </c>
    </row>
    <row r="45" spans="1:12" ht="15" customHeight="1" x14ac:dyDescent="0.3">
      <c r="A45" s="42" t="s">
        <v>126</v>
      </c>
      <c r="B45" s="43">
        <v>35664</v>
      </c>
      <c r="C45" s="42" t="s">
        <v>31</v>
      </c>
      <c r="D45" s="44">
        <v>21.22</v>
      </c>
      <c r="E45" s="46">
        <v>20.39</v>
      </c>
      <c r="F45">
        <v>1997</v>
      </c>
    </row>
    <row r="46" spans="1:12" ht="15" customHeight="1" x14ac:dyDescent="0.3">
      <c r="A46" s="42" t="s">
        <v>127</v>
      </c>
      <c r="B46" s="43">
        <v>35678</v>
      </c>
      <c r="C46" s="42" t="s">
        <v>31</v>
      </c>
      <c r="D46" s="44">
        <v>21.6</v>
      </c>
      <c r="E46" s="44">
        <v>20.93</v>
      </c>
      <c r="F46">
        <v>1997</v>
      </c>
    </row>
    <row r="47" spans="1:12" ht="15" customHeight="1" x14ac:dyDescent="0.3">
      <c r="A47" s="42" t="s">
        <v>128</v>
      </c>
      <c r="B47" s="43">
        <v>35710</v>
      </c>
      <c r="C47" s="42" t="s">
        <v>31</v>
      </c>
      <c r="D47" s="44">
        <v>19</v>
      </c>
      <c r="E47" s="46">
        <v>19.03</v>
      </c>
      <c r="F47">
        <v>1997</v>
      </c>
    </row>
    <row r="48" spans="1:12" ht="15" customHeight="1" x14ac:dyDescent="0.3">
      <c r="A48" s="42" t="s">
        <v>129</v>
      </c>
      <c r="B48" s="43">
        <v>35738</v>
      </c>
      <c r="C48" s="42" t="s">
        <v>31</v>
      </c>
      <c r="D48" s="44">
        <v>14.76</v>
      </c>
      <c r="E48" s="44">
        <v>14.89</v>
      </c>
      <c r="F48">
        <v>1997</v>
      </c>
    </row>
    <row r="49" spans="1:6" ht="15" customHeight="1" x14ac:dyDescent="0.3">
      <c r="A49" s="42" t="s">
        <v>130</v>
      </c>
      <c r="B49" s="43">
        <v>35773</v>
      </c>
      <c r="C49" s="42" t="s">
        <v>31</v>
      </c>
      <c r="D49" s="45"/>
      <c r="E49" s="45"/>
      <c r="F49">
        <v>1997</v>
      </c>
    </row>
    <row r="50" spans="1:6" ht="15" customHeight="1" x14ac:dyDescent="0.3">
      <c r="A50" s="42" t="s">
        <v>131</v>
      </c>
      <c r="B50" s="43">
        <v>35803</v>
      </c>
      <c r="C50" s="42" t="s">
        <v>31</v>
      </c>
      <c r="D50" s="44">
        <v>5.07</v>
      </c>
      <c r="E50" s="44">
        <v>5.05</v>
      </c>
      <c r="F50">
        <v>1998</v>
      </c>
    </row>
    <row r="51" spans="1:6" ht="15" customHeight="1" x14ac:dyDescent="0.3">
      <c r="A51" s="42" t="s">
        <v>132</v>
      </c>
      <c r="B51" s="43">
        <v>35828</v>
      </c>
      <c r="C51" s="42" t="s">
        <v>31</v>
      </c>
      <c r="D51" s="45"/>
      <c r="E51" s="45"/>
      <c r="F51">
        <v>1998</v>
      </c>
    </row>
    <row r="52" spans="1:6" ht="15" customHeight="1" x14ac:dyDescent="0.3">
      <c r="A52" s="42" t="s">
        <v>134</v>
      </c>
      <c r="B52" s="43">
        <v>35857</v>
      </c>
      <c r="C52" s="42" t="s">
        <v>31</v>
      </c>
      <c r="D52" s="44">
        <v>4.21</v>
      </c>
      <c r="E52" s="44">
        <v>3.92</v>
      </c>
      <c r="F52">
        <v>1998</v>
      </c>
    </row>
    <row r="53" spans="1:6" ht="15" customHeight="1" x14ac:dyDescent="0.3">
      <c r="A53" s="42" t="s">
        <v>136</v>
      </c>
      <c r="B53" s="43">
        <v>35900</v>
      </c>
      <c r="C53" s="42" t="s">
        <v>31</v>
      </c>
      <c r="D53" s="44">
        <v>7.97</v>
      </c>
      <c r="E53" s="44">
        <v>6.11</v>
      </c>
      <c r="F53">
        <v>1998</v>
      </c>
    </row>
    <row r="54" spans="1:6" ht="15" customHeight="1" x14ac:dyDescent="0.3">
      <c r="A54" s="42" t="s">
        <v>138</v>
      </c>
      <c r="B54" s="43">
        <v>35947</v>
      </c>
      <c r="C54" s="42" t="s">
        <v>31</v>
      </c>
      <c r="D54" s="44">
        <v>16.18</v>
      </c>
      <c r="E54" s="44">
        <v>11.45</v>
      </c>
      <c r="F54">
        <v>1998</v>
      </c>
    </row>
    <row r="55" spans="1:6" ht="15" customHeight="1" x14ac:dyDescent="0.3">
      <c r="A55" s="42" t="s">
        <v>139</v>
      </c>
      <c r="B55" s="43">
        <v>35972</v>
      </c>
      <c r="C55" s="42" t="s">
        <v>31</v>
      </c>
      <c r="D55" s="44">
        <v>19.809999999999999</v>
      </c>
      <c r="E55" s="44">
        <v>14.72</v>
      </c>
      <c r="F55">
        <v>1998</v>
      </c>
    </row>
    <row r="56" spans="1:6" ht="15" customHeight="1" x14ac:dyDescent="0.3">
      <c r="A56" s="42" t="s">
        <v>140</v>
      </c>
      <c r="B56" s="43">
        <v>35985</v>
      </c>
      <c r="C56" s="42" t="s">
        <v>31</v>
      </c>
      <c r="D56" s="44">
        <v>20.84</v>
      </c>
      <c r="E56" s="44">
        <v>15.73</v>
      </c>
      <c r="F56">
        <v>1998</v>
      </c>
    </row>
    <row r="57" spans="1:6" ht="15" customHeight="1" x14ac:dyDescent="0.3">
      <c r="A57" s="42" t="s">
        <v>141</v>
      </c>
      <c r="B57" s="43">
        <v>35999</v>
      </c>
      <c r="C57" s="42" t="s">
        <v>31</v>
      </c>
      <c r="D57" s="44">
        <v>21.55</v>
      </c>
      <c r="E57" s="44">
        <v>17.11</v>
      </c>
      <c r="F57">
        <v>1998</v>
      </c>
    </row>
    <row r="58" spans="1:6" ht="15" customHeight="1" x14ac:dyDescent="0.3">
      <c r="A58" s="42" t="s">
        <v>142</v>
      </c>
      <c r="B58" s="43">
        <v>36011</v>
      </c>
      <c r="C58" s="42" t="s">
        <v>31</v>
      </c>
      <c r="D58" s="44">
        <v>22.26</v>
      </c>
      <c r="E58" s="44">
        <v>18.82</v>
      </c>
      <c r="F58">
        <v>1998</v>
      </c>
    </row>
    <row r="59" spans="1:6" ht="15" customHeight="1" x14ac:dyDescent="0.3">
      <c r="A59" s="42" t="s">
        <v>143</v>
      </c>
      <c r="B59" s="43">
        <v>36025</v>
      </c>
      <c r="C59" s="42" t="s">
        <v>31</v>
      </c>
      <c r="D59" s="44">
        <v>23.12</v>
      </c>
      <c r="E59" s="44">
        <v>20.41</v>
      </c>
      <c r="F59">
        <v>1998</v>
      </c>
    </row>
    <row r="60" spans="1:6" ht="15" customHeight="1" x14ac:dyDescent="0.3">
      <c r="A60" s="42" t="s">
        <v>144</v>
      </c>
      <c r="B60" s="43">
        <v>36041</v>
      </c>
      <c r="C60" s="42" t="s">
        <v>31</v>
      </c>
      <c r="D60" s="44">
        <v>23.32</v>
      </c>
      <c r="E60" s="44">
        <v>21.03</v>
      </c>
      <c r="F60">
        <v>1998</v>
      </c>
    </row>
    <row r="61" spans="1:6" ht="15" customHeight="1" x14ac:dyDescent="0.3">
      <c r="A61" s="42" t="s">
        <v>145</v>
      </c>
      <c r="B61" s="43">
        <v>36054</v>
      </c>
      <c r="C61" s="42" t="s">
        <v>31</v>
      </c>
      <c r="D61" s="44">
        <v>22.1</v>
      </c>
      <c r="E61" s="45"/>
      <c r="F61">
        <v>1998</v>
      </c>
    </row>
    <row r="62" spans="1:6" ht="15" customHeight="1" x14ac:dyDescent="0.3">
      <c r="A62" s="42" t="s">
        <v>146</v>
      </c>
      <c r="B62" s="43">
        <v>36075</v>
      </c>
      <c r="C62" s="42" t="s">
        <v>31</v>
      </c>
      <c r="D62" s="44">
        <v>19.510000000000002</v>
      </c>
      <c r="E62" s="44">
        <v>20.059999999999999</v>
      </c>
      <c r="F62">
        <v>1998</v>
      </c>
    </row>
    <row r="63" spans="1:6" ht="15" customHeight="1" x14ac:dyDescent="0.3">
      <c r="A63" s="42" t="s">
        <v>147</v>
      </c>
      <c r="B63" s="43">
        <v>36105</v>
      </c>
      <c r="C63" s="42" t="s">
        <v>31</v>
      </c>
      <c r="D63" s="44">
        <v>14.51</v>
      </c>
      <c r="E63" s="44">
        <v>14.56</v>
      </c>
      <c r="F63">
        <v>1998</v>
      </c>
    </row>
    <row r="64" spans="1:6" ht="15" customHeight="1" x14ac:dyDescent="0.3">
      <c r="A64" s="42" t="s">
        <v>148</v>
      </c>
      <c r="B64" s="43">
        <v>36132</v>
      </c>
      <c r="C64" s="42" t="s">
        <v>31</v>
      </c>
      <c r="D64" s="44">
        <v>10.81</v>
      </c>
      <c r="E64" s="44">
        <v>10.81</v>
      </c>
      <c r="F64">
        <v>1998</v>
      </c>
    </row>
    <row r="65" spans="1:6" ht="15" customHeight="1" x14ac:dyDescent="0.3">
      <c r="A65" s="42" t="s">
        <v>149</v>
      </c>
      <c r="B65" s="43">
        <v>36168</v>
      </c>
      <c r="C65" s="42" t="s">
        <v>31</v>
      </c>
      <c r="D65" s="44">
        <v>5.0999999999999996</v>
      </c>
      <c r="E65" s="44">
        <v>5.2</v>
      </c>
      <c r="F65">
        <v>1999</v>
      </c>
    </row>
    <row r="66" spans="1:6" ht="15" customHeight="1" x14ac:dyDescent="0.3">
      <c r="A66" s="42" t="s">
        <v>150</v>
      </c>
      <c r="B66" s="43">
        <v>36194</v>
      </c>
      <c r="C66" s="42" t="s">
        <v>31</v>
      </c>
      <c r="D66" s="44">
        <v>3.12</v>
      </c>
      <c r="E66" s="44">
        <v>3.27</v>
      </c>
      <c r="F66">
        <v>1999</v>
      </c>
    </row>
    <row r="67" spans="1:6" ht="15" customHeight="1" x14ac:dyDescent="0.3">
      <c r="A67" s="42" t="s">
        <v>152</v>
      </c>
      <c r="B67" s="43">
        <v>36228</v>
      </c>
      <c r="C67" s="42" t="s">
        <v>31</v>
      </c>
      <c r="D67" s="44">
        <v>2.9</v>
      </c>
      <c r="E67" s="44">
        <v>3.02</v>
      </c>
      <c r="F67">
        <v>1999</v>
      </c>
    </row>
    <row r="68" spans="1:6" ht="15" customHeight="1" x14ac:dyDescent="0.3">
      <c r="A68" s="42" t="s">
        <v>154</v>
      </c>
      <c r="B68" s="43">
        <v>36258</v>
      </c>
      <c r="C68" s="42" t="s">
        <v>31</v>
      </c>
      <c r="D68" s="44">
        <v>6.61</v>
      </c>
      <c r="E68" s="44">
        <v>4.4400000000000004</v>
      </c>
      <c r="F68">
        <v>1999</v>
      </c>
    </row>
    <row r="69" spans="1:6" ht="15" customHeight="1" x14ac:dyDescent="0.3">
      <c r="A69" s="42" t="s">
        <v>155</v>
      </c>
      <c r="B69" s="43">
        <v>36287</v>
      </c>
      <c r="C69" s="42" t="s">
        <v>31</v>
      </c>
      <c r="D69" s="44">
        <v>11.03</v>
      </c>
      <c r="E69" s="44">
        <v>7.97</v>
      </c>
      <c r="F69">
        <v>1999</v>
      </c>
    </row>
    <row r="70" spans="1:6" ht="15" customHeight="1" x14ac:dyDescent="0.3">
      <c r="A70" s="42" t="s">
        <v>156</v>
      </c>
      <c r="B70" s="43">
        <v>36312</v>
      </c>
      <c r="C70" s="42" t="s">
        <v>31</v>
      </c>
      <c r="D70" s="44">
        <v>18.43</v>
      </c>
      <c r="E70" s="44">
        <v>10.84</v>
      </c>
      <c r="F70">
        <v>1999</v>
      </c>
    </row>
    <row r="71" spans="1:6" ht="15" customHeight="1" x14ac:dyDescent="0.3">
      <c r="A71" s="42" t="s">
        <v>157</v>
      </c>
      <c r="B71" s="43">
        <v>36336</v>
      </c>
      <c r="C71" s="42" t="s">
        <v>31</v>
      </c>
      <c r="D71" s="44">
        <v>18.86</v>
      </c>
      <c r="E71" s="44">
        <v>14.53</v>
      </c>
      <c r="F71">
        <v>1999</v>
      </c>
    </row>
    <row r="72" spans="1:6" ht="15" customHeight="1" x14ac:dyDescent="0.3">
      <c r="A72" s="42" t="s">
        <v>158</v>
      </c>
      <c r="B72" s="43">
        <v>36349</v>
      </c>
      <c r="C72" s="42" t="s">
        <v>31</v>
      </c>
      <c r="D72" s="44">
        <v>20.56</v>
      </c>
      <c r="E72" s="44">
        <v>17.54</v>
      </c>
      <c r="F72">
        <v>1999</v>
      </c>
    </row>
    <row r="73" spans="1:6" ht="15" customHeight="1" x14ac:dyDescent="0.3">
      <c r="A73" s="42" t="s">
        <v>159</v>
      </c>
      <c r="B73" s="43">
        <v>36363</v>
      </c>
      <c r="C73" s="42" t="s">
        <v>31</v>
      </c>
      <c r="D73" s="44">
        <v>22.23</v>
      </c>
      <c r="E73" s="44">
        <v>18.87</v>
      </c>
      <c r="F73">
        <v>1999</v>
      </c>
    </row>
    <row r="74" spans="1:6" ht="15" customHeight="1" x14ac:dyDescent="0.3">
      <c r="A74" s="42" t="s">
        <v>160</v>
      </c>
      <c r="B74" s="43">
        <v>36377</v>
      </c>
      <c r="C74" s="42" t="s">
        <v>31</v>
      </c>
      <c r="D74" s="44">
        <v>23.67</v>
      </c>
      <c r="E74" s="44">
        <v>20.25</v>
      </c>
      <c r="F74">
        <v>1999</v>
      </c>
    </row>
    <row r="75" spans="1:6" ht="15" customHeight="1" x14ac:dyDescent="0.3">
      <c r="A75" s="42" t="s">
        <v>161</v>
      </c>
      <c r="B75" s="43">
        <v>36391</v>
      </c>
      <c r="C75" s="42" t="s">
        <v>31</v>
      </c>
      <c r="D75" s="44">
        <v>23.39</v>
      </c>
      <c r="E75" s="44">
        <v>21.28</v>
      </c>
      <c r="F75">
        <v>1999</v>
      </c>
    </row>
    <row r="76" spans="1:6" ht="15" customHeight="1" x14ac:dyDescent="0.3">
      <c r="A76" s="42" t="s">
        <v>162</v>
      </c>
      <c r="B76" s="43">
        <v>36404</v>
      </c>
      <c r="C76" s="42" t="s">
        <v>31</v>
      </c>
      <c r="D76" s="44">
        <v>22.12</v>
      </c>
      <c r="E76" s="44">
        <v>21.96</v>
      </c>
      <c r="F76">
        <v>1999</v>
      </c>
    </row>
    <row r="77" spans="1:6" ht="15" customHeight="1" x14ac:dyDescent="0.3">
      <c r="A77" s="42" t="s">
        <v>163</v>
      </c>
      <c r="B77" s="43">
        <v>36432</v>
      </c>
      <c r="C77" s="42" t="s">
        <v>31</v>
      </c>
      <c r="D77" s="46">
        <v>20.87</v>
      </c>
      <c r="E77" s="46">
        <v>20.83</v>
      </c>
      <c r="F77">
        <v>1999</v>
      </c>
    </row>
    <row r="78" spans="1:6" ht="15" customHeight="1" x14ac:dyDescent="0.3">
      <c r="A78" s="42" t="s">
        <v>164</v>
      </c>
      <c r="B78" s="43">
        <v>36466</v>
      </c>
      <c r="C78" s="42" t="s">
        <v>31</v>
      </c>
      <c r="D78" s="44">
        <v>15.89</v>
      </c>
      <c r="E78" s="44">
        <v>16.43</v>
      </c>
      <c r="F78">
        <v>1999</v>
      </c>
    </row>
    <row r="79" spans="1:6" ht="15" customHeight="1" x14ac:dyDescent="0.3">
      <c r="A79" s="42" t="s">
        <v>165</v>
      </c>
      <c r="B79" s="43">
        <v>36503</v>
      </c>
      <c r="C79" s="42" t="s">
        <v>31</v>
      </c>
      <c r="D79" s="44">
        <v>9.7100000000000009</v>
      </c>
      <c r="E79" s="44">
        <v>10.14</v>
      </c>
      <c r="F79">
        <v>1999</v>
      </c>
    </row>
    <row r="80" spans="1:6" ht="15" customHeight="1" x14ac:dyDescent="0.3">
      <c r="A80" s="42" t="s">
        <v>166</v>
      </c>
      <c r="B80" s="43">
        <v>36532</v>
      </c>
      <c r="C80" s="42" t="s">
        <v>31</v>
      </c>
      <c r="D80" s="44">
        <v>5.96</v>
      </c>
      <c r="E80" s="44">
        <v>6.14</v>
      </c>
      <c r="F80">
        <v>2000</v>
      </c>
    </row>
    <row r="81" spans="1:6" ht="15" customHeight="1" x14ac:dyDescent="0.3">
      <c r="A81" s="42" t="s">
        <v>167</v>
      </c>
      <c r="B81" s="43">
        <v>36560</v>
      </c>
      <c r="C81" s="42" t="s">
        <v>31</v>
      </c>
      <c r="D81" s="44">
        <v>0.49</v>
      </c>
      <c r="E81" s="44">
        <v>1.1499999999999999</v>
      </c>
      <c r="F81">
        <v>2000</v>
      </c>
    </row>
    <row r="82" spans="1:6" ht="15" customHeight="1" x14ac:dyDescent="0.3">
      <c r="A82" s="42" t="s">
        <v>169</v>
      </c>
      <c r="B82" s="43">
        <v>36600</v>
      </c>
      <c r="C82" s="42" t="s">
        <v>31</v>
      </c>
      <c r="D82" s="44">
        <v>3.67</v>
      </c>
      <c r="E82" s="44">
        <v>2.75</v>
      </c>
      <c r="F82">
        <v>2000</v>
      </c>
    </row>
    <row r="83" spans="1:6" ht="15" customHeight="1" x14ac:dyDescent="0.3">
      <c r="A83" s="42" t="s">
        <v>171</v>
      </c>
      <c r="B83" s="43">
        <v>36626</v>
      </c>
      <c r="C83" s="42" t="s">
        <v>31</v>
      </c>
      <c r="D83" s="44">
        <v>6.13</v>
      </c>
      <c r="E83" s="44">
        <v>5.84</v>
      </c>
      <c r="F83">
        <v>2000</v>
      </c>
    </row>
    <row r="84" spans="1:6" ht="15" customHeight="1" x14ac:dyDescent="0.3">
      <c r="A84" s="42" t="s">
        <v>172</v>
      </c>
      <c r="B84" s="43">
        <v>36648</v>
      </c>
      <c r="C84" s="42" t="s">
        <v>31</v>
      </c>
      <c r="D84" s="44">
        <v>9.52</v>
      </c>
      <c r="E84" s="44">
        <v>7.29</v>
      </c>
      <c r="F84">
        <v>2000</v>
      </c>
    </row>
    <row r="85" spans="1:6" ht="15" customHeight="1" x14ac:dyDescent="0.3">
      <c r="A85" s="42" t="s">
        <v>173</v>
      </c>
      <c r="B85" s="43">
        <v>36679</v>
      </c>
      <c r="C85" s="42" t="s">
        <v>31</v>
      </c>
      <c r="D85" s="44">
        <v>15.89</v>
      </c>
      <c r="E85" s="44">
        <v>11.24</v>
      </c>
      <c r="F85">
        <v>2000</v>
      </c>
    </row>
    <row r="86" spans="1:6" ht="15" customHeight="1" x14ac:dyDescent="0.3">
      <c r="A86" s="42" t="s">
        <v>174</v>
      </c>
      <c r="B86" s="43">
        <v>36700</v>
      </c>
      <c r="C86" s="42" t="s">
        <v>31</v>
      </c>
      <c r="D86" s="44">
        <v>18.690000000000001</v>
      </c>
      <c r="E86" s="45"/>
      <c r="F86">
        <v>2000</v>
      </c>
    </row>
    <row r="87" spans="1:6" ht="15" customHeight="1" x14ac:dyDescent="0.3">
      <c r="A87" s="42" t="s">
        <v>175</v>
      </c>
      <c r="B87" s="43">
        <v>36714</v>
      </c>
      <c r="C87" s="42" t="s">
        <v>31</v>
      </c>
      <c r="D87" s="44">
        <v>20.32</v>
      </c>
      <c r="E87" s="44">
        <v>15.9</v>
      </c>
      <c r="F87">
        <v>2000</v>
      </c>
    </row>
    <row r="88" spans="1:6" ht="15" customHeight="1" x14ac:dyDescent="0.3">
      <c r="A88" s="42" t="s">
        <v>176</v>
      </c>
      <c r="B88" s="43">
        <v>36728</v>
      </c>
      <c r="C88" s="42" t="s">
        <v>31</v>
      </c>
      <c r="D88" s="44">
        <v>21.02</v>
      </c>
      <c r="E88" s="44">
        <v>17.05</v>
      </c>
      <c r="F88">
        <v>2000</v>
      </c>
    </row>
    <row r="89" spans="1:6" ht="15" customHeight="1" x14ac:dyDescent="0.3">
      <c r="A89" s="42" t="s">
        <v>177</v>
      </c>
      <c r="B89" s="43">
        <v>36741</v>
      </c>
      <c r="C89" s="42" t="s">
        <v>31</v>
      </c>
      <c r="D89" s="44">
        <v>21.39</v>
      </c>
      <c r="E89" s="44">
        <v>19.09</v>
      </c>
      <c r="F89">
        <v>2000</v>
      </c>
    </row>
    <row r="90" spans="1:6" ht="15" customHeight="1" x14ac:dyDescent="0.3">
      <c r="A90" s="42" t="s">
        <v>178</v>
      </c>
      <c r="B90" s="43">
        <v>36755</v>
      </c>
      <c r="C90" s="42" t="s">
        <v>31</v>
      </c>
      <c r="D90" s="44">
        <v>21.92</v>
      </c>
      <c r="E90" s="44">
        <v>20.13</v>
      </c>
      <c r="F90">
        <v>2000</v>
      </c>
    </row>
    <row r="91" spans="1:6" ht="15" customHeight="1" x14ac:dyDescent="0.3">
      <c r="A91" s="42" t="s">
        <v>179</v>
      </c>
      <c r="B91" s="43">
        <v>36770</v>
      </c>
      <c r="C91" s="42" t="s">
        <v>31</v>
      </c>
      <c r="D91" s="44">
        <v>22.18</v>
      </c>
      <c r="E91" s="44">
        <v>20.86</v>
      </c>
      <c r="F91">
        <v>2000</v>
      </c>
    </row>
    <row r="92" spans="1:6" ht="15" customHeight="1" x14ac:dyDescent="0.3">
      <c r="A92" s="42" t="s">
        <v>180</v>
      </c>
      <c r="B92" s="43">
        <v>36801</v>
      </c>
      <c r="C92" s="42" t="s">
        <v>31</v>
      </c>
      <c r="D92" s="44">
        <v>19.59</v>
      </c>
      <c r="E92" s="44">
        <v>19.66</v>
      </c>
      <c r="F92">
        <v>2000</v>
      </c>
    </row>
    <row r="93" spans="1:6" ht="15" customHeight="1" x14ac:dyDescent="0.3">
      <c r="A93" s="42" t="s">
        <v>181</v>
      </c>
      <c r="B93" s="43">
        <v>36843</v>
      </c>
      <c r="C93" s="42" t="s">
        <v>31</v>
      </c>
      <c r="D93" s="44">
        <v>13.39</v>
      </c>
      <c r="E93" s="44">
        <v>13.51</v>
      </c>
      <c r="F93">
        <v>2000</v>
      </c>
    </row>
    <row r="94" spans="1:6" ht="15" customHeight="1" x14ac:dyDescent="0.3">
      <c r="A94" s="42" t="s">
        <v>182</v>
      </c>
      <c r="B94" s="43">
        <v>36865</v>
      </c>
      <c r="C94" s="42" t="s">
        <v>31</v>
      </c>
      <c r="D94" s="44">
        <v>8.6300000000000008</v>
      </c>
      <c r="E94" s="44">
        <v>8.64</v>
      </c>
      <c r="F94">
        <v>2000</v>
      </c>
    </row>
    <row r="95" spans="1:6" ht="15" customHeight="1" x14ac:dyDescent="0.3">
      <c r="A95" s="42" t="s">
        <v>183</v>
      </c>
      <c r="B95" s="43">
        <v>36903</v>
      </c>
      <c r="C95" s="42" t="s">
        <v>31</v>
      </c>
      <c r="D95" s="44">
        <v>2.11</v>
      </c>
      <c r="E95" s="44">
        <v>2.29</v>
      </c>
      <c r="F95">
        <v>2001</v>
      </c>
    </row>
    <row r="96" spans="1:6" ht="15" customHeight="1" x14ac:dyDescent="0.3">
      <c r="A96" s="42" t="s">
        <v>184</v>
      </c>
      <c r="B96" s="43">
        <v>36930</v>
      </c>
      <c r="C96" s="42" t="s">
        <v>31</v>
      </c>
      <c r="D96" s="44">
        <v>1.76</v>
      </c>
      <c r="E96" s="44">
        <v>1.83</v>
      </c>
      <c r="F96">
        <v>2001</v>
      </c>
    </row>
    <row r="97" spans="1:6" ht="15" customHeight="1" x14ac:dyDescent="0.3">
      <c r="A97" s="42" t="s">
        <v>186</v>
      </c>
      <c r="B97" s="43">
        <v>36958</v>
      </c>
      <c r="C97" s="42" t="s">
        <v>31</v>
      </c>
      <c r="D97" s="44">
        <v>1.62</v>
      </c>
      <c r="E97" s="44">
        <v>1.66</v>
      </c>
      <c r="F97">
        <v>2001</v>
      </c>
    </row>
    <row r="98" spans="1:6" ht="15" customHeight="1" x14ac:dyDescent="0.3">
      <c r="A98" s="42" t="s">
        <v>187</v>
      </c>
      <c r="B98" s="43">
        <v>36986</v>
      </c>
      <c r="C98" s="42" t="s">
        <v>31</v>
      </c>
      <c r="D98" s="44">
        <v>4.8099999999999996</v>
      </c>
      <c r="E98" s="44">
        <v>3.19</v>
      </c>
      <c r="F98">
        <v>2001</v>
      </c>
    </row>
    <row r="99" spans="1:6" ht="15" customHeight="1" x14ac:dyDescent="0.3">
      <c r="A99" s="42" t="s">
        <v>188</v>
      </c>
      <c r="B99" s="43">
        <v>37013</v>
      </c>
      <c r="C99" s="42" t="s">
        <v>31</v>
      </c>
      <c r="D99" s="45"/>
      <c r="E99" s="45"/>
      <c r="F99">
        <v>2001</v>
      </c>
    </row>
    <row r="100" spans="1:6" ht="15" customHeight="1" x14ac:dyDescent="0.3">
      <c r="A100" s="42" t="s">
        <v>189</v>
      </c>
      <c r="B100" s="43">
        <v>37047</v>
      </c>
      <c r="C100" s="42" t="s">
        <v>31</v>
      </c>
      <c r="D100" s="44">
        <v>15.51</v>
      </c>
      <c r="E100" s="44">
        <v>11.31</v>
      </c>
      <c r="F100">
        <v>2001</v>
      </c>
    </row>
    <row r="101" spans="1:6" ht="15" customHeight="1" x14ac:dyDescent="0.3">
      <c r="A101" s="42" t="s">
        <v>190</v>
      </c>
      <c r="B101" s="43">
        <v>37064</v>
      </c>
      <c r="C101" s="42" t="s">
        <v>31</v>
      </c>
      <c r="D101" s="44">
        <v>19.63</v>
      </c>
      <c r="E101" s="44">
        <v>12.48</v>
      </c>
      <c r="F101">
        <v>2001</v>
      </c>
    </row>
    <row r="102" spans="1:6" ht="15" customHeight="1" x14ac:dyDescent="0.3">
      <c r="A102" s="42" t="s">
        <v>191</v>
      </c>
      <c r="B102" s="43">
        <v>37083</v>
      </c>
      <c r="C102" s="42" t="s">
        <v>31</v>
      </c>
      <c r="D102" s="44">
        <v>19.600000000000001</v>
      </c>
      <c r="E102" s="44">
        <v>15.35</v>
      </c>
      <c r="F102">
        <v>2001</v>
      </c>
    </row>
    <row r="103" spans="1:6" ht="15" customHeight="1" x14ac:dyDescent="0.3">
      <c r="A103" s="42" t="s">
        <v>192</v>
      </c>
      <c r="B103" s="43">
        <v>37098</v>
      </c>
      <c r="C103" s="42" t="s">
        <v>31</v>
      </c>
      <c r="D103" s="44">
        <v>21.16</v>
      </c>
      <c r="E103" s="44">
        <v>18.760000000000002</v>
      </c>
      <c r="F103">
        <v>2001</v>
      </c>
    </row>
    <row r="104" spans="1:6" ht="15" customHeight="1" x14ac:dyDescent="0.3">
      <c r="A104" s="42" t="s">
        <v>193</v>
      </c>
      <c r="B104" s="43">
        <v>37109</v>
      </c>
      <c r="C104" s="42" t="s">
        <v>31</v>
      </c>
      <c r="D104" s="44">
        <v>21.86</v>
      </c>
      <c r="E104" s="46">
        <v>19.39</v>
      </c>
      <c r="F104">
        <v>2001</v>
      </c>
    </row>
    <row r="105" spans="1:6" ht="15" customHeight="1" x14ac:dyDescent="0.3">
      <c r="A105" s="42" t="s">
        <v>194</v>
      </c>
      <c r="B105" s="43">
        <v>37123</v>
      </c>
      <c r="C105" s="42" t="s">
        <v>31</v>
      </c>
      <c r="D105" s="44">
        <v>23.02</v>
      </c>
      <c r="E105" s="44">
        <v>20.63</v>
      </c>
      <c r="F105">
        <v>2001</v>
      </c>
    </row>
    <row r="106" spans="1:6" ht="15" customHeight="1" x14ac:dyDescent="0.3">
      <c r="A106" s="42" t="s">
        <v>196</v>
      </c>
      <c r="B106" s="43">
        <v>37139</v>
      </c>
      <c r="C106" s="42" t="s">
        <v>31</v>
      </c>
      <c r="D106" s="44">
        <v>22.58</v>
      </c>
      <c r="E106" s="44">
        <v>21.23</v>
      </c>
      <c r="F106">
        <v>2001</v>
      </c>
    </row>
    <row r="107" spans="1:6" ht="15" customHeight="1" x14ac:dyDescent="0.3">
      <c r="A107" s="42" t="s">
        <v>198</v>
      </c>
      <c r="B107" s="43">
        <v>37167</v>
      </c>
      <c r="C107" s="42" t="s">
        <v>31</v>
      </c>
      <c r="D107" s="44">
        <v>19.82</v>
      </c>
      <c r="E107" s="44">
        <v>19.46</v>
      </c>
      <c r="F107">
        <v>2001</v>
      </c>
    </row>
    <row r="108" spans="1:6" ht="15" customHeight="1" x14ac:dyDescent="0.3">
      <c r="A108" s="42" t="s">
        <v>199</v>
      </c>
      <c r="B108" s="43">
        <v>37209</v>
      </c>
      <c r="C108" s="42" t="s">
        <v>31</v>
      </c>
      <c r="D108" s="44">
        <v>13.48</v>
      </c>
      <c r="E108" s="44">
        <v>13.42</v>
      </c>
      <c r="F108">
        <v>2001</v>
      </c>
    </row>
    <row r="109" spans="1:6" ht="15" customHeight="1" x14ac:dyDescent="0.3">
      <c r="A109" s="42" t="s">
        <v>200</v>
      </c>
      <c r="B109" s="43">
        <v>37231</v>
      </c>
      <c r="C109" s="42" t="s">
        <v>31</v>
      </c>
      <c r="D109" s="44">
        <v>11.95</v>
      </c>
      <c r="E109" s="44">
        <v>12.15</v>
      </c>
      <c r="F109">
        <v>2001</v>
      </c>
    </row>
    <row r="110" spans="1:6" ht="15" customHeight="1" x14ac:dyDescent="0.3">
      <c r="A110" s="42" t="s">
        <v>201</v>
      </c>
      <c r="B110" s="43">
        <v>37270</v>
      </c>
      <c r="C110" s="42" t="s">
        <v>31</v>
      </c>
      <c r="D110" s="44">
        <v>5.37</v>
      </c>
      <c r="E110" s="44">
        <v>5.58</v>
      </c>
      <c r="F110">
        <v>2002</v>
      </c>
    </row>
    <row r="111" spans="1:6" ht="15" customHeight="1" x14ac:dyDescent="0.3">
      <c r="A111" s="42" t="s">
        <v>202</v>
      </c>
      <c r="B111" s="43">
        <v>37294</v>
      </c>
      <c r="C111" s="42" t="s">
        <v>31</v>
      </c>
      <c r="D111" s="44">
        <v>4.32</v>
      </c>
      <c r="E111" s="44">
        <v>4.41</v>
      </c>
      <c r="F111">
        <v>2002</v>
      </c>
    </row>
    <row r="112" spans="1:6" ht="15" customHeight="1" x14ac:dyDescent="0.3">
      <c r="A112" s="42" t="s">
        <v>204</v>
      </c>
      <c r="B112" s="43">
        <v>37316</v>
      </c>
      <c r="C112" s="42" t="s">
        <v>31</v>
      </c>
      <c r="D112" s="44">
        <v>4.53</v>
      </c>
      <c r="E112" s="44">
        <v>4.4400000000000004</v>
      </c>
      <c r="F112">
        <v>2002</v>
      </c>
    </row>
    <row r="113" spans="1:6" ht="15" customHeight="1" x14ac:dyDescent="0.3">
      <c r="A113" s="42" t="s">
        <v>206</v>
      </c>
      <c r="B113" s="43">
        <v>37351</v>
      </c>
      <c r="C113" s="42" t="s">
        <v>31</v>
      </c>
      <c r="D113" s="44">
        <v>6.3</v>
      </c>
      <c r="E113" s="44">
        <v>5.54</v>
      </c>
      <c r="F113">
        <v>2002</v>
      </c>
    </row>
    <row r="114" spans="1:6" ht="15" customHeight="1" x14ac:dyDescent="0.3">
      <c r="A114" s="42" t="s">
        <v>207</v>
      </c>
      <c r="B114" s="43">
        <v>37385</v>
      </c>
      <c r="C114" s="42" t="s">
        <v>31</v>
      </c>
      <c r="D114" s="44">
        <v>11.31</v>
      </c>
      <c r="E114" s="44">
        <v>8.99</v>
      </c>
      <c r="F114">
        <v>2002</v>
      </c>
    </row>
    <row r="115" spans="1:6" ht="15" customHeight="1" x14ac:dyDescent="0.3">
      <c r="A115" s="42" t="s">
        <v>208</v>
      </c>
      <c r="B115" s="43">
        <v>37417</v>
      </c>
      <c r="C115" s="42" t="s">
        <v>31</v>
      </c>
      <c r="D115" s="44">
        <v>16.87</v>
      </c>
      <c r="E115" s="44">
        <v>12.51</v>
      </c>
      <c r="F115">
        <v>2002</v>
      </c>
    </row>
    <row r="116" spans="1:6" ht="15" customHeight="1" x14ac:dyDescent="0.3">
      <c r="A116" s="42" t="s">
        <v>209</v>
      </c>
      <c r="B116" s="43">
        <v>37433</v>
      </c>
      <c r="C116" s="42" t="s">
        <v>31</v>
      </c>
      <c r="D116" s="44">
        <v>19.850000000000001</v>
      </c>
      <c r="E116" s="44">
        <v>14.56</v>
      </c>
      <c r="F116">
        <v>2002</v>
      </c>
    </row>
    <row r="117" spans="1:6" ht="15" customHeight="1" x14ac:dyDescent="0.3">
      <c r="A117" s="42" t="s">
        <v>210</v>
      </c>
      <c r="B117" s="43">
        <v>37447</v>
      </c>
      <c r="C117" s="42" t="s">
        <v>31</v>
      </c>
      <c r="D117" s="44">
        <v>22.17</v>
      </c>
      <c r="E117" s="44">
        <v>15.7</v>
      </c>
      <c r="F117">
        <v>2002</v>
      </c>
    </row>
    <row r="118" spans="1:6" ht="15" customHeight="1" x14ac:dyDescent="0.3">
      <c r="A118" s="42" t="s">
        <v>211</v>
      </c>
      <c r="B118" s="43">
        <v>37461</v>
      </c>
      <c r="C118" s="42" t="s">
        <v>31</v>
      </c>
      <c r="D118" s="44">
        <v>22.38</v>
      </c>
      <c r="E118" s="44">
        <v>18.46</v>
      </c>
      <c r="F118">
        <v>2002</v>
      </c>
    </row>
    <row r="119" spans="1:6" ht="15" customHeight="1" x14ac:dyDescent="0.3">
      <c r="A119" s="42" t="s">
        <v>212</v>
      </c>
      <c r="B119" s="43">
        <v>37476</v>
      </c>
      <c r="C119" s="42" t="s">
        <v>31</v>
      </c>
      <c r="D119" s="44">
        <v>22.72</v>
      </c>
      <c r="E119" s="44">
        <v>19.8</v>
      </c>
      <c r="F119">
        <v>2002</v>
      </c>
    </row>
    <row r="120" spans="1:6" ht="15" customHeight="1" x14ac:dyDescent="0.3">
      <c r="A120" s="42" t="s">
        <v>213</v>
      </c>
      <c r="B120" s="43">
        <v>37491</v>
      </c>
      <c r="C120" s="42" t="s">
        <v>31</v>
      </c>
      <c r="D120" s="44">
        <v>23.5</v>
      </c>
      <c r="E120" s="44">
        <v>21.79</v>
      </c>
      <c r="F120">
        <v>2002</v>
      </c>
    </row>
    <row r="121" spans="1:6" ht="15" customHeight="1" x14ac:dyDescent="0.3">
      <c r="A121" s="42" t="s">
        <v>214</v>
      </c>
      <c r="B121" s="43">
        <v>37512</v>
      </c>
      <c r="C121" s="42" t="s">
        <v>31</v>
      </c>
      <c r="D121" s="44">
        <v>21.62</v>
      </c>
      <c r="E121" s="44">
        <v>21.81</v>
      </c>
      <c r="F121">
        <v>2002</v>
      </c>
    </row>
    <row r="122" spans="1:6" ht="15" customHeight="1" x14ac:dyDescent="0.3">
      <c r="A122" s="42" t="s">
        <v>215</v>
      </c>
      <c r="B122" s="43">
        <v>37539</v>
      </c>
      <c r="C122" s="42" t="s">
        <v>31</v>
      </c>
      <c r="D122" s="44">
        <v>20.399999999999999</v>
      </c>
      <c r="E122" s="44">
        <v>20.46</v>
      </c>
      <c r="F122">
        <v>2002</v>
      </c>
    </row>
    <row r="123" spans="1:6" ht="15" customHeight="1" x14ac:dyDescent="0.3">
      <c r="A123" s="42" t="s">
        <v>216</v>
      </c>
      <c r="B123" s="43">
        <v>37574</v>
      </c>
      <c r="C123" s="42" t="s">
        <v>31</v>
      </c>
      <c r="D123" s="44">
        <v>12.88</v>
      </c>
      <c r="E123" s="44">
        <v>13.47</v>
      </c>
      <c r="F123">
        <v>2002</v>
      </c>
    </row>
    <row r="124" spans="1:6" ht="15" customHeight="1" x14ac:dyDescent="0.3">
      <c r="A124" s="42" t="s">
        <v>217</v>
      </c>
      <c r="B124" s="43">
        <v>37603</v>
      </c>
      <c r="C124" s="42" t="s">
        <v>31</v>
      </c>
      <c r="D124" s="44">
        <v>6.82</v>
      </c>
      <c r="E124" s="44">
        <v>6.85</v>
      </c>
      <c r="F124">
        <v>2002</v>
      </c>
    </row>
    <row r="125" spans="1:6" ht="15" customHeight="1" x14ac:dyDescent="0.3">
      <c r="A125" s="42" t="s">
        <v>218</v>
      </c>
      <c r="B125" s="43">
        <v>37658</v>
      </c>
      <c r="C125" s="42" t="s">
        <v>31</v>
      </c>
      <c r="D125" s="44">
        <v>0.36</v>
      </c>
      <c r="E125" s="44">
        <v>0.62</v>
      </c>
      <c r="F125">
        <v>2003</v>
      </c>
    </row>
    <row r="126" spans="1:6" ht="15" customHeight="1" x14ac:dyDescent="0.3">
      <c r="A126" s="42" t="s">
        <v>219</v>
      </c>
      <c r="B126" s="43">
        <v>37691</v>
      </c>
      <c r="C126" s="42" t="s">
        <v>31</v>
      </c>
      <c r="D126" s="44">
        <v>-0.24</v>
      </c>
      <c r="E126" s="44">
        <v>-0.23</v>
      </c>
      <c r="F126">
        <v>2003</v>
      </c>
    </row>
    <row r="127" spans="1:6" ht="15" customHeight="1" x14ac:dyDescent="0.3">
      <c r="A127" s="42" t="s">
        <v>221</v>
      </c>
      <c r="B127" s="43">
        <v>37713</v>
      </c>
      <c r="C127" s="42" t="s">
        <v>31</v>
      </c>
      <c r="D127" s="44">
        <v>4.24</v>
      </c>
      <c r="E127" s="44">
        <v>2.3199999999999998</v>
      </c>
      <c r="F127">
        <v>2003</v>
      </c>
    </row>
    <row r="128" spans="1:6" ht="15" customHeight="1" x14ac:dyDescent="0.3">
      <c r="A128" s="42" t="s">
        <v>222</v>
      </c>
      <c r="B128" s="43">
        <v>37748</v>
      </c>
      <c r="C128" s="42" t="s">
        <v>31</v>
      </c>
      <c r="D128" s="44">
        <v>9.74</v>
      </c>
      <c r="E128" s="44">
        <v>5.83</v>
      </c>
      <c r="F128">
        <v>2003</v>
      </c>
    </row>
    <row r="129" spans="1:6" ht="15" customHeight="1" x14ac:dyDescent="0.3">
      <c r="A129" s="42" t="s">
        <v>223</v>
      </c>
      <c r="B129" s="43">
        <v>37777</v>
      </c>
      <c r="C129" s="42" t="s">
        <v>31</v>
      </c>
      <c r="D129" s="44">
        <v>13.42</v>
      </c>
      <c r="E129" s="44">
        <v>9.41</v>
      </c>
      <c r="F129">
        <v>2003</v>
      </c>
    </row>
    <row r="130" spans="1:6" ht="15" customHeight="1" x14ac:dyDescent="0.3">
      <c r="A130" s="42" t="s">
        <v>224</v>
      </c>
      <c r="B130" s="43">
        <v>37791</v>
      </c>
      <c r="C130" s="42" t="s">
        <v>31</v>
      </c>
      <c r="D130" s="44">
        <v>16.34</v>
      </c>
      <c r="E130" s="44">
        <v>11.2</v>
      </c>
      <c r="F130">
        <v>2003</v>
      </c>
    </row>
    <row r="131" spans="1:6" ht="15" customHeight="1" x14ac:dyDescent="0.3">
      <c r="A131" s="42" t="s">
        <v>225</v>
      </c>
      <c r="B131" s="43">
        <v>37811</v>
      </c>
      <c r="C131" s="42" t="s">
        <v>31</v>
      </c>
      <c r="D131" s="44">
        <v>19.57</v>
      </c>
      <c r="E131" s="44">
        <v>13</v>
      </c>
      <c r="F131">
        <v>2003</v>
      </c>
    </row>
    <row r="132" spans="1:6" ht="15" customHeight="1" x14ac:dyDescent="0.3">
      <c r="A132" s="42" t="s">
        <v>226</v>
      </c>
      <c r="B132" s="43">
        <v>37827</v>
      </c>
      <c r="C132" s="42" t="s">
        <v>31</v>
      </c>
      <c r="D132" s="44">
        <v>19.93</v>
      </c>
      <c r="E132" s="44">
        <v>15.75</v>
      </c>
      <c r="F132">
        <v>2003</v>
      </c>
    </row>
    <row r="133" spans="1:6" ht="15" customHeight="1" x14ac:dyDescent="0.3">
      <c r="A133" s="42" t="s">
        <v>227</v>
      </c>
      <c r="B133" s="43">
        <v>37841</v>
      </c>
      <c r="C133" s="42" t="s">
        <v>31</v>
      </c>
      <c r="D133" s="44">
        <v>21.61</v>
      </c>
      <c r="E133" s="44">
        <v>18.52</v>
      </c>
      <c r="F133">
        <v>2003</v>
      </c>
    </row>
    <row r="134" spans="1:6" ht="15" customHeight="1" x14ac:dyDescent="0.3">
      <c r="A134" s="42" t="s">
        <v>228</v>
      </c>
      <c r="B134" s="43">
        <v>37854</v>
      </c>
      <c r="C134" s="42" t="s">
        <v>31</v>
      </c>
      <c r="D134" s="44">
        <v>24.16</v>
      </c>
      <c r="E134" s="44">
        <v>19.13</v>
      </c>
      <c r="F134">
        <v>2003</v>
      </c>
    </row>
    <row r="135" spans="1:6" ht="15" customHeight="1" x14ac:dyDescent="0.3">
      <c r="A135" s="42" t="s">
        <v>229</v>
      </c>
      <c r="B135" s="43">
        <v>37869</v>
      </c>
      <c r="C135" s="42" t="s">
        <v>31</v>
      </c>
      <c r="D135" s="44">
        <v>20.84</v>
      </c>
      <c r="E135" s="44">
        <v>20.28</v>
      </c>
      <c r="F135">
        <v>2003</v>
      </c>
    </row>
    <row r="136" spans="1:6" ht="15" customHeight="1" x14ac:dyDescent="0.3">
      <c r="A136" s="42" t="s">
        <v>230</v>
      </c>
      <c r="B136" s="43">
        <v>37901</v>
      </c>
      <c r="C136" s="42" t="s">
        <v>31</v>
      </c>
      <c r="D136" s="44">
        <v>18.96</v>
      </c>
      <c r="E136" s="44">
        <v>19.07</v>
      </c>
      <c r="F136">
        <v>2003</v>
      </c>
    </row>
    <row r="137" spans="1:6" ht="15" customHeight="1" x14ac:dyDescent="0.3">
      <c r="A137" s="42" t="s">
        <v>231</v>
      </c>
      <c r="B137" s="43">
        <v>37931</v>
      </c>
      <c r="C137" s="42" t="s">
        <v>31</v>
      </c>
      <c r="D137" s="44">
        <v>15.11</v>
      </c>
      <c r="E137" s="44">
        <v>15.18</v>
      </c>
      <c r="F137">
        <v>2003</v>
      </c>
    </row>
    <row r="138" spans="1:6" ht="15" customHeight="1" x14ac:dyDescent="0.3">
      <c r="A138" s="42" t="s">
        <v>232</v>
      </c>
      <c r="B138" s="43">
        <v>37965</v>
      </c>
      <c r="C138" s="42" t="s">
        <v>31</v>
      </c>
      <c r="D138" s="44">
        <v>7.67</v>
      </c>
      <c r="E138" s="44">
        <v>7.8</v>
      </c>
      <c r="F138">
        <v>2003</v>
      </c>
    </row>
    <row r="139" spans="1:6" ht="15" customHeight="1" x14ac:dyDescent="0.3">
      <c r="A139" s="42" t="s">
        <v>233</v>
      </c>
      <c r="B139" s="43">
        <v>38019</v>
      </c>
      <c r="C139" s="42" t="s">
        <v>31</v>
      </c>
      <c r="D139" s="44">
        <v>-0.53</v>
      </c>
      <c r="E139" s="44">
        <v>-0.52</v>
      </c>
      <c r="F139">
        <v>2004</v>
      </c>
    </row>
    <row r="140" spans="1:6" ht="15" customHeight="1" x14ac:dyDescent="0.3">
      <c r="A140" s="42" t="s">
        <v>235</v>
      </c>
      <c r="B140" s="43">
        <v>38048</v>
      </c>
      <c r="C140" s="42" t="s">
        <v>31</v>
      </c>
      <c r="D140" s="44">
        <v>0.78</v>
      </c>
      <c r="E140" s="44">
        <v>0.46</v>
      </c>
      <c r="F140">
        <v>2004</v>
      </c>
    </row>
    <row r="141" spans="1:6" ht="15" customHeight="1" x14ac:dyDescent="0.3">
      <c r="A141" s="42" t="s">
        <v>237</v>
      </c>
      <c r="B141" s="43">
        <v>38089</v>
      </c>
      <c r="C141" s="42" t="s">
        <v>31</v>
      </c>
      <c r="D141" s="46">
        <v>5.47</v>
      </c>
      <c r="E141" s="46">
        <v>3.57</v>
      </c>
      <c r="F141">
        <v>2004</v>
      </c>
    </row>
    <row r="142" spans="1:6" ht="15" customHeight="1" x14ac:dyDescent="0.3">
      <c r="A142" s="42" t="s">
        <v>238</v>
      </c>
      <c r="B142" s="43">
        <v>38114</v>
      </c>
      <c r="C142" s="42" t="s">
        <v>31</v>
      </c>
      <c r="D142" s="44">
        <v>9.1199999999999992</v>
      </c>
      <c r="E142" s="44">
        <v>6.35</v>
      </c>
      <c r="F142">
        <v>2004</v>
      </c>
    </row>
    <row r="143" spans="1:6" ht="15" customHeight="1" x14ac:dyDescent="0.3">
      <c r="A143" s="42" t="s">
        <v>239</v>
      </c>
      <c r="B143" s="43">
        <v>38141</v>
      </c>
      <c r="C143" s="42" t="s">
        <v>31</v>
      </c>
      <c r="D143" s="44">
        <v>15.96</v>
      </c>
      <c r="E143" s="44">
        <v>10.119999999999999</v>
      </c>
      <c r="F143">
        <v>2004</v>
      </c>
    </row>
    <row r="144" spans="1:6" ht="15" customHeight="1" x14ac:dyDescent="0.3">
      <c r="A144" s="42" t="s">
        <v>240</v>
      </c>
      <c r="B144" s="43">
        <v>38166</v>
      </c>
      <c r="C144" s="42" t="s">
        <v>31</v>
      </c>
      <c r="D144" s="44">
        <v>17.66</v>
      </c>
      <c r="E144" s="44">
        <v>14.27</v>
      </c>
      <c r="F144">
        <v>2004</v>
      </c>
    </row>
    <row r="145" spans="1:6" ht="15" customHeight="1" x14ac:dyDescent="0.3">
      <c r="A145" s="42" t="s">
        <v>241</v>
      </c>
      <c r="B145" s="43">
        <v>38175</v>
      </c>
      <c r="C145" s="42" t="s">
        <v>31</v>
      </c>
      <c r="D145" s="44">
        <v>20.03</v>
      </c>
      <c r="E145" s="44">
        <v>15.64</v>
      </c>
      <c r="F145">
        <v>2004</v>
      </c>
    </row>
    <row r="146" spans="1:6" ht="15" customHeight="1" x14ac:dyDescent="0.3">
      <c r="A146" s="42" t="s">
        <v>242</v>
      </c>
      <c r="B146" s="43">
        <v>38189</v>
      </c>
      <c r="C146" s="42" t="s">
        <v>31</v>
      </c>
      <c r="D146" s="44">
        <v>21.78</v>
      </c>
      <c r="E146" s="44">
        <v>16.920000000000002</v>
      </c>
      <c r="F146">
        <v>2004</v>
      </c>
    </row>
    <row r="147" spans="1:6" ht="15" customHeight="1" x14ac:dyDescent="0.3">
      <c r="A147" s="42" t="s">
        <v>243</v>
      </c>
      <c r="B147" s="43">
        <v>38205</v>
      </c>
      <c r="C147" s="42" t="s">
        <v>31</v>
      </c>
      <c r="D147" s="44">
        <v>21.23</v>
      </c>
      <c r="E147" s="44">
        <v>18.66</v>
      </c>
      <c r="F147">
        <v>2004</v>
      </c>
    </row>
    <row r="148" spans="1:6" ht="15" customHeight="1" x14ac:dyDescent="0.3">
      <c r="A148" s="42" t="s">
        <v>244</v>
      </c>
      <c r="B148" s="43">
        <v>38219</v>
      </c>
      <c r="C148" s="42" t="s">
        <v>31</v>
      </c>
      <c r="D148" s="44">
        <v>22.2</v>
      </c>
      <c r="E148" s="44">
        <v>19.73</v>
      </c>
      <c r="F148">
        <v>2004</v>
      </c>
    </row>
    <row r="149" spans="1:6" ht="15" customHeight="1" x14ac:dyDescent="0.3">
      <c r="A149" s="42" t="s">
        <v>245</v>
      </c>
      <c r="B149" s="43">
        <v>38231</v>
      </c>
      <c r="C149" s="42" t="s">
        <v>31</v>
      </c>
      <c r="D149" s="44">
        <v>22.85</v>
      </c>
      <c r="E149" s="44">
        <v>20.89</v>
      </c>
      <c r="F149">
        <v>2004</v>
      </c>
    </row>
    <row r="150" spans="1:6" ht="15" customHeight="1" x14ac:dyDescent="0.3">
      <c r="A150" s="42" t="s">
        <v>246</v>
      </c>
      <c r="B150" s="43">
        <v>38268</v>
      </c>
      <c r="C150" s="42" t="s">
        <v>31</v>
      </c>
      <c r="D150" s="44">
        <v>19.87</v>
      </c>
      <c r="E150" s="44">
        <v>20.25</v>
      </c>
      <c r="F150">
        <v>2004</v>
      </c>
    </row>
    <row r="151" spans="1:6" ht="15" customHeight="1" x14ac:dyDescent="0.3">
      <c r="A151" s="42" t="s">
        <v>247</v>
      </c>
      <c r="B151" s="43">
        <v>38336</v>
      </c>
      <c r="C151" s="42" t="s">
        <v>31</v>
      </c>
      <c r="D151" s="44">
        <v>8.6300000000000008</v>
      </c>
      <c r="E151" s="44">
        <v>8.65</v>
      </c>
      <c r="F151">
        <v>2004</v>
      </c>
    </row>
    <row r="152" spans="1:6" ht="15" customHeight="1" x14ac:dyDescent="0.3">
      <c r="A152" s="42" t="s">
        <v>248</v>
      </c>
      <c r="B152" s="43">
        <v>38363</v>
      </c>
      <c r="C152" s="42" t="s">
        <v>31</v>
      </c>
      <c r="D152" s="44">
        <v>4.53</v>
      </c>
      <c r="E152" s="44">
        <v>4.9400000000000004</v>
      </c>
      <c r="F152">
        <v>2005</v>
      </c>
    </row>
    <row r="153" spans="1:6" ht="15" customHeight="1" x14ac:dyDescent="0.3">
      <c r="A153" s="42" t="s">
        <v>249</v>
      </c>
      <c r="B153" s="43">
        <v>38384</v>
      </c>
      <c r="C153" s="42" t="s">
        <v>31</v>
      </c>
      <c r="D153" s="44">
        <v>0.67</v>
      </c>
      <c r="E153" s="44">
        <v>1.47</v>
      </c>
      <c r="F153">
        <v>2005</v>
      </c>
    </row>
    <row r="154" spans="1:6" ht="15" customHeight="1" x14ac:dyDescent="0.3">
      <c r="A154" s="42" t="s">
        <v>250</v>
      </c>
      <c r="B154" s="43">
        <v>38422</v>
      </c>
      <c r="C154" s="42" t="s">
        <v>31</v>
      </c>
      <c r="D154" s="44">
        <v>0.86</v>
      </c>
      <c r="E154" s="44">
        <v>1.06</v>
      </c>
      <c r="F154">
        <v>2005</v>
      </c>
    </row>
    <row r="155" spans="1:6" ht="15" customHeight="1" x14ac:dyDescent="0.3">
      <c r="A155" s="42" t="s">
        <v>251</v>
      </c>
      <c r="B155" s="43">
        <v>38450</v>
      </c>
      <c r="C155" s="42" t="s">
        <v>31</v>
      </c>
      <c r="D155" s="46">
        <v>5.5</v>
      </c>
      <c r="E155" s="46">
        <v>2.86</v>
      </c>
      <c r="F155">
        <v>2005</v>
      </c>
    </row>
    <row r="156" spans="1:6" ht="15" customHeight="1" x14ac:dyDescent="0.3">
      <c r="A156" s="42" t="s">
        <v>252</v>
      </c>
      <c r="B156" s="43">
        <v>38478</v>
      </c>
      <c r="C156" s="42" t="s">
        <v>31</v>
      </c>
      <c r="D156" s="44">
        <v>10.23</v>
      </c>
      <c r="E156" s="44">
        <v>6.09</v>
      </c>
      <c r="F156">
        <v>2005</v>
      </c>
    </row>
    <row r="157" spans="1:6" ht="15" customHeight="1" x14ac:dyDescent="0.3">
      <c r="A157" s="42" t="s">
        <v>253</v>
      </c>
      <c r="B157" s="43">
        <v>38511</v>
      </c>
      <c r="C157" s="42" t="s">
        <v>31</v>
      </c>
      <c r="D157" s="44">
        <v>16.399999999999999</v>
      </c>
      <c r="E157" s="44">
        <v>10.89</v>
      </c>
      <c r="F157">
        <v>2005</v>
      </c>
    </row>
    <row r="158" spans="1:6" ht="15" customHeight="1" x14ac:dyDescent="0.3">
      <c r="A158" s="42" t="s">
        <v>255</v>
      </c>
      <c r="B158" s="43">
        <v>38545</v>
      </c>
      <c r="C158" s="42" t="s">
        <v>31</v>
      </c>
      <c r="D158" s="44">
        <v>21.2</v>
      </c>
      <c r="E158" s="44">
        <v>15.57</v>
      </c>
      <c r="F158">
        <v>2005</v>
      </c>
    </row>
    <row r="159" spans="1:6" ht="15" customHeight="1" x14ac:dyDescent="0.3">
      <c r="A159" s="42" t="s">
        <v>256</v>
      </c>
      <c r="B159" s="43">
        <v>38552</v>
      </c>
      <c r="C159" s="42" t="s">
        <v>31</v>
      </c>
      <c r="D159" s="44">
        <v>23.66</v>
      </c>
      <c r="E159" s="44">
        <v>15.7</v>
      </c>
      <c r="F159">
        <v>2005</v>
      </c>
    </row>
    <row r="160" spans="1:6" ht="15" customHeight="1" x14ac:dyDescent="0.3">
      <c r="A160" s="42" t="s">
        <v>257</v>
      </c>
      <c r="B160" s="43">
        <v>38568</v>
      </c>
      <c r="C160" s="42" t="s">
        <v>31</v>
      </c>
      <c r="D160" s="44">
        <v>24.75</v>
      </c>
      <c r="E160" s="44">
        <v>18.23</v>
      </c>
      <c r="F160">
        <v>2005</v>
      </c>
    </row>
    <row r="161" spans="1:6" ht="15" customHeight="1" x14ac:dyDescent="0.3">
      <c r="A161" s="42" t="s">
        <v>258</v>
      </c>
      <c r="B161" s="43">
        <v>38583</v>
      </c>
      <c r="C161" s="42" t="s">
        <v>31</v>
      </c>
      <c r="D161" s="44">
        <v>23.1</v>
      </c>
      <c r="E161" s="44">
        <v>20</v>
      </c>
      <c r="F161">
        <v>2005</v>
      </c>
    </row>
    <row r="162" spans="1:6" ht="15" customHeight="1" x14ac:dyDescent="0.3">
      <c r="A162" s="42" t="s">
        <v>259</v>
      </c>
      <c r="B162" s="43">
        <v>38597</v>
      </c>
      <c r="C162" s="42" t="s">
        <v>31</v>
      </c>
      <c r="D162" s="46">
        <v>23.01</v>
      </c>
      <c r="E162" s="46">
        <v>21.14</v>
      </c>
      <c r="F162">
        <v>2005</v>
      </c>
    </row>
    <row r="163" spans="1:6" ht="15" customHeight="1" x14ac:dyDescent="0.3">
      <c r="A163" s="42" t="s">
        <v>261</v>
      </c>
      <c r="B163" s="43">
        <v>38636</v>
      </c>
      <c r="C163" s="42" t="s">
        <v>31</v>
      </c>
      <c r="D163" s="44">
        <v>20.92</v>
      </c>
      <c r="E163" s="44">
        <v>21.15</v>
      </c>
      <c r="F163">
        <v>2005</v>
      </c>
    </row>
    <row r="164" spans="1:6" ht="15" customHeight="1" x14ac:dyDescent="0.3">
      <c r="A164" s="42" t="s">
        <v>262</v>
      </c>
      <c r="B164" s="43">
        <v>38671</v>
      </c>
      <c r="C164" s="42" t="s">
        <v>31</v>
      </c>
      <c r="D164" s="44">
        <v>13.27</v>
      </c>
      <c r="E164" s="44">
        <v>13.72</v>
      </c>
      <c r="F164">
        <v>2005</v>
      </c>
    </row>
    <row r="165" spans="1:6" ht="15" customHeight="1" x14ac:dyDescent="0.3">
      <c r="A165" s="42" t="s">
        <v>263</v>
      </c>
      <c r="B165" s="43">
        <v>38694</v>
      </c>
      <c r="C165" s="42" t="s">
        <v>31</v>
      </c>
      <c r="D165" s="44">
        <v>8.3699999999999992</v>
      </c>
      <c r="E165" s="44">
        <v>8.6199999999999992</v>
      </c>
      <c r="F165">
        <v>2005</v>
      </c>
    </row>
    <row r="166" spans="1:6" ht="15" customHeight="1" x14ac:dyDescent="0.3">
      <c r="A166" s="42" t="s">
        <v>264</v>
      </c>
      <c r="B166" s="43">
        <v>38783</v>
      </c>
      <c r="C166" s="42" t="s">
        <v>31</v>
      </c>
      <c r="D166" s="44">
        <v>2.5</v>
      </c>
      <c r="E166" s="44">
        <v>2.25</v>
      </c>
      <c r="F166">
        <v>2006</v>
      </c>
    </row>
    <row r="167" spans="1:6" ht="15" customHeight="1" x14ac:dyDescent="0.3">
      <c r="A167" s="42" t="s">
        <v>498</v>
      </c>
      <c r="B167" s="43">
        <v>38819</v>
      </c>
      <c r="C167" s="42" t="s">
        <v>31</v>
      </c>
      <c r="D167" s="44">
        <v>6.78</v>
      </c>
      <c r="E167" s="44">
        <v>4.8099999999999996</v>
      </c>
      <c r="F167">
        <v>2006</v>
      </c>
    </row>
    <row r="168" spans="1:6" ht="15" customHeight="1" x14ac:dyDescent="0.3">
      <c r="A168" s="42" t="s">
        <v>265</v>
      </c>
      <c r="B168" s="43">
        <v>38841</v>
      </c>
      <c r="C168" s="42" t="s">
        <v>31</v>
      </c>
      <c r="D168" s="44">
        <v>10.54</v>
      </c>
      <c r="E168" s="44">
        <v>7.77</v>
      </c>
      <c r="F168">
        <v>2006</v>
      </c>
    </row>
    <row r="169" spans="1:6" ht="15" customHeight="1" x14ac:dyDescent="0.3">
      <c r="A169" s="42" t="s">
        <v>266</v>
      </c>
      <c r="B169" s="43">
        <v>38877</v>
      </c>
      <c r="C169" s="42" t="s">
        <v>31</v>
      </c>
      <c r="D169" s="44">
        <v>16.11</v>
      </c>
      <c r="E169" s="44">
        <v>11.39</v>
      </c>
      <c r="F169">
        <v>2006</v>
      </c>
    </row>
    <row r="170" spans="1:6" ht="15" customHeight="1" x14ac:dyDescent="0.3">
      <c r="A170" s="42" t="s">
        <v>267</v>
      </c>
      <c r="B170" s="43">
        <v>38891</v>
      </c>
      <c r="C170" s="42" t="s">
        <v>31</v>
      </c>
      <c r="D170" s="44">
        <v>18.25</v>
      </c>
      <c r="E170" s="44">
        <v>13.82</v>
      </c>
      <c r="F170">
        <v>2006</v>
      </c>
    </row>
    <row r="171" spans="1:6" ht="15" customHeight="1" x14ac:dyDescent="0.3">
      <c r="A171" s="42" t="s">
        <v>268</v>
      </c>
      <c r="B171" s="43">
        <v>38905</v>
      </c>
      <c r="C171" s="42" t="s">
        <v>31</v>
      </c>
      <c r="D171" s="44">
        <v>20.11</v>
      </c>
      <c r="E171" s="44">
        <v>15.57</v>
      </c>
      <c r="F171">
        <v>2006</v>
      </c>
    </row>
    <row r="172" spans="1:6" ht="15" customHeight="1" x14ac:dyDescent="0.3">
      <c r="A172" s="42" t="s">
        <v>269</v>
      </c>
      <c r="B172" s="43">
        <v>38916</v>
      </c>
      <c r="C172" s="42" t="s">
        <v>31</v>
      </c>
      <c r="D172" s="44">
        <v>22.42</v>
      </c>
      <c r="E172" s="44">
        <v>16.97</v>
      </c>
      <c r="F172">
        <v>2006</v>
      </c>
    </row>
    <row r="173" spans="1:6" ht="15" customHeight="1" x14ac:dyDescent="0.3">
      <c r="A173" s="42" t="s">
        <v>270</v>
      </c>
      <c r="B173" s="43">
        <v>38932</v>
      </c>
      <c r="C173" s="42" t="s">
        <v>31</v>
      </c>
      <c r="D173" s="44">
        <v>24.65</v>
      </c>
      <c r="E173" s="44">
        <v>18.18</v>
      </c>
      <c r="F173">
        <v>2006</v>
      </c>
    </row>
    <row r="174" spans="1:6" ht="15" customHeight="1" x14ac:dyDescent="0.3">
      <c r="A174" s="42" t="s">
        <v>271</v>
      </c>
      <c r="B174" s="43">
        <v>38947</v>
      </c>
      <c r="C174" s="42" t="s">
        <v>31</v>
      </c>
      <c r="D174" s="44">
        <v>22.95</v>
      </c>
      <c r="E174" s="44">
        <v>21.01</v>
      </c>
      <c r="F174">
        <v>2006</v>
      </c>
    </row>
    <row r="175" spans="1:6" ht="15" customHeight="1" x14ac:dyDescent="0.3">
      <c r="A175" s="42" t="s">
        <v>272</v>
      </c>
      <c r="B175" s="43">
        <v>38959</v>
      </c>
      <c r="C175" s="42" t="s">
        <v>31</v>
      </c>
      <c r="D175" s="44">
        <v>21.67</v>
      </c>
      <c r="E175" s="44">
        <v>21.73</v>
      </c>
      <c r="F175">
        <v>2006</v>
      </c>
    </row>
    <row r="176" spans="1:6" ht="15" customHeight="1" x14ac:dyDescent="0.3">
      <c r="A176" s="42" t="s">
        <v>273</v>
      </c>
      <c r="B176" s="43">
        <v>39007</v>
      </c>
      <c r="C176" s="42" t="s">
        <v>31</v>
      </c>
      <c r="D176" s="44">
        <v>17.71</v>
      </c>
      <c r="E176" s="44">
        <v>17.989999999999998</v>
      </c>
      <c r="F176">
        <v>2006</v>
      </c>
    </row>
    <row r="177" spans="1:6" ht="15" customHeight="1" x14ac:dyDescent="0.3">
      <c r="A177" s="42" t="s">
        <v>274</v>
      </c>
      <c r="B177" s="43">
        <v>39028</v>
      </c>
      <c r="C177" s="42" t="s">
        <v>31</v>
      </c>
      <c r="D177" s="44">
        <v>13.59</v>
      </c>
      <c r="E177" s="44">
        <v>13.78</v>
      </c>
      <c r="F177">
        <v>2006</v>
      </c>
    </row>
    <row r="178" spans="1:6" ht="15" customHeight="1" x14ac:dyDescent="0.3">
      <c r="A178" s="42" t="s">
        <v>275</v>
      </c>
      <c r="B178" s="43">
        <v>39062</v>
      </c>
      <c r="C178" s="42" t="s">
        <v>31</v>
      </c>
      <c r="D178" s="44">
        <v>9.15</v>
      </c>
      <c r="E178" s="44">
        <v>9.6999999999999993</v>
      </c>
      <c r="F178">
        <v>2006</v>
      </c>
    </row>
    <row r="179" spans="1:6" ht="15" customHeight="1" x14ac:dyDescent="0.3">
      <c r="A179" s="42" t="s">
        <v>276</v>
      </c>
      <c r="B179" s="43">
        <v>39100</v>
      </c>
      <c r="C179" s="42" t="s">
        <v>31</v>
      </c>
      <c r="D179" s="44">
        <v>6.29</v>
      </c>
      <c r="E179" s="44">
        <v>6.75</v>
      </c>
      <c r="F179">
        <v>2007</v>
      </c>
    </row>
    <row r="180" spans="1:6" ht="15" customHeight="1" x14ac:dyDescent="0.3">
      <c r="A180" s="42" t="s">
        <v>277</v>
      </c>
      <c r="B180" s="43">
        <v>39126</v>
      </c>
      <c r="C180" s="42" t="s">
        <v>31</v>
      </c>
      <c r="D180" s="44">
        <v>1.45</v>
      </c>
      <c r="E180" s="44">
        <v>1.84</v>
      </c>
      <c r="F180">
        <v>2007</v>
      </c>
    </row>
    <row r="181" spans="1:6" ht="15" customHeight="1" x14ac:dyDescent="0.3">
      <c r="A181" s="42" t="s">
        <v>278</v>
      </c>
      <c r="B181" s="43">
        <v>39148</v>
      </c>
      <c r="C181" s="42" t="s">
        <v>31</v>
      </c>
      <c r="D181" s="45"/>
      <c r="E181" s="45"/>
      <c r="F181">
        <v>2007</v>
      </c>
    </row>
    <row r="182" spans="1:6" ht="15" customHeight="1" x14ac:dyDescent="0.3">
      <c r="A182" s="42" t="s">
        <v>280</v>
      </c>
      <c r="B182" s="43">
        <v>39176</v>
      </c>
      <c r="C182" s="42" t="s">
        <v>31</v>
      </c>
      <c r="D182" s="44">
        <v>4.67</v>
      </c>
      <c r="E182" s="44">
        <v>2.31</v>
      </c>
      <c r="F182">
        <v>2007</v>
      </c>
    </row>
    <row r="183" spans="1:6" ht="15" customHeight="1" x14ac:dyDescent="0.3">
      <c r="A183" s="42" t="s">
        <v>281</v>
      </c>
      <c r="B183" s="43">
        <v>39211</v>
      </c>
      <c r="C183" s="42" t="s">
        <v>31</v>
      </c>
      <c r="D183" s="44">
        <v>11.53</v>
      </c>
      <c r="E183" s="44">
        <v>5.87</v>
      </c>
      <c r="F183">
        <v>2007</v>
      </c>
    </row>
    <row r="184" spans="1:6" ht="15" customHeight="1" x14ac:dyDescent="0.3">
      <c r="A184" s="42" t="s">
        <v>282</v>
      </c>
      <c r="B184" s="43">
        <v>39240</v>
      </c>
      <c r="C184" s="42" t="s">
        <v>31</v>
      </c>
      <c r="D184" s="44">
        <v>14.87</v>
      </c>
      <c r="E184" s="44">
        <v>10.1</v>
      </c>
      <c r="F184">
        <v>2007</v>
      </c>
    </row>
    <row r="185" spans="1:6" ht="15" customHeight="1" x14ac:dyDescent="0.3">
      <c r="A185" s="42" t="s">
        <v>283</v>
      </c>
      <c r="B185" s="43">
        <v>39254</v>
      </c>
      <c r="C185" s="42" t="s">
        <v>31</v>
      </c>
      <c r="D185" s="44">
        <v>18.079999999999998</v>
      </c>
      <c r="E185" s="44">
        <v>12.64</v>
      </c>
      <c r="F185">
        <v>2007</v>
      </c>
    </row>
    <row r="186" spans="1:6" ht="15" customHeight="1" x14ac:dyDescent="0.3">
      <c r="A186" s="42" t="s">
        <v>284</v>
      </c>
      <c r="B186" s="43">
        <v>39274</v>
      </c>
      <c r="C186" s="42" t="s">
        <v>31</v>
      </c>
      <c r="D186" s="44">
        <v>19.98</v>
      </c>
      <c r="E186" s="44">
        <v>16.25</v>
      </c>
      <c r="F186">
        <v>2007</v>
      </c>
    </row>
    <row r="187" spans="1:6" ht="15" customHeight="1" x14ac:dyDescent="0.3">
      <c r="A187" s="42" t="s">
        <v>285</v>
      </c>
      <c r="B187" s="43">
        <v>39283</v>
      </c>
      <c r="C187" s="42" t="s">
        <v>31</v>
      </c>
      <c r="D187" s="44">
        <v>21.42</v>
      </c>
      <c r="E187" s="44">
        <v>17.559999999999999</v>
      </c>
      <c r="F187">
        <v>2007</v>
      </c>
    </row>
    <row r="188" spans="1:6" ht="15" customHeight="1" x14ac:dyDescent="0.3">
      <c r="A188" s="42" t="s">
        <v>286</v>
      </c>
      <c r="B188" s="43">
        <v>39294</v>
      </c>
      <c r="C188" s="42" t="s">
        <v>31</v>
      </c>
      <c r="D188" s="44">
        <v>23.24</v>
      </c>
      <c r="E188" s="44">
        <v>18.190000000000001</v>
      </c>
      <c r="F188">
        <v>2007</v>
      </c>
    </row>
    <row r="189" spans="1:6" ht="15" customHeight="1" x14ac:dyDescent="0.3">
      <c r="A189" s="42" t="s">
        <v>287</v>
      </c>
      <c r="B189" s="43">
        <v>39309</v>
      </c>
      <c r="C189" s="42" t="s">
        <v>31</v>
      </c>
      <c r="D189" s="44">
        <v>22.22</v>
      </c>
      <c r="E189" s="44">
        <v>19.71</v>
      </c>
      <c r="F189">
        <v>2007</v>
      </c>
    </row>
    <row r="190" spans="1:6" ht="15" customHeight="1" x14ac:dyDescent="0.3">
      <c r="A190" s="42" t="s">
        <v>288</v>
      </c>
      <c r="B190" s="43">
        <v>39324</v>
      </c>
      <c r="C190" s="42" t="s">
        <v>31</v>
      </c>
      <c r="D190" s="44">
        <v>22.1</v>
      </c>
      <c r="E190" s="44">
        <v>20.73</v>
      </c>
      <c r="F190">
        <v>2007</v>
      </c>
    </row>
    <row r="191" spans="1:6" ht="15" customHeight="1" x14ac:dyDescent="0.3">
      <c r="A191" s="42" t="s">
        <v>290</v>
      </c>
      <c r="B191" s="43">
        <v>39359</v>
      </c>
      <c r="C191" s="42" t="s">
        <v>31</v>
      </c>
      <c r="D191" s="44">
        <v>21.28</v>
      </c>
      <c r="E191" s="44">
        <v>21.09</v>
      </c>
      <c r="F191">
        <v>2007</v>
      </c>
    </row>
    <row r="192" spans="1:6" ht="15" customHeight="1" x14ac:dyDescent="0.3">
      <c r="A192" s="42" t="s">
        <v>291</v>
      </c>
      <c r="B192" s="43">
        <v>39395</v>
      </c>
      <c r="C192" s="42" t="s">
        <v>31</v>
      </c>
      <c r="D192" s="44">
        <v>15.21</v>
      </c>
      <c r="E192" s="44">
        <v>15.65</v>
      </c>
      <c r="F192">
        <v>2007</v>
      </c>
    </row>
    <row r="193" spans="1:6" ht="15" customHeight="1" x14ac:dyDescent="0.3">
      <c r="A193" s="42" t="s">
        <v>292</v>
      </c>
      <c r="B193" s="43">
        <v>39426</v>
      </c>
      <c r="C193" s="42" t="s">
        <v>31</v>
      </c>
      <c r="D193" s="44">
        <v>8.1199999999999992</v>
      </c>
      <c r="E193" s="44">
        <v>8.7100000000000009</v>
      </c>
      <c r="F193">
        <v>2007</v>
      </c>
    </row>
    <row r="194" spans="1:6" ht="15" customHeight="1" x14ac:dyDescent="0.3">
      <c r="A194" s="42" t="s">
        <v>293</v>
      </c>
      <c r="B194" s="43">
        <v>39455</v>
      </c>
      <c r="C194" s="42" t="s">
        <v>31</v>
      </c>
      <c r="D194" s="44">
        <v>5</v>
      </c>
      <c r="E194" s="44">
        <v>5.07</v>
      </c>
      <c r="F194">
        <v>2008</v>
      </c>
    </row>
    <row r="195" spans="1:6" ht="15" customHeight="1" x14ac:dyDescent="0.3">
      <c r="A195" s="42" t="s">
        <v>294</v>
      </c>
      <c r="B195" s="43">
        <v>39485</v>
      </c>
      <c r="C195" s="42" t="s">
        <v>31</v>
      </c>
      <c r="D195" s="44">
        <v>3.21</v>
      </c>
      <c r="E195" s="44">
        <v>3.19</v>
      </c>
      <c r="F195">
        <v>2008</v>
      </c>
    </row>
    <row r="196" spans="1:6" ht="15" customHeight="1" x14ac:dyDescent="0.3">
      <c r="A196" s="42" t="s">
        <v>296</v>
      </c>
      <c r="B196" s="43">
        <v>39513</v>
      </c>
      <c r="C196" s="42" t="s">
        <v>31</v>
      </c>
      <c r="D196" s="44">
        <v>3.08</v>
      </c>
      <c r="E196" s="44">
        <v>2.65</v>
      </c>
      <c r="F196">
        <v>2008</v>
      </c>
    </row>
    <row r="197" spans="1:6" ht="15" customHeight="1" x14ac:dyDescent="0.3">
      <c r="A197" s="42" t="s">
        <v>298</v>
      </c>
      <c r="B197" s="43">
        <v>39547</v>
      </c>
      <c r="C197" s="42" t="s">
        <v>31</v>
      </c>
      <c r="D197" s="44">
        <v>5.59</v>
      </c>
      <c r="E197" s="44">
        <v>5.46</v>
      </c>
      <c r="F197">
        <v>2008</v>
      </c>
    </row>
    <row r="198" spans="1:6" ht="15" customHeight="1" x14ac:dyDescent="0.3">
      <c r="A198" s="42" t="s">
        <v>299</v>
      </c>
      <c r="B198" s="43">
        <v>39574</v>
      </c>
      <c r="C198" s="42" t="s">
        <v>31</v>
      </c>
      <c r="D198" s="44">
        <v>10.67</v>
      </c>
      <c r="E198" s="44">
        <v>9.23</v>
      </c>
      <c r="F198">
        <v>2008</v>
      </c>
    </row>
    <row r="199" spans="1:6" ht="15" customHeight="1" x14ac:dyDescent="0.3">
      <c r="A199" s="42" t="s">
        <v>300</v>
      </c>
      <c r="B199" s="43">
        <v>39604</v>
      </c>
      <c r="C199" s="42" t="s">
        <v>31</v>
      </c>
      <c r="D199" s="44">
        <v>15.57</v>
      </c>
      <c r="E199" s="44">
        <v>11.37</v>
      </c>
      <c r="F199">
        <v>2008</v>
      </c>
    </row>
    <row r="200" spans="1:6" ht="15" customHeight="1" x14ac:dyDescent="0.3">
      <c r="A200" s="42" t="s">
        <v>301</v>
      </c>
      <c r="B200" s="43">
        <v>39616</v>
      </c>
      <c r="C200" s="42" t="s">
        <v>31</v>
      </c>
      <c r="D200" s="44">
        <v>19.27</v>
      </c>
      <c r="E200" s="44">
        <v>12.22</v>
      </c>
      <c r="F200">
        <v>2008</v>
      </c>
    </row>
    <row r="201" spans="1:6" ht="15" customHeight="1" x14ac:dyDescent="0.3">
      <c r="A201" s="42" t="s">
        <v>302</v>
      </c>
      <c r="B201" s="43">
        <v>39631</v>
      </c>
      <c r="C201" s="42" t="s">
        <v>31</v>
      </c>
      <c r="D201" s="44">
        <v>20.399999999999999</v>
      </c>
      <c r="E201" s="44">
        <v>14.4</v>
      </c>
      <c r="F201">
        <v>2008</v>
      </c>
    </row>
    <row r="202" spans="1:6" ht="15" customHeight="1" x14ac:dyDescent="0.3">
      <c r="A202" s="42" t="s">
        <v>304</v>
      </c>
      <c r="B202" s="43">
        <v>39665</v>
      </c>
      <c r="C202" s="42" t="s">
        <v>31</v>
      </c>
      <c r="D202" s="44">
        <v>23.44</v>
      </c>
      <c r="E202" s="44">
        <v>18.95</v>
      </c>
      <c r="F202">
        <v>2008</v>
      </c>
    </row>
    <row r="203" spans="1:6" ht="15" customHeight="1" x14ac:dyDescent="0.3">
      <c r="A203" s="42" t="s">
        <v>305</v>
      </c>
      <c r="B203" s="43">
        <v>39680</v>
      </c>
      <c r="C203" s="42" t="s">
        <v>31</v>
      </c>
      <c r="D203" s="44">
        <v>22.39</v>
      </c>
      <c r="E203" s="44">
        <v>20.32</v>
      </c>
      <c r="F203">
        <v>2008</v>
      </c>
    </row>
    <row r="204" spans="1:6" ht="15" customHeight="1" x14ac:dyDescent="0.3">
      <c r="A204" s="42" t="s">
        <v>306</v>
      </c>
      <c r="B204" s="43">
        <v>39694</v>
      </c>
      <c r="C204" s="42" t="s">
        <v>31</v>
      </c>
      <c r="D204" s="44">
        <v>22.76</v>
      </c>
      <c r="E204" s="44">
        <v>21.29</v>
      </c>
      <c r="F204">
        <v>2008</v>
      </c>
    </row>
    <row r="205" spans="1:6" ht="15" customHeight="1" x14ac:dyDescent="0.3">
      <c r="A205" s="42" t="s">
        <v>307</v>
      </c>
      <c r="B205" s="43">
        <v>39707</v>
      </c>
      <c r="C205" s="42" t="s">
        <v>31</v>
      </c>
      <c r="D205" s="44">
        <v>22.19</v>
      </c>
      <c r="E205" s="44">
        <v>21.08</v>
      </c>
      <c r="F205">
        <v>2008</v>
      </c>
    </row>
    <row r="206" spans="1:6" ht="15" customHeight="1" x14ac:dyDescent="0.3">
      <c r="A206" s="42" t="s">
        <v>308</v>
      </c>
      <c r="B206" s="43">
        <v>39729</v>
      </c>
      <c r="C206" s="42" t="s">
        <v>31</v>
      </c>
      <c r="D206" s="44">
        <v>19.16</v>
      </c>
      <c r="E206" s="44">
        <v>19.29</v>
      </c>
      <c r="F206">
        <v>2008</v>
      </c>
    </row>
    <row r="207" spans="1:6" ht="15" customHeight="1" x14ac:dyDescent="0.3">
      <c r="A207" s="42" t="s">
        <v>309</v>
      </c>
      <c r="B207" s="43">
        <v>39764</v>
      </c>
      <c r="C207" s="42" t="s">
        <v>31</v>
      </c>
      <c r="D207" s="44">
        <v>13.98</v>
      </c>
      <c r="E207" s="44">
        <v>13.97</v>
      </c>
      <c r="F207">
        <v>2008</v>
      </c>
    </row>
    <row r="208" spans="1:6" ht="15" customHeight="1" x14ac:dyDescent="0.3">
      <c r="A208" s="42" t="s">
        <v>310</v>
      </c>
      <c r="B208" s="43">
        <v>39800</v>
      </c>
      <c r="C208" s="42" t="s">
        <v>31</v>
      </c>
      <c r="D208" s="44">
        <v>7.16</v>
      </c>
      <c r="E208" s="44">
        <v>7.38</v>
      </c>
      <c r="F208">
        <v>2008</v>
      </c>
    </row>
    <row r="209" spans="1:6" ht="15" customHeight="1" x14ac:dyDescent="0.3">
      <c r="A209" s="42" t="s">
        <v>311</v>
      </c>
      <c r="B209" s="43">
        <v>39826</v>
      </c>
      <c r="C209" s="42" t="s">
        <v>31</v>
      </c>
      <c r="D209" s="44">
        <v>2.38</v>
      </c>
      <c r="E209" s="44">
        <v>3.22</v>
      </c>
      <c r="F209">
        <v>2009</v>
      </c>
    </row>
    <row r="210" spans="1:6" ht="15" customHeight="1" x14ac:dyDescent="0.3">
      <c r="A210" s="42" t="s">
        <v>312</v>
      </c>
      <c r="B210" s="43">
        <v>39850</v>
      </c>
      <c r="C210" s="42" t="s">
        <v>31</v>
      </c>
      <c r="D210" s="44">
        <v>0.68</v>
      </c>
      <c r="E210" s="44">
        <v>0.94</v>
      </c>
      <c r="F210">
        <v>2009</v>
      </c>
    </row>
    <row r="211" spans="1:6" ht="15" customHeight="1" x14ac:dyDescent="0.3">
      <c r="A211" s="42" t="s">
        <v>314</v>
      </c>
      <c r="B211" s="43">
        <v>39877</v>
      </c>
      <c r="C211" s="42" t="s">
        <v>31</v>
      </c>
      <c r="D211" s="44">
        <v>1.3</v>
      </c>
      <c r="E211" s="44">
        <v>1.48</v>
      </c>
      <c r="F211">
        <v>2009</v>
      </c>
    </row>
    <row r="212" spans="1:6" ht="15" customHeight="1" x14ac:dyDescent="0.3">
      <c r="A212" s="42" t="s">
        <v>316</v>
      </c>
      <c r="B212" s="43">
        <v>39905</v>
      </c>
      <c r="C212" s="42" t="s">
        <v>31</v>
      </c>
      <c r="D212" s="44">
        <v>4.21</v>
      </c>
      <c r="E212" s="46">
        <v>3.25</v>
      </c>
      <c r="F212">
        <v>2009</v>
      </c>
    </row>
    <row r="213" spans="1:6" ht="15" customHeight="1" x14ac:dyDescent="0.3">
      <c r="A213" s="42" t="s">
        <v>317</v>
      </c>
      <c r="B213" s="43">
        <v>39933</v>
      </c>
      <c r="C213" s="42" t="s">
        <v>31</v>
      </c>
      <c r="D213" s="44">
        <v>9.7100000000000009</v>
      </c>
      <c r="E213" s="44">
        <v>6.81</v>
      </c>
      <c r="F213">
        <v>2009</v>
      </c>
    </row>
    <row r="214" spans="1:6" ht="15" customHeight="1" x14ac:dyDescent="0.3">
      <c r="A214" s="42" t="s">
        <v>318</v>
      </c>
      <c r="B214" s="43">
        <v>39972</v>
      </c>
      <c r="C214" s="42" t="s">
        <v>31</v>
      </c>
      <c r="D214" s="44">
        <v>16.11</v>
      </c>
      <c r="E214" s="44">
        <v>11.39</v>
      </c>
      <c r="F214">
        <v>2009</v>
      </c>
    </row>
    <row r="215" spans="1:6" ht="15" customHeight="1" x14ac:dyDescent="0.3">
      <c r="A215" s="42" t="s">
        <v>319</v>
      </c>
      <c r="B215" s="43">
        <v>39987</v>
      </c>
      <c r="C215" s="42" t="s">
        <v>31</v>
      </c>
      <c r="D215" s="44">
        <v>17.32</v>
      </c>
      <c r="E215" s="44">
        <v>12.83</v>
      </c>
      <c r="F215">
        <v>2009</v>
      </c>
    </row>
    <row r="216" spans="1:6" ht="15" customHeight="1" x14ac:dyDescent="0.3">
      <c r="A216" s="42" t="s">
        <v>320</v>
      </c>
      <c r="B216" s="43">
        <v>40003</v>
      </c>
      <c r="C216" s="42" t="s">
        <v>31</v>
      </c>
      <c r="D216" s="44">
        <v>20</v>
      </c>
      <c r="E216" s="44">
        <v>14.98</v>
      </c>
      <c r="F216">
        <v>2009</v>
      </c>
    </row>
    <row r="217" spans="1:6" ht="15" customHeight="1" x14ac:dyDescent="0.3">
      <c r="A217" s="42" t="s">
        <v>321</v>
      </c>
      <c r="B217" s="43">
        <v>40015</v>
      </c>
      <c r="C217" s="42" t="s">
        <v>31</v>
      </c>
      <c r="D217" s="44">
        <v>21.26</v>
      </c>
      <c r="E217" s="44">
        <v>15.47</v>
      </c>
      <c r="F217">
        <v>2009</v>
      </c>
    </row>
    <row r="218" spans="1:6" ht="15" customHeight="1" x14ac:dyDescent="0.3">
      <c r="A218" s="42" t="s">
        <v>322</v>
      </c>
      <c r="B218" s="43">
        <v>40029</v>
      </c>
      <c r="C218" s="42" t="s">
        <v>31</v>
      </c>
      <c r="D218" s="44">
        <v>22.76</v>
      </c>
      <c r="E218" s="44">
        <v>18.16</v>
      </c>
      <c r="F218">
        <v>2009</v>
      </c>
    </row>
    <row r="219" spans="1:6" ht="15" customHeight="1" x14ac:dyDescent="0.3">
      <c r="A219" s="42" t="s">
        <v>323</v>
      </c>
      <c r="B219" s="43">
        <v>40043</v>
      </c>
      <c r="C219" s="42" t="s">
        <v>31</v>
      </c>
      <c r="D219" s="44">
        <v>23.89</v>
      </c>
      <c r="E219" s="44">
        <v>19.05</v>
      </c>
      <c r="F219">
        <v>2009</v>
      </c>
    </row>
    <row r="220" spans="1:6" ht="15" customHeight="1" x14ac:dyDescent="0.3">
      <c r="A220" s="42" t="s">
        <v>324</v>
      </c>
      <c r="B220" s="43">
        <v>40058</v>
      </c>
      <c r="C220" s="42" t="s">
        <v>31</v>
      </c>
      <c r="D220" s="44">
        <v>22.2</v>
      </c>
      <c r="E220" s="44">
        <v>20.420000000000002</v>
      </c>
      <c r="F220">
        <v>2009</v>
      </c>
    </row>
    <row r="221" spans="1:6" ht="15" customHeight="1" x14ac:dyDescent="0.3">
      <c r="A221" s="42" t="s">
        <v>325</v>
      </c>
      <c r="B221" s="43">
        <v>40094</v>
      </c>
      <c r="C221" s="42" t="s">
        <v>31</v>
      </c>
      <c r="D221" s="44">
        <v>18.79</v>
      </c>
      <c r="E221" s="44">
        <v>19.11</v>
      </c>
      <c r="F221">
        <v>2009</v>
      </c>
    </row>
    <row r="222" spans="1:6" ht="15" customHeight="1" x14ac:dyDescent="0.3">
      <c r="A222" s="42" t="s">
        <v>326</v>
      </c>
      <c r="B222" s="43">
        <v>40122</v>
      </c>
      <c r="C222" s="42" t="s">
        <v>31</v>
      </c>
      <c r="D222" s="44">
        <v>13.89</v>
      </c>
      <c r="E222" s="44">
        <v>14.5</v>
      </c>
      <c r="F222">
        <v>2009</v>
      </c>
    </row>
    <row r="223" spans="1:6" ht="15" customHeight="1" x14ac:dyDescent="0.3">
      <c r="A223" s="42" t="s">
        <v>327</v>
      </c>
      <c r="B223" s="43">
        <v>40154</v>
      </c>
      <c r="C223" s="42" t="s">
        <v>31</v>
      </c>
      <c r="D223" s="44">
        <v>10.55</v>
      </c>
      <c r="E223" s="44">
        <v>10.67</v>
      </c>
      <c r="F223">
        <v>2009</v>
      </c>
    </row>
    <row r="224" spans="1:6" ht="15" customHeight="1" x14ac:dyDescent="0.3">
      <c r="A224" s="42" t="s">
        <v>328</v>
      </c>
      <c r="B224" s="43">
        <v>40186</v>
      </c>
      <c r="C224" s="42" t="s">
        <v>31</v>
      </c>
      <c r="D224" s="44">
        <v>2.72</v>
      </c>
      <c r="E224" s="44">
        <v>3.35</v>
      </c>
      <c r="F224">
        <v>2010</v>
      </c>
    </row>
    <row r="225" spans="1:6" ht="15" customHeight="1" x14ac:dyDescent="0.3">
      <c r="A225" s="42" t="s">
        <v>329</v>
      </c>
      <c r="B225" s="43">
        <v>40218</v>
      </c>
      <c r="C225" s="42" t="s">
        <v>31</v>
      </c>
      <c r="D225" s="44">
        <v>1.04</v>
      </c>
      <c r="E225" s="44">
        <v>1.46</v>
      </c>
      <c r="F225">
        <v>2010</v>
      </c>
    </row>
    <row r="226" spans="1:6" ht="15" customHeight="1" x14ac:dyDescent="0.3">
      <c r="A226" s="42" t="s">
        <v>330</v>
      </c>
      <c r="B226" s="43">
        <v>40242</v>
      </c>
      <c r="C226" s="42" t="s">
        <v>31</v>
      </c>
      <c r="D226" s="44">
        <v>2.13</v>
      </c>
      <c r="E226" s="44">
        <v>1.79</v>
      </c>
      <c r="F226">
        <v>2010</v>
      </c>
    </row>
    <row r="227" spans="1:6" ht="15" customHeight="1" x14ac:dyDescent="0.3">
      <c r="A227" s="42" t="s">
        <v>332</v>
      </c>
      <c r="B227" s="43">
        <v>40269</v>
      </c>
      <c r="C227" s="42" t="s">
        <v>31</v>
      </c>
      <c r="D227" s="44">
        <v>6.07</v>
      </c>
      <c r="E227" s="44">
        <v>4.49</v>
      </c>
      <c r="F227">
        <v>2010</v>
      </c>
    </row>
    <row r="228" spans="1:6" ht="15" customHeight="1" x14ac:dyDescent="0.3">
      <c r="A228" s="42" t="s">
        <v>333</v>
      </c>
      <c r="B228" s="43">
        <v>40303</v>
      </c>
      <c r="C228" s="42" t="s">
        <v>31</v>
      </c>
      <c r="D228" s="44">
        <v>11.19</v>
      </c>
      <c r="E228" s="44">
        <v>8.2200000000000006</v>
      </c>
      <c r="F228">
        <v>2010</v>
      </c>
    </row>
    <row r="229" spans="1:6" ht="15" customHeight="1" x14ac:dyDescent="0.3">
      <c r="A229" s="42" t="s">
        <v>334</v>
      </c>
      <c r="B229" s="43">
        <v>40325</v>
      </c>
      <c r="C229" s="42" t="s">
        <v>31</v>
      </c>
      <c r="D229" s="44">
        <v>16.13</v>
      </c>
      <c r="E229" s="44">
        <v>10.74</v>
      </c>
      <c r="F229">
        <v>2010</v>
      </c>
    </row>
    <row r="230" spans="1:6" ht="15" customHeight="1" x14ac:dyDescent="0.3">
      <c r="A230" s="42" t="s">
        <v>335</v>
      </c>
      <c r="B230" s="43">
        <v>40347</v>
      </c>
      <c r="C230" s="42" t="s">
        <v>31</v>
      </c>
      <c r="D230" s="44">
        <v>17.350000000000001</v>
      </c>
      <c r="E230" s="44">
        <v>13.42</v>
      </c>
      <c r="F230">
        <v>2010</v>
      </c>
    </row>
    <row r="231" spans="1:6" ht="15" customHeight="1" x14ac:dyDescent="0.3">
      <c r="A231" s="42" t="s">
        <v>336</v>
      </c>
      <c r="B231" s="43">
        <v>40368</v>
      </c>
      <c r="C231" s="42" t="s">
        <v>31</v>
      </c>
      <c r="D231" s="44">
        <v>21.66</v>
      </c>
      <c r="E231" s="44">
        <v>15.71</v>
      </c>
      <c r="F231">
        <v>2010</v>
      </c>
    </row>
    <row r="232" spans="1:6" ht="15" customHeight="1" x14ac:dyDescent="0.3">
      <c r="A232" s="42" t="s">
        <v>337</v>
      </c>
      <c r="B232" s="43">
        <v>40382</v>
      </c>
      <c r="C232" s="42" t="s">
        <v>31</v>
      </c>
      <c r="D232" s="44">
        <v>22.61</v>
      </c>
      <c r="E232" s="44">
        <v>19.07</v>
      </c>
      <c r="F232">
        <v>2010</v>
      </c>
    </row>
    <row r="233" spans="1:6" ht="15" customHeight="1" x14ac:dyDescent="0.3">
      <c r="A233" s="42" t="s">
        <v>338</v>
      </c>
      <c r="B233" s="43">
        <v>40394</v>
      </c>
      <c r="C233" s="42" t="s">
        <v>31</v>
      </c>
      <c r="D233" s="44">
        <v>22.9</v>
      </c>
      <c r="E233" s="44">
        <v>19.86</v>
      </c>
      <c r="F233">
        <v>2010</v>
      </c>
    </row>
    <row r="234" spans="1:6" ht="15" customHeight="1" x14ac:dyDescent="0.3">
      <c r="A234" s="42" t="s">
        <v>339</v>
      </c>
      <c r="B234" s="43">
        <v>40407</v>
      </c>
      <c r="C234" s="42" t="s">
        <v>31</v>
      </c>
      <c r="D234" s="44">
        <v>23.57</v>
      </c>
      <c r="E234" s="44">
        <v>21.7</v>
      </c>
      <c r="F234">
        <v>2010</v>
      </c>
    </row>
    <row r="235" spans="1:6" ht="15" customHeight="1" x14ac:dyDescent="0.3">
      <c r="A235" s="42" t="s">
        <v>340</v>
      </c>
      <c r="B235" s="43">
        <v>40422</v>
      </c>
      <c r="C235" s="42" t="s">
        <v>31</v>
      </c>
      <c r="D235" s="44">
        <v>24.02</v>
      </c>
      <c r="E235" s="44">
        <v>22.05</v>
      </c>
      <c r="F235">
        <v>2010</v>
      </c>
    </row>
    <row r="236" spans="1:6" ht="15" customHeight="1" x14ac:dyDescent="0.3">
      <c r="A236" s="42" t="s">
        <v>341</v>
      </c>
      <c r="B236" s="43">
        <v>40463</v>
      </c>
      <c r="C236" s="42" t="s">
        <v>31</v>
      </c>
      <c r="D236" s="44">
        <v>19.03</v>
      </c>
      <c r="E236" s="44">
        <v>19.059999999999999</v>
      </c>
      <c r="F236">
        <v>2010</v>
      </c>
    </row>
    <row r="237" spans="1:6" ht="15" customHeight="1" x14ac:dyDescent="0.3">
      <c r="A237" s="42" t="s">
        <v>342</v>
      </c>
      <c r="B237" s="43">
        <v>40487</v>
      </c>
      <c r="C237" s="42" t="s">
        <v>31</v>
      </c>
      <c r="D237" s="44">
        <v>14.81</v>
      </c>
      <c r="E237" s="44">
        <v>15</v>
      </c>
      <c r="F237">
        <v>2010</v>
      </c>
    </row>
    <row r="238" spans="1:6" ht="15" customHeight="1" x14ac:dyDescent="0.3">
      <c r="A238" s="42" t="s">
        <v>343</v>
      </c>
      <c r="B238" s="43">
        <v>40515</v>
      </c>
      <c r="C238" s="42" t="s">
        <v>31</v>
      </c>
      <c r="D238" s="44">
        <v>9.6300000000000008</v>
      </c>
      <c r="E238" s="44">
        <v>10.4</v>
      </c>
      <c r="F238">
        <v>2010</v>
      </c>
    </row>
    <row r="239" spans="1:6" ht="15" customHeight="1" x14ac:dyDescent="0.3">
      <c r="A239" s="42" t="s">
        <v>344</v>
      </c>
      <c r="B239" s="43">
        <v>40547</v>
      </c>
      <c r="C239" s="42" t="s">
        <v>31</v>
      </c>
      <c r="D239" s="44">
        <v>3.55</v>
      </c>
      <c r="E239" s="44">
        <v>3.7</v>
      </c>
      <c r="F239">
        <v>2011</v>
      </c>
    </row>
    <row r="240" spans="1:6" ht="15" customHeight="1" x14ac:dyDescent="0.3">
      <c r="A240" s="42" t="s">
        <v>345</v>
      </c>
      <c r="B240" s="43">
        <v>40581</v>
      </c>
      <c r="C240" s="42" t="s">
        <v>31</v>
      </c>
      <c r="D240" s="44">
        <v>1.1299999999999999</v>
      </c>
      <c r="E240" s="44">
        <v>0.88</v>
      </c>
      <c r="F240">
        <v>2011</v>
      </c>
    </row>
    <row r="241" spans="1:6" ht="15" customHeight="1" x14ac:dyDescent="0.3">
      <c r="A241" s="42" t="s">
        <v>347</v>
      </c>
      <c r="B241" s="43">
        <v>40617</v>
      </c>
      <c r="C241" s="42" t="s">
        <v>31</v>
      </c>
      <c r="D241" s="44">
        <v>3.29</v>
      </c>
      <c r="E241" s="44">
        <v>2.2400000000000002</v>
      </c>
      <c r="F241">
        <v>2011</v>
      </c>
    </row>
    <row r="242" spans="1:6" ht="15" customHeight="1" x14ac:dyDescent="0.3">
      <c r="A242" s="42" t="s">
        <v>348</v>
      </c>
      <c r="B242" s="43">
        <v>40641</v>
      </c>
      <c r="C242" s="42" t="s">
        <v>31</v>
      </c>
      <c r="D242" s="44">
        <v>4.75</v>
      </c>
      <c r="E242" s="46">
        <v>3.92</v>
      </c>
      <c r="F242">
        <v>2011</v>
      </c>
    </row>
    <row r="243" spans="1:6" ht="15" customHeight="1" x14ac:dyDescent="0.3">
      <c r="A243" s="42" t="s">
        <v>349</v>
      </c>
      <c r="B243" s="43">
        <v>40666</v>
      </c>
      <c r="C243" s="42" t="s">
        <v>31</v>
      </c>
      <c r="D243" s="44">
        <v>11.13</v>
      </c>
      <c r="E243" s="44">
        <v>6.79</v>
      </c>
      <c r="F243">
        <v>2011</v>
      </c>
    </row>
    <row r="244" spans="1:6" ht="15" customHeight="1" x14ac:dyDescent="0.3">
      <c r="A244" s="42" t="s">
        <v>350</v>
      </c>
      <c r="B244" s="43">
        <v>40700</v>
      </c>
      <c r="C244" s="42" t="s">
        <v>31</v>
      </c>
      <c r="D244" s="44">
        <v>16.329999999999998</v>
      </c>
      <c r="E244" s="44">
        <v>11.08</v>
      </c>
      <c r="F244">
        <v>2011</v>
      </c>
    </row>
    <row r="245" spans="1:6" ht="15" customHeight="1" x14ac:dyDescent="0.3">
      <c r="A245" s="42" t="s">
        <v>351</v>
      </c>
      <c r="B245" s="43">
        <v>40710</v>
      </c>
      <c r="C245" s="42" t="s">
        <v>31</v>
      </c>
      <c r="D245" s="44">
        <v>17.899999999999999</v>
      </c>
      <c r="E245" s="44">
        <v>12.54</v>
      </c>
      <c r="F245">
        <v>2011</v>
      </c>
    </row>
    <row r="246" spans="1:6" ht="15" customHeight="1" x14ac:dyDescent="0.3">
      <c r="A246" s="42" t="s">
        <v>352</v>
      </c>
      <c r="B246" s="43">
        <v>40731</v>
      </c>
      <c r="C246" s="42" t="s">
        <v>31</v>
      </c>
      <c r="D246" s="44">
        <v>20.88</v>
      </c>
      <c r="E246" s="44">
        <v>15.35</v>
      </c>
      <c r="F246">
        <v>2011</v>
      </c>
    </row>
    <row r="247" spans="1:6" ht="15" customHeight="1" x14ac:dyDescent="0.3">
      <c r="A247" s="42" t="s">
        <v>353</v>
      </c>
      <c r="B247" s="43">
        <v>40743</v>
      </c>
      <c r="C247" s="42" t="s">
        <v>31</v>
      </c>
      <c r="D247" s="44">
        <v>21.3</v>
      </c>
      <c r="E247" s="44">
        <v>17.260000000000002</v>
      </c>
      <c r="F247">
        <v>2011</v>
      </c>
    </row>
    <row r="248" spans="1:6" ht="15" customHeight="1" x14ac:dyDescent="0.3">
      <c r="A248" s="42" t="s">
        <v>354</v>
      </c>
      <c r="B248" s="43">
        <v>40757</v>
      </c>
      <c r="C248" s="42" t="s">
        <v>31</v>
      </c>
      <c r="D248" s="44">
        <v>23.1</v>
      </c>
      <c r="E248" s="44">
        <v>20.32</v>
      </c>
      <c r="F248">
        <v>2011</v>
      </c>
    </row>
    <row r="249" spans="1:6" ht="15" customHeight="1" x14ac:dyDescent="0.3">
      <c r="A249" s="42" t="s">
        <v>355</v>
      </c>
      <c r="B249" s="43">
        <v>40771</v>
      </c>
      <c r="C249" s="42" t="s">
        <v>31</v>
      </c>
      <c r="D249" s="44">
        <v>22.52</v>
      </c>
      <c r="E249" s="44">
        <v>20.74</v>
      </c>
      <c r="F249">
        <v>2011</v>
      </c>
    </row>
    <row r="250" spans="1:6" ht="15" customHeight="1" x14ac:dyDescent="0.3">
      <c r="A250" s="42" t="s">
        <v>356</v>
      </c>
      <c r="B250" s="43">
        <v>40787</v>
      </c>
      <c r="C250" s="42" t="s">
        <v>31</v>
      </c>
      <c r="D250" s="44">
        <v>23.68</v>
      </c>
      <c r="E250" s="44">
        <v>21.87</v>
      </c>
      <c r="F250">
        <v>2011</v>
      </c>
    </row>
    <row r="251" spans="1:6" ht="15" customHeight="1" x14ac:dyDescent="0.3">
      <c r="A251" s="42" t="s">
        <v>357</v>
      </c>
      <c r="B251" s="43">
        <v>40823</v>
      </c>
      <c r="C251" s="42" t="s">
        <v>31</v>
      </c>
      <c r="D251" s="44">
        <v>19.84</v>
      </c>
      <c r="E251" s="44">
        <v>20.85</v>
      </c>
      <c r="F251">
        <v>2011</v>
      </c>
    </row>
    <row r="252" spans="1:6" ht="15" customHeight="1" x14ac:dyDescent="0.3">
      <c r="A252" s="42" t="s">
        <v>358</v>
      </c>
      <c r="B252" s="43">
        <v>40856</v>
      </c>
      <c r="C252" s="42" t="s">
        <v>31</v>
      </c>
      <c r="D252" s="44">
        <v>14.01</v>
      </c>
      <c r="E252" s="44">
        <v>14.55</v>
      </c>
      <c r="F252">
        <v>2011</v>
      </c>
    </row>
    <row r="253" spans="1:6" ht="15" customHeight="1" x14ac:dyDescent="0.3">
      <c r="A253" s="42" t="s">
        <v>359</v>
      </c>
      <c r="B253" s="43">
        <v>40878</v>
      </c>
      <c r="C253" s="42" t="s">
        <v>31</v>
      </c>
      <c r="D253" s="44">
        <v>11.79</v>
      </c>
      <c r="E253" s="44">
        <v>12.06</v>
      </c>
      <c r="F253">
        <v>2011</v>
      </c>
    </row>
    <row r="254" spans="1:6" ht="15" customHeight="1" x14ac:dyDescent="0.3">
      <c r="A254" s="42" t="s">
        <v>360</v>
      </c>
      <c r="B254" s="43">
        <v>40919</v>
      </c>
      <c r="C254" s="42" t="s">
        <v>31</v>
      </c>
      <c r="D254" s="44">
        <v>6.35</v>
      </c>
      <c r="E254" s="44">
        <v>6.97</v>
      </c>
      <c r="F254">
        <v>2012</v>
      </c>
    </row>
    <row r="255" spans="1:6" ht="15" customHeight="1" x14ac:dyDescent="0.3">
      <c r="A255" s="42" t="s">
        <v>361</v>
      </c>
      <c r="B255" s="43">
        <v>40946</v>
      </c>
      <c r="C255" s="42" t="s">
        <v>31</v>
      </c>
      <c r="D255" s="44">
        <v>4.47</v>
      </c>
      <c r="E255" s="44">
        <v>5.16</v>
      </c>
      <c r="F255">
        <v>2012</v>
      </c>
    </row>
    <row r="256" spans="1:6" ht="15" customHeight="1" x14ac:dyDescent="0.3">
      <c r="A256" s="42" t="s">
        <v>363</v>
      </c>
      <c r="B256" s="43">
        <v>40974</v>
      </c>
      <c r="C256" s="42" t="s">
        <v>31</v>
      </c>
      <c r="D256" s="44">
        <v>4.51</v>
      </c>
      <c r="E256" s="44">
        <v>4.93</v>
      </c>
      <c r="F256">
        <v>2012</v>
      </c>
    </row>
    <row r="257" spans="1:6" ht="15" customHeight="1" x14ac:dyDescent="0.3">
      <c r="A257" s="42" t="s">
        <v>365</v>
      </c>
      <c r="B257" s="43">
        <v>41003</v>
      </c>
      <c r="C257" s="42" t="s">
        <v>31</v>
      </c>
      <c r="D257" s="44">
        <v>8.09</v>
      </c>
      <c r="E257" s="44">
        <v>6.82</v>
      </c>
      <c r="F257">
        <v>2012</v>
      </c>
    </row>
    <row r="258" spans="1:6" ht="15" customHeight="1" x14ac:dyDescent="0.3">
      <c r="A258" s="42" t="s">
        <v>366</v>
      </c>
      <c r="B258" s="43">
        <v>41031</v>
      </c>
      <c r="C258" s="42" t="s">
        <v>31</v>
      </c>
      <c r="D258" s="44">
        <v>10.93</v>
      </c>
      <c r="E258" s="44">
        <v>9.8800000000000008</v>
      </c>
      <c r="F258">
        <v>2012</v>
      </c>
    </row>
    <row r="259" spans="1:6" ht="15" customHeight="1" x14ac:dyDescent="0.3">
      <c r="A259" s="42" t="s">
        <v>367</v>
      </c>
      <c r="B259" s="43">
        <v>41060</v>
      </c>
      <c r="C259" s="42" t="s">
        <v>31</v>
      </c>
      <c r="D259" s="44">
        <v>19.22</v>
      </c>
      <c r="E259" s="44">
        <v>12.25</v>
      </c>
      <c r="F259">
        <v>2012</v>
      </c>
    </row>
    <row r="260" spans="1:6" ht="15" customHeight="1" x14ac:dyDescent="0.3">
      <c r="A260" s="42" t="s">
        <v>369</v>
      </c>
      <c r="B260" s="43">
        <v>41088</v>
      </c>
      <c r="C260" s="42" t="s">
        <v>31</v>
      </c>
      <c r="D260" s="44">
        <v>20.329999999999998</v>
      </c>
      <c r="E260" s="44">
        <v>15.65</v>
      </c>
      <c r="F260">
        <v>2012</v>
      </c>
    </row>
    <row r="261" spans="1:6" ht="15" customHeight="1" x14ac:dyDescent="0.3">
      <c r="A261" s="42" t="s">
        <v>370</v>
      </c>
      <c r="B261" s="43">
        <v>41107</v>
      </c>
      <c r="C261" s="42" t="s">
        <v>31</v>
      </c>
      <c r="D261" s="44">
        <v>23.22</v>
      </c>
      <c r="E261" s="44">
        <v>18.920000000000002</v>
      </c>
      <c r="F261">
        <v>2012</v>
      </c>
    </row>
    <row r="262" spans="1:6" ht="15" customHeight="1" x14ac:dyDescent="0.3">
      <c r="A262" s="42" t="s">
        <v>371</v>
      </c>
      <c r="B262" s="43">
        <v>41122</v>
      </c>
      <c r="C262" s="42" t="s">
        <v>31</v>
      </c>
      <c r="D262" s="44">
        <v>22.98</v>
      </c>
      <c r="E262" s="44">
        <v>20.69</v>
      </c>
      <c r="F262">
        <v>2012</v>
      </c>
    </row>
    <row r="263" spans="1:6" ht="15" customHeight="1" x14ac:dyDescent="0.3">
      <c r="A263" s="42" t="s">
        <v>372</v>
      </c>
      <c r="B263" s="43">
        <v>41136</v>
      </c>
      <c r="C263" s="42" t="s">
        <v>31</v>
      </c>
      <c r="D263" s="44">
        <v>24.69</v>
      </c>
      <c r="E263" s="44">
        <v>21.81</v>
      </c>
      <c r="F263">
        <v>2012</v>
      </c>
    </row>
    <row r="264" spans="1:6" ht="15" customHeight="1" x14ac:dyDescent="0.3">
      <c r="A264" s="42" t="s">
        <v>373</v>
      </c>
      <c r="B264" s="43">
        <v>41151</v>
      </c>
      <c r="C264" s="42" t="s">
        <v>31</v>
      </c>
      <c r="D264" s="46">
        <v>23.98</v>
      </c>
      <c r="E264" s="44">
        <v>22.67</v>
      </c>
      <c r="F264">
        <v>2012</v>
      </c>
    </row>
    <row r="265" spans="1:6" ht="15" customHeight="1" x14ac:dyDescent="0.3">
      <c r="A265" s="42" t="s">
        <v>374</v>
      </c>
      <c r="B265" s="43">
        <v>41169</v>
      </c>
      <c r="C265" s="42" t="s">
        <v>31</v>
      </c>
      <c r="D265" s="44">
        <v>22.85</v>
      </c>
      <c r="E265" s="44">
        <v>22.94</v>
      </c>
      <c r="F265">
        <v>2012</v>
      </c>
    </row>
    <row r="266" spans="1:6" ht="15" customHeight="1" x14ac:dyDescent="0.3">
      <c r="A266" s="42" t="s">
        <v>375</v>
      </c>
      <c r="B266" s="43">
        <v>41184</v>
      </c>
      <c r="C266" s="42" t="s">
        <v>31</v>
      </c>
      <c r="D266" s="44">
        <v>21.18</v>
      </c>
      <c r="E266" s="44">
        <v>21.12</v>
      </c>
      <c r="F266">
        <v>2012</v>
      </c>
    </row>
    <row r="267" spans="1:6" ht="15" customHeight="1" x14ac:dyDescent="0.3">
      <c r="A267" s="42" t="s">
        <v>376</v>
      </c>
      <c r="B267" s="43">
        <v>41228</v>
      </c>
      <c r="C267" s="42" t="s">
        <v>31</v>
      </c>
      <c r="D267" s="44">
        <v>12.62</v>
      </c>
      <c r="E267" s="44">
        <v>12.63</v>
      </c>
      <c r="F267">
        <v>2012</v>
      </c>
    </row>
    <row r="268" spans="1:6" ht="15" customHeight="1" x14ac:dyDescent="0.3">
      <c r="A268" s="42" t="s">
        <v>377</v>
      </c>
      <c r="B268" s="43">
        <v>41248</v>
      </c>
      <c r="C268" s="42" t="s">
        <v>31</v>
      </c>
      <c r="D268" s="44">
        <v>9.4499999999999993</v>
      </c>
      <c r="E268" s="44">
        <v>9.9700000000000006</v>
      </c>
      <c r="F268">
        <v>2012</v>
      </c>
    </row>
    <row r="269" spans="1:6" ht="15" customHeight="1" x14ac:dyDescent="0.3">
      <c r="A269" s="42" t="s">
        <v>378</v>
      </c>
      <c r="B269" s="43">
        <v>41284</v>
      </c>
      <c r="C269" s="42" t="s">
        <v>31</v>
      </c>
      <c r="D269" s="44">
        <v>5.23</v>
      </c>
      <c r="E269" s="44">
        <v>5.29</v>
      </c>
      <c r="F269">
        <v>2013</v>
      </c>
    </row>
    <row r="270" spans="1:6" ht="15" customHeight="1" x14ac:dyDescent="0.3">
      <c r="A270" s="42" t="s">
        <v>379</v>
      </c>
      <c r="B270" s="43">
        <v>41310</v>
      </c>
      <c r="C270" s="42" t="s">
        <v>31</v>
      </c>
      <c r="D270" s="46">
        <v>2.59</v>
      </c>
      <c r="E270" s="44">
        <v>2.77</v>
      </c>
      <c r="F270">
        <v>2013</v>
      </c>
    </row>
    <row r="271" spans="1:6" ht="15" customHeight="1" x14ac:dyDescent="0.3">
      <c r="A271" s="42" t="s">
        <v>381</v>
      </c>
      <c r="B271" s="43">
        <v>41345</v>
      </c>
      <c r="C271" s="42" t="s">
        <v>31</v>
      </c>
      <c r="D271" s="44">
        <v>2.86</v>
      </c>
      <c r="E271" s="44">
        <v>2.44</v>
      </c>
      <c r="F271">
        <v>2013</v>
      </c>
    </row>
    <row r="272" spans="1:6" ht="15" customHeight="1" x14ac:dyDescent="0.3">
      <c r="A272" s="42" t="s">
        <v>382</v>
      </c>
      <c r="B272" s="43">
        <v>41369</v>
      </c>
      <c r="C272" s="42" t="s">
        <v>31</v>
      </c>
      <c r="D272" s="44">
        <v>4.34</v>
      </c>
      <c r="E272" s="44">
        <v>3.98</v>
      </c>
      <c r="F272">
        <v>2013</v>
      </c>
    </row>
    <row r="273" spans="1:6" ht="15" customHeight="1" x14ac:dyDescent="0.3">
      <c r="A273" s="42" t="s">
        <v>383</v>
      </c>
      <c r="B273" s="43">
        <v>41394</v>
      </c>
      <c r="C273" s="42" t="s">
        <v>31</v>
      </c>
      <c r="D273" s="44">
        <v>9.75</v>
      </c>
      <c r="E273" s="44">
        <v>7.54</v>
      </c>
      <c r="F273">
        <v>2013</v>
      </c>
    </row>
    <row r="274" spans="1:6" ht="15" customHeight="1" x14ac:dyDescent="0.3">
      <c r="A274" s="42" t="s">
        <v>384</v>
      </c>
      <c r="B274" s="43">
        <v>41429</v>
      </c>
      <c r="C274" s="42" t="s">
        <v>31</v>
      </c>
      <c r="D274" s="44">
        <v>15.64</v>
      </c>
      <c r="E274" s="44">
        <v>11.77</v>
      </c>
      <c r="F274">
        <v>2013</v>
      </c>
    </row>
    <row r="275" spans="1:6" ht="15" customHeight="1" x14ac:dyDescent="0.3">
      <c r="A275" s="42" t="s">
        <v>385</v>
      </c>
      <c r="B275" s="43">
        <v>41446</v>
      </c>
      <c r="C275" s="42" t="s">
        <v>31</v>
      </c>
      <c r="D275" s="44">
        <v>19.45</v>
      </c>
      <c r="E275" s="44">
        <v>13.88</v>
      </c>
      <c r="F275">
        <v>2013</v>
      </c>
    </row>
    <row r="276" spans="1:6" ht="15" customHeight="1" x14ac:dyDescent="0.3">
      <c r="A276" s="42" t="s">
        <v>386</v>
      </c>
      <c r="B276" s="43">
        <v>41458</v>
      </c>
      <c r="C276" s="42" t="s">
        <v>31</v>
      </c>
      <c r="D276" s="44">
        <v>21.66</v>
      </c>
      <c r="E276" s="44">
        <v>15.45</v>
      </c>
      <c r="F276">
        <v>2013</v>
      </c>
    </row>
    <row r="277" spans="1:6" ht="15" customHeight="1" x14ac:dyDescent="0.3">
      <c r="A277" s="42" t="s">
        <v>387</v>
      </c>
      <c r="B277" s="43">
        <v>41471</v>
      </c>
      <c r="C277" s="42" t="s">
        <v>31</v>
      </c>
      <c r="D277" s="44">
        <v>23.46</v>
      </c>
      <c r="E277" s="44">
        <v>17.010000000000002</v>
      </c>
      <c r="F277">
        <v>2013</v>
      </c>
    </row>
    <row r="278" spans="1:6" ht="15" customHeight="1" x14ac:dyDescent="0.3">
      <c r="A278" s="42" t="s">
        <v>388</v>
      </c>
      <c r="B278" s="43">
        <v>41485</v>
      </c>
      <c r="C278" s="42" t="s">
        <v>31</v>
      </c>
      <c r="D278" s="46">
        <v>22.31</v>
      </c>
      <c r="E278" s="46">
        <v>19.170000000000002</v>
      </c>
      <c r="F278">
        <v>2013</v>
      </c>
    </row>
    <row r="279" spans="1:6" ht="15" customHeight="1" x14ac:dyDescent="0.3">
      <c r="A279" s="42" t="s">
        <v>389</v>
      </c>
      <c r="B279" s="43">
        <v>41499</v>
      </c>
      <c r="C279" s="42" t="s">
        <v>31</v>
      </c>
      <c r="D279" s="44">
        <v>22.35</v>
      </c>
      <c r="E279" s="44">
        <v>20.190000000000001</v>
      </c>
      <c r="F279">
        <v>2013</v>
      </c>
    </row>
    <row r="280" spans="1:6" ht="15" customHeight="1" x14ac:dyDescent="0.3">
      <c r="A280" s="42" t="s">
        <v>390</v>
      </c>
      <c r="B280" s="43">
        <v>41515</v>
      </c>
      <c r="C280" s="42" t="s">
        <v>31</v>
      </c>
      <c r="D280" s="44">
        <v>22.95</v>
      </c>
      <c r="E280" s="44">
        <v>21.61</v>
      </c>
      <c r="F280">
        <v>2013</v>
      </c>
    </row>
    <row r="281" spans="1:6" ht="15" customHeight="1" x14ac:dyDescent="0.3">
      <c r="A281" s="42" t="s">
        <v>391</v>
      </c>
      <c r="B281" s="43">
        <v>41526</v>
      </c>
      <c r="C281" s="42" t="s">
        <v>31</v>
      </c>
      <c r="D281" s="44">
        <v>22.2</v>
      </c>
      <c r="E281" s="44">
        <v>21.61</v>
      </c>
      <c r="F281">
        <v>2013</v>
      </c>
    </row>
    <row r="282" spans="1:6" ht="15" customHeight="1" x14ac:dyDescent="0.3">
      <c r="A282" s="42" t="s">
        <v>392</v>
      </c>
      <c r="B282" s="43">
        <v>41549</v>
      </c>
      <c r="C282" s="42" t="s">
        <v>31</v>
      </c>
      <c r="D282" s="44">
        <v>20.58</v>
      </c>
      <c r="E282" s="44">
        <v>20.16</v>
      </c>
      <c r="F282">
        <v>2013</v>
      </c>
    </row>
    <row r="283" spans="1:6" ht="15" customHeight="1" x14ac:dyDescent="0.3">
      <c r="A283" s="42" t="s">
        <v>393</v>
      </c>
      <c r="B283" s="43">
        <v>41584</v>
      </c>
      <c r="C283" s="42" t="s">
        <v>31</v>
      </c>
      <c r="D283" s="44">
        <v>15.05</v>
      </c>
      <c r="E283" s="44">
        <v>15.48</v>
      </c>
      <c r="F283">
        <v>2013</v>
      </c>
    </row>
    <row r="284" spans="1:6" ht="15" customHeight="1" x14ac:dyDescent="0.3">
      <c r="A284" s="42" t="s">
        <v>394</v>
      </c>
      <c r="B284" s="43">
        <v>41617</v>
      </c>
      <c r="C284" s="42" t="s">
        <v>31</v>
      </c>
      <c r="D284" s="44">
        <v>8.56</v>
      </c>
      <c r="E284" s="44">
        <v>8.51</v>
      </c>
      <c r="F284">
        <v>2013</v>
      </c>
    </row>
    <row r="285" spans="1:6" ht="15" customHeight="1" x14ac:dyDescent="0.3">
      <c r="A285" s="42" t="s">
        <v>395</v>
      </c>
      <c r="B285" s="43">
        <v>41649</v>
      </c>
      <c r="C285" s="42" t="s">
        <v>31</v>
      </c>
      <c r="D285" s="44">
        <v>2.35</v>
      </c>
      <c r="E285" s="44">
        <v>3.18</v>
      </c>
      <c r="F285">
        <v>2014</v>
      </c>
    </row>
    <row r="286" spans="1:6" ht="15" customHeight="1" x14ac:dyDescent="0.3">
      <c r="A286" s="42" t="s">
        <v>396</v>
      </c>
      <c r="B286" s="43">
        <v>41674</v>
      </c>
      <c r="C286" s="42" t="s">
        <v>31</v>
      </c>
      <c r="D286" s="44">
        <v>0.78</v>
      </c>
      <c r="E286" s="44">
        <v>0.87</v>
      </c>
      <c r="F286">
        <v>2014</v>
      </c>
    </row>
    <row r="287" spans="1:6" ht="15" customHeight="1" x14ac:dyDescent="0.3">
      <c r="A287" s="42" t="s">
        <v>398</v>
      </c>
      <c r="B287" s="43">
        <v>41702</v>
      </c>
      <c r="C287" s="42" t="s">
        <v>31</v>
      </c>
      <c r="D287" s="44">
        <v>0.3</v>
      </c>
      <c r="E287" s="44">
        <v>0.22</v>
      </c>
      <c r="F287">
        <v>2014</v>
      </c>
    </row>
    <row r="288" spans="1:6" ht="15" customHeight="1" x14ac:dyDescent="0.3">
      <c r="A288" s="42" t="s">
        <v>399</v>
      </c>
      <c r="B288" s="43">
        <v>41732</v>
      </c>
      <c r="C288" s="42" t="s">
        <v>31</v>
      </c>
      <c r="D288" s="44">
        <v>3.12</v>
      </c>
      <c r="E288" s="44">
        <v>1.76</v>
      </c>
      <c r="F288">
        <v>2014</v>
      </c>
    </row>
    <row r="289" spans="1:6" ht="15" customHeight="1" x14ac:dyDescent="0.3">
      <c r="A289" s="42" t="s">
        <v>400</v>
      </c>
      <c r="B289" s="43">
        <v>41766</v>
      </c>
      <c r="C289" s="42" t="s">
        <v>31</v>
      </c>
      <c r="D289" s="44">
        <v>11.38</v>
      </c>
      <c r="E289" s="44">
        <v>7.06</v>
      </c>
      <c r="F289">
        <v>2014</v>
      </c>
    </row>
    <row r="290" spans="1:6" ht="15" customHeight="1" x14ac:dyDescent="0.3">
      <c r="A290" s="42" t="s">
        <v>401</v>
      </c>
      <c r="B290" s="43">
        <v>41794</v>
      </c>
      <c r="C290" s="42" t="s">
        <v>31</v>
      </c>
      <c r="D290" s="44">
        <v>16.32</v>
      </c>
      <c r="E290" s="44">
        <v>10.26</v>
      </c>
      <c r="F290">
        <v>2014</v>
      </c>
    </row>
    <row r="291" spans="1:6" ht="15" customHeight="1" x14ac:dyDescent="0.3">
      <c r="A291" s="42" t="s">
        <v>403</v>
      </c>
      <c r="B291" s="43">
        <v>41821</v>
      </c>
      <c r="C291" s="42" t="s">
        <v>31</v>
      </c>
      <c r="D291" s="44">
        <v>21.03</v>
      </c>
      <c r="E291" s="44">
        <v>14.15</v>
      </c>
      <c r="F291">
        <v>2014</v>
      </c>
    </row>
    <row r="292" spans="1:6" ht="15" customHeight="1" x14ac:dyDescent="0.3">
      <c r="A292" s="42" t="s">
        <v>404</v>
      </c>
      <c r="B292" s="43">
        <v>41835</v>
      </c>
      <c r="C292" s="42" t="s">
        <v>31</v>
      </c>
      <c r="D292" s="44">
        <v>19.649999999999999</v>
      </c>
      <c r="E292" s="44">
        <v>16.57</v>
      </c>
      <c r="F292">
        <v>2014</v>
      </c>
    </row>
    <row r="293" spans="1:6" ht="15" customHeight="1" x14ac:dyDescent="0.3">
      <c r="A293" s="42" t="s">
        <v>405</v>
      </c>
      <c r="B293" s="43">
        <v>41856</v>
      </c>
      <c r="C293" s="42" t="s">
        <v>31</v>
      </c>
      <c r="D293" s="44">
        <v>22.68</v>
      </c>
      <c r="E293" s="44">
        <v>19.41</v>
      </c>
      <c r="F293">
        <v>2014</v>
      </c>
    </row>
    <row r="294" spans="1:6" ht="15" customHeight="1" x14ac:dyDescent="0.3">
      <c r="A294" s="42" t="s">
        <v>406</v>
      </c>
      <c r="B294" s="43">
        <v>41869</v>
      </c>
      <c r="C294" s="42" t="s">
        <v>31</v>
      </c>
      <c r="D294" s="44">
        <v>22.01</v>
      </c>
      <c r="E294" s="44">
        <v>21.06</v>
      </c>
      <c r="F294">
        <v>2014</v>
      </c>
    </row>
    <row r="295" spans="1:6" ht="15" customHeight="1" x14ac:dyDescent="0.3">
      <c r="A295" s="42" t="s">
        <v>407</v>
      </c>
      <c r="B295" s="43">
        <v>41885</v>
      </c>
      <c r="C295" s="42" t="s">
        <v>31</v>
      </c>
      <c r="D295" s="44">
        <v>22.96</v>
      </c>
      <c r="E295" s="44">
        <v>21.75</v>
      </c>
      <c r="F295">
        <v>2014</v>
      </c>
    </row>
    <row r="296" spans="1:6" ht="15" customHeight="1" x14ac:dyDescent="0.3">
      <c r="A296" s="42" t="s">
        <v>408</v>
      </c>
      <c r="B296" s="43">
        <v>41897</v>
      </c>
      <c r="C296" s="42" t="s">
        <v>31</v>
      </c>
      <c r="D296" s="44">
        <v>22.03</v>
      </c>
      <c r="E296" s="44">
        <v>21.77</v>
      </c>
      <c r="F296">
        <v>2014</v>
      </c>
    </row>
    <row r="297" spans="1:6" ht="15" customHeight="1" x14ac:dyDescent="0.3">
      <c r="A297" s="42" t="s">
        <v>409</v>
      </c>
      <c r="B297" s="43">
        <v>41915</v>
      </c>
      <c r="C297" s="42" t="s">
        <v>31</v>
      </c>
      <c r="D297" s="44">
        <v>20.350000000000001</v>
      </c>
      <c r="E297" s="44">
        <v>20.45</v>
      </c>
      <c r="F297">
        <v>2014</v>
      </c>
    </row>
    <row r="298" spans="1:6" ht="15" customHeight="1" x14ac:dyDescent="0.3">
      <c r="A298" s="42" t="s">
        <v>410</v>
      </c>
      <c r="B298" s="43">
        <v>41953</v>
      </c>
      <c r="C298" s="42" t="s">
        <v>31</v>
      </c>
      <c r="D298" s="44">
        <v>14.33</v>
      </c>
      <c r="E298" s="44">
        <v>14.23</v>
      </c>
      <c r="F298">
        <v>2014</v>
      </c>
    </row>
    <row r="299" spans="1:6" ht="15" customHeight="1" x14ac:dyDescent="0.3">
      <c r="A299" s="42" t="s">
        <v>411</v>
      </c>
      <c r="B299" s="43">
        <v>41985</v>
      </c>
      <c r="C299" s="42" t="s">
        <v>31</v>
      </c>
      <c r="D299" s="44">
        <v>7.1</v>
      </c>
      <c r="E299" s="44">
        <v>7.54</v>
      </c>
      <c r="F299">
        <v>2014</v>
      </c>
    </row>
    <row r="300" spans="1:6" ht="15" customHeight="1" x14ac:dyDescent="0.3">
      <c r="A300" s="42" t="s">
        <v>412</v>
      </c>
      <c r="B300" s="43">
        <v>42019</v>
      </c>
      <c r="C300" s="42" t="s">
        <v>31</v>
      </c>
      <c r="D300" s="44">
        <v>2.78</v>
      </c>
      <c r="E300" s="44">
        <v>3.87</v>
      </c>
      <c r="F300">
        <v>2015</v>
      </c>
    </row>
    <row r="301" spans="1:6" ht="15" customHeight="1" x14ac:dyDescent="0.3">
      <c r="A301" s="42" t="s">
        <v>413</v>
      </c>
      <c r="B301" s="43">
        <v>42041</v>
      </c>
      <c r="C301" s="42" t="s">
        <v>31</v>
      </c>
      <c r="D301" s="44">
        <v>0.74</v>
      </c>
      <c r="E301" s="44">
        <v>0.87</v>
      </c>
      <c r="F301">
        <v>2015</v>
      </c>
    </row>
    <row r="302" spans="1:6" ht="15" customHeight="1" x14ac:dyDescent="0.3">
      <c r="A302" s="42" t="s">
        <v>414</v>
      </c>
      <c r="B302" s="43">
        <v>42072</v>
      </c>
      <c r="C302" s="42" t="s">
        <v>31</v>
      </c>
      <c r="D302" s="44">
        <v>-0.96</v>
      </c>
      <c r="E302" s="44">
        <v>-1.1200000000000001</v>
      </c>
      <c r="F302">
        <v>2015</v>
      </c>
    </row>
    <row r="303" spans="1:6" ht="15" customHeight="1" x14ac:dyDescent="0.3">
      <c r="A303" s="42" t="s">
        <v>416</v>
      </c>
      <c r="B303" s="43">
        <v>42094</v>
      </c>
      <c r="C303" s="42" t="s">
        <v>31</v>
      </c>
      <c r="D303" s="44">
        <v>1.27</v>
      </c>
      <c r="E303" s="44">
        <v>0.65</v>
      </c>
      <c r="F303">
        <v>2015</v>
      </c>
    </row>
    <row r="304" spans="1:6" ht="15" customHeight="1" x14ac:dyDescent="0.3">
      <c r="A304" s="42" t="s">
        <v>417</v>
      </c>
      <c r="B304" s="43">
        <v>42125</v>
      </c>
      <c r="C304" s="42" t="s">
        <v>31</v>
      </c>
      <c r="D304" s="44">
        <v>8.35</v>
      </c>
      <c r="E304" s="44">
        <v>4.87</v>
      </c>
      <c r="F304">
        <v>2015</v>
      </c>
    </row>
    <row r="305" spans="1:6" ht="15" customHeight="1" x14ac:dyDescent="0.3">
      <c r="A305" s="42" t="s">
        <v>418</v>
      </c>
      <c r="B305" s="43">
        <v>42156</v>
      </c>
      <c r="C305" s="42" t="s">
        <v>31</v>
      </c>
      <c r="D305" s="44">
        <v>12.97</v>
      </c>
      <c r="E305" s="44">
        <v>9.4499999999999993</v>
      </c>
      <c r="F305">
        <v>2015</v>
      </c>
    </row>
    <row r="306" spans="1:6" ht="15" customHeight="1" x14ac:dyDescent="0.3">
      <c r="A306" s="42" t="s">
        <v>419</v>
      </c>
      <c r="B306" s="43">
        <v>42174</v>
      </c>
      <c r="C306" s="42" t="s">
        <v>31</v>
      </c>
      <c r="D306" s="44">
        <v>18.21</v>
      </c>
      <c r="E306" s="44">
        <v>12.7</v>
      </c>
      <c r="F306">
        <v>2015</v>
      </c>
    </row>
    <row r="307" spans="1:6" ht="15" customHeight="1" x14ac:dyDescent="0.3">
      <c r="A307" s="42" t="s">
        <v>420</v>
      </c>
      <c r="B307" s="43">
        <v>42193</v>
      </c>
      <c r="C307" s="42" t="s">
        <v>31</v>
      </c>
      <c r="D307" s="44">
        <v>20.55</v>
      </c>
      <c r="E307" s="44">
        <v>15.44</v>
      </c>
      <c r="F307">
        <v>2015</v>
      </c>
    </row>
    <row r="308" spans="1:6" ht="15" customHeight="1" x14ac:dyDescent="0.3">
      <c r="A308" s="42" t="s">
        <v>421</v>
      </c>
      <c r="B308" s="43">
        <v>42206</v>
      </c>
      <c r="C308" s="42" t="s">
        <v>31</v>
      </c>
      <c r="D308" s="44">
        <v>23.25</v>
      </c>
      <c r="E308" s="44">
        <v>17.239999999999998</v>
      </c>
      <c r="F308">
        <v>2015</v>
      </c>
    </row>
    <row r="309" spans="1:6" ht="15" customHeight="1" x14ac:dyDescent="0.3">
      <c r="A309" s="42" t="s">
        <v>422</v>
      </c>
      <c r="B309" s="43">
        <v>42221</v>
      </c>
      <c r="C309" s="42" t="s">
        <v>31</v>
      </c>
      <c r="D309" s="44">
        <v>21.74</v>
      </c>
      <c r="E309" s="44">
        <v>19.78</v>
      </c>
      <c r="F309">
        <v>2015</v>
      </c>
    </row>
    <row r="310" spans="1:6" ht="15" customHeight="1" x14ac:dyDescent="0.3">
      <c r="A310" s="42" t="s">
        <v>423</v>
      </c>
      <c r="B310" s="43">
        <v>42234</v>
      </c>
      <c r="C310" s="42" t="s">
        <v>31</v>
      </c>
      <c r="D310" s="44">
        <v>23.83</v>
      </c>
      <c r="E310" s="44">
        <v>20.97</v>
      </c>
      <c r="F310">
        <v>2015</v>
      </c>
    </row>
    <row r="311" spans="1:6" ht="15" customHeight="1" x14ac:dyDescent="0.3">
      <c r="A311" s="42" t="s">
        <v>424</v>
      </c>
      <c r="B311" s="43">
        <v>42248</v>
      </c>
      <c r="C311" s="42" t="s">
        <v>31</v>
      </c>
      <c r="D311" s="44">
        <v>24.78</v>
      </c>
      <c r="E311" s="44">
        <v>22.49</v>
      </c>
      <c r="F311">
        <v>2015</v>
      </c>
    </row>
    <row r="312" spans="1:6" ht="15" customHeight="1" x14ac:dyDescent="0.3">
      <c r="A312" s="42" t="s">
        <v>425</v>
      </c>
      <c r="B312" s="43">
        <v>42263</v>
      </c>
      <c r="C312" s="42" t="s">
        <v>31</v>
      </c>
      <c r="D312" s="44">
        <v>23.31</v>
      </c>
      <c r="E312" s="44">
        <v>23.1</v>
      </c>
      <c r="F312">
        <v>2015</v>
      </c>
    </row>
    <row r="313" spans="1:6" ht="15" customHeight="1" x14ac:dyDescent="0.3">
      <c r="A313" s="42" t="s">
        <v>426</v>
      </c>
      <c r="B313" s="43">
        <v>42286</v>
      </c>
      <c r="C313" s="42" t="s">
        <v>31</v>
      </c>
      <c r="D313" s="44">
        <v>19.260000000000002</v>
      </c>
      <c r="E313" s="44">
        <v>19.57</v>
      </c>
      <c r="F313">
        <v>2015</v>
      </c>
    </row>
    <row r="314" spans="1:6" ht="15" customHeight="1" x14ac:dyDescent="0.3">
      <c r="A314" s="42" t="s">
        <v>427</v>
      </c>
      <c r="B314" s="43">
        <v>42317</v>
      </c>
      <c r="C314" s="42" t="s">
        <v>31</v>
      </c>
      <c r="D314" s="44">
        <v>15.63</v>
      </c>
      <c r="E314" s="44">
        <v>15.88</v>
      </c>
      <c r="F314">
        <v>2015</v>
      </c>
    </row>
    <row r="315" spans="1:6" ht="15" customHeight="1" x14ac:dyDescent="0.3">
      <c r="A315" s="42" t="s">
        <v>428</v>
      </c>
      <c r="B315" s="43">
        <v>42352</v>
      </c>
      <c r="C315" s="42" t="s">
        <v>31</v>
      </c>
      <c r="D315" s="44">
        <v>10.97</v>
      </c>
      <c r="E315" s="44">
        <v>11.21</v>
      </c>
      <c r="F315">
        <v>2015</v>
      </c>
    </row>
    <row r="316" spans="1:6" ht="15" customHeight="1" x14ac:dyDescent="0.3">
      <c r="A316" s="42" t="s">
        <v>429</v>
      </c>
      <c r="B316" s="43">
        <v>42381</v>
      </c>
      <c r="C316" s="42" t="s">
        <v>31</v>
      </c>
      <c r="D316" s="44">
        <v>7.29</v>
      </c>
      <c r="E316" s="44">
        <v>7.34</v>
      </c>
      <c r="F316">
        <v>2016</v>
      </c>
    </row>
    <row r="317" spans="1:6" ht="15" customHeight="1" x14ac:dyDescent="0.3">
      <c r="A317" s="42" t="s">
        <v>430</v>
      </c>
      <c r="B317" s="43">
        <v>42402</v>
      </c>
      <c r="C317" s="42" t="s">
        <v>31</v>
      </c>
      <c r="D317" s="44">
        <v>3.94</v>
      </c>
      <c r="E317" s="44">
        <v>4.41</v>
      </c>
      <c r="F317">
        <v>2016</v>
      </c>
    </row>
    <row r="318" spans="1:6" ht="15" customHeight="1" x14ac:dyDescent="0.3">
      <c r="A318" s="42" t="s">
        <v>432</v>
      </c>
      <c r="B318" s="43">
        <v>42438</v>
      </c>
      <c r="C318" s="42" t="s">
        <v>31</v>
      </c>
      <c r="D318" s="44">
        <v>4.1399999999999997</v>
      </c>
      <c r="E318" s="44">
        <v>3.37</v>
      </c>
      <c r="F318">
        <v>2016</v>
      </c>
    </row>
    <row r="319" spans="1:6" ht="15" customHeight="1" x14ac:dyDescent="0.3">
      <c r="A319" s="42" t="s">
        <v>434</v>
      </c>
      <c r="B319" s="43">
        <v>42466</v>
      </c>
      <c r="C319" s="42" t="s">
        <v>31</v>
      </c>
      <c r="D319" s="44">
        <v>6.14</v>
      </c>
      <c r="E319" s="44">
        <v>6</v>
      </c>
      <c r="F319">
        <v>2016</v>
      </c>
    </row>
    <row r="320" spans="1:6" ht="15" customHeight="1" x14ac:dyDescent="0.3">
      <c r="A320" s="42" t="s">
        <v>435</v>
      </c>
      <c r="B320" s="43">
        <v>42502</v>
      </c>
      <c r="C320" s="42" t="s">
        <v>31</v>
      </c>
      <c r="D320" s="44">
        <v>14.17</v>
      </c>
      <c r="E320" s="44">
        <v>9.39</v>
      </c>
      <c r="F320">
        <v>2016</v>
      </c>
    </row>
    <row r="321" spans="1:6" ht="15" customHeight="1" x14ac:dyDescent="0.3">
      <c r="A321" s="42" t="s">
        <v>436</v>
      </c>
      <c r="B321" s="43">
        <v>42535</v>
      </c>
      <c r="C321" s="42" t="s">
        <v>31</v>
      </c>
      <c r="D321" s="44">
        <v>15.73</v>
      </c>
      <c r="E321" s="44">
        <v>13.14</v>
      </c>
      <c r="F321">
        <v>2016</v>
      </c>
    </row>
    <row r="322" spans="1:6" ht="15" customHeight="1" x14ac:dyDescent="0.3">
      <c r="A322" s="42" t="s">
        <v>437</v>
      </c>
      <c r="B322" s="43">
        <v>42541</v>
      </c>
      <c r="C322" s="42" t="s">
        <v>31</v>
      </c>
      <c r="D322" s="44">
        <v>18.57</v>
      </c>
      <c r="E322" s="44">
        <v>14.2</v>
      </c>
      <c r="F322">
        <v>2016</v>
      </c>
    </row>
    <row r="323" spans="1:6" ht="15" customHeight="1" x14ac:dyDescent="0.3">
      <c r="A323" s="42" t="s">
        <v>438</v>
      </c>
      <c r="B323" s="43">
        <v>42558</v>
      </c>
      <c r="C323" s="42" t="s">
        <v>31</v>
      </c>
      <c r="D323" s="44">
        <v>20.3</v>
      </c>
      <c r="E323" s="44">
        <v>16.43</v>
      </c>
      <c r="F323">
        <v>2016</v>
      </c>
    </row>
    <row r="324" spans="1:6" ht="15" customHeight="1" x14ac:dyDescent="0.3">
      <c r="A324" s="42" t="s">
        <v>439</v>
      </c>
      <c r="B324" s="43">
        <v>42570</v>
      </c>
      <c r="C324" s="42" t="s">
        <v>31</v>
      </c>
      <c r="D324" s="44">
        <v>23.88</v>
      </c>
      <c r="E324" s="45"/>
      <c r="F324">
        <v>2016</v>
      </c>
    </row>
    <row r="325" spans="1:6" ht="15" customHeight="1" x14ac:dyDescent="0.3">
      <c r="A325" s="42" t="s">
        <v>440</v>
      </c>
      <c r="B325" s="43">
        <v>42586</v>
      </c>
      <c r="C325" s="42" t="s">
        <v>31</v>
      </c>
      <c r="D325" s="44">
        <v>22.83</v>
      </c>
      <c r="E325" s="44">
        <v>20.23</v>
      </c>
      <c r="F325">
        <v>2016</v>
      </c>
    </row>
    <row r="326" spans="1:6" ht="15" customHeight="1" x14ac:dyDescent="0.3">
      <c r="A326" s="42" t="s">
        <v>441</v>
      </c>
      <c r="B326" s="43">
        <v>42598</v>
      </c>
      <c r="C326" s="42" t="s">
        <v>31</v>
      </c>
      <c r="D326" s="44">
        <v>26.19</v>
      </c>
      <c r="E326" s="44">
        <v>21.33</v>
      </c>
      <c r="F326">
        <v>2016</v>
      </c>
    </row>
    <row r="327" spans="1:6" ht="15" customHeight="1" x14ac:dyDescent="0.3">
      <c r="A327" s="42" t="s">
        <v>442</v>
      </c>
      <c r="B327" s="43">
        <v>42612</v>
      </c>
      <c r="C327" s="42" t="s">
        <v>31</v>
      </c>
      <c r="D327" s="44">
        <v>25.03</v>
      </c>
      <c r="E327" s="44">
        <v>22.86</v>
      </c>
      <c r="F327">
        <v>2016</v>
      </c>
    </row>
    <row r="328" spans="1:6" ht="15" customHeight="1" x14ac:dyDescent="0.3">
      <c r="A328" s="42" t="s">
        <v>443</v>
      </c>
      <c r="B328" s="43">
        <v>42626</v>
      </c>
      <c r="C328" s="42" t="s">
        <v>31</v>
      </c>
      <c r="D328" s="46">
        <v>23.39</v>
      </c>
      <c r="E328" s="46">
        <v>23.03</v>
      </c>
      <c r="F328">
        <v>2016</v>
      </c>
    </row>
    <row r="329" spans="1:6" ht="15" customHeight="1" x14ac:dyDescent="0.3">
      <c r="A329" s="42" t="s">
        <v>444</v>
      </c>
      <c r="B329" s="43">
        <v>42649</v>
      </c>
      <c r="C329" s="42" t="s">
        <v>31</v>
      </c>
      <c r="D329" s="44">
        <v>20.21</v>
      </c>
      <c r="E329" s="44">
        <v>20.16</v>
      </c>
      <c r="F329">
        <v>2016</v>
      </c>
    </row>
    <row r="330" spans="1:6" ht="15" customHeight="1" x14ac:dyDescent="0.3">
      <c r="A330" s="42" t="s">
        <v>445</v>
      </c>
      <c r="B330" s="43">
        <v>42682</v>
      </c>
      <c r="C330" s="42" t="s">
        <v>31</v>
      </c>
      <c r="D330" s="44">
        <v>15.3</v>
      </c>
      <c r="E330" s="44">
        <v>15.44</v>
      </c>
      <c r="F330">
        <v>2016</v>
      </c>
    </row>
    <row r="331" spans="1:6" ht="15" customHeight="1" x14ac:dyDescent="0.3">
      <c r="A331" s="42" t="s">
        <v>446</v>
      </c>
      <c r="B331" s="43">
        <v>42710</v>
      </c>
      <c r="C331" s="42" t="s">
        <v>31</v>
      </c>
      <c r="D331" s="44">
        <v>10.29</v>
      </c>
      <c r="E331" s="44">
        <v>10.29</v>
      </c>
      <c r="F331">
        <v>2016</v>
      </c>
    </row>
    <row r="332" spans="1:6" ht="15" customHeight="1" x14ac:dyDescent="0.3">
      <c r="A332" s="42" t="s">
        <v>447</v>
      </c>
      <c r="B332" s="43">
        <v>42741</v>
      </c>
      <c r="C332" s="42" t="s">
        <v>31</v>
      </c>
      <c r="D332" s="44">
        <v>5.57</v>
      </c>
      <c r="E332" s="44">
        <v>5.66</v>
      </c>
      <c r="F332">
        <v>2017</v>
      </c>
    </row>
    <row r="333" spans="1:6" ht="15" customHeight="1" x14ac:dyDescent="0.3">
      <c r="A333" s="42" t="s">
        <v>448</v>
      </c>
      <c r="B333" s="43">
        <v>42780</v>
      </c>
      <c r="C333" s="42" t="s">
        <v>31</v>
      </c>
      <c r="D333" s="44">
        <v>2.85</v>
      </c>
      <c r="E333" s="44">
        <v>3.04</v>
      </c>
      <c r="F333">
        <v>2017</v>
      </c>
    </row>
    <row r="334" spans="1:6" ht="15" customHeight="1" x14ac:dyDescent="0.3">
      <c r="A334" s="42" t="s">
        <v>450</v>
      </c>
      <c r="B334" s="43">
        <v>42802</v>
      </c>
      <c r="C334" s="42" t="s">
        <v>31</v>
      </c>
      <c r="D334" s="44">
        <v>3.67</v>
      </c>
      <c r="E334" s="44">
        <v>3.25</v>
      </c>
      <c r="F334">
        <v>2017</v>
      </c>
    </row>
    <row r="335" spans="1:6" ht="15" customHeight="1" x14ac:dyDescent="0.3">
      <c r="A335" s="42" t="s">
        <v>451</v>
      </c>
      <c r="B335" s="43">
        <v>42830</v>
      </c>
      <c r="C335" s="42" t="s">
        <v>31</v>
      </c>
      <c r="D335" s="44">
        <v>4.92</v>
      </c>
      <c r="E335" s="44">
        <v>3.47</v>
      </c>
      <c r="F335">
        <v>2017</v>
      </c>
    </row>
    <row r="336" spans="1:6" ht="15" customHeight="1" x14ac:dyDescent="0.3">
      <c r="A336" s="42" t="s">
        <v>452</v>
      </c>
      <c r="B336" s="43">
        <v>42859</v>
      </c>
      <c r="C336" s="42" t="s">
        <v>31</v>
      </c>
      <c r="D336" s="44">
        <v>10.6</v>
      </c>
      <c r="E336" s="44">
        <v>7.4</v>
      </c>
      <c r="F336">
        <v>2017</v>
      </c>
    </row>
    <row r="337" spans="1:6" ht="15" customHeight="1" x14ac:dyDescent="0.3">
      <c r="A337" s="42" t="s">
        <v>453</v>
      </c>
      <c r="B337" s="43">
        <v>42893</v>
      </c>
      <c r="C337" s="42" t="s">
        <v>31</v>
      </c>
      <c r="D337" s="44">
        <v>14.92</v>
      </c>
      <c r="E337" s="44">
        <v>11.86</v>
      </c>
      <c r="F337">
        <v>2017</v>
      </c>
    </row>
    <row r="338" spans="1:6" ht="15" customHeight="1" x14ac:dyDescent="0.3">
      <c r="A338" s="42" t="s">
        <v>454</v>
      </c>
      <c r="B338" s="43">
        <v>42906</v>
      </c>
      <c r="C338" s="42" t="s">
        <v>31</v>
      </c>
      <c r="D338" s="44">
        <v>18.760000000000002</v>
      </c>
      <c r="E338" s="44">
        <v>12.73</v>
      </c>
      <c r="F338">
        <v>2017</v>
      </c>
    </row>
    <row r="339" spans="1:6" ht="15" customHeight="1" x14ac:dyDescent="0.3">
      <c r="A339" s="42" t="s">
        <v>455</v>
      </c>
      <c r="B339" s="43">
        <v>42923</v>
      </c>
      <c r="C339" s="42" t="s">
        <v>31</v>
      </c>
      <c r="D339" s="44">
        <v>21.24</v>
      </c>
      <c r="E339" s="44">
        <v>16.04</v>
      </c>
      <c r="F339">
        <v>2017</v>
      </c>
    </row>
    <row r="340" spans="1:6" ht="15" customHeight="1" x14ac:dyDescent="0.3">
      <c r="A340" s="42" t="s">
        <v>456</v>
      </c>
      <c r="B340" s="43">
        <v>42935</v>
      </c>
      <c r="C340" s="42" t="s">
        <v>31</v>
      </c>
      <c r="D340" s="44">
        <v>23.6</v>
      </c>
      <c r="E340" s="44">
        <v>17.440000000000001</v>
      </c>
      <c r="F340">
        <v>2017</v>
      </c>
    </row>
    <row r="341" spans="1:6" ht="15" customHeight="1" x14ac:dyDescent="0.3">
      <c r="A341" s="42" t="s">
        <v>457</v>
      </c>
      <c r="B341" s="43">
        <v>42949</v>
      </c>
      <c r="C341" s="42" t="s">
        <v>31</v>
      </c>
      <c r="D341" s="44">
        <v>23.54</v>
      </c>
      <c r="E341" s="44">
        <v>19.59</v>
      </c>
      <c r="F341">
        <v>2017</v>
      </c>
    </row>
    <row r="342" spans="1:6" ht="15" customHeight="1" x14ac:dyDescent="0.3">
      <c r="A342" s="42" t="s">
        <v>458</v>
      </c>
      <c r="B342" s="43">
        <v>42963</v>
      </c>
      <c r="C342" s="42" t="s">
        <v>31</v>
      </c>
      <c r="D342" s="44">
        <v>22.95</v>
      </c>
      <c r="E342" s="44">
        <v>20.91</v>
      </c>
      <c r="F342">
        <v>2017</v>
      </c>
    </row>
    <row r="343" spans="1:6" ht="15" customHeight="1" x14ac:dyDescent="0.3">
      <c r="A343" s="42" t="s">
        <v>459</v>
      </c>
      <c r="B343" s="43">
        <v>42978</v>
      </c>
      <c r="C343" s="42" t="s">
        <v>31</v>
      </c>
      <c r="D343" s="44">
        <v>22.07</v>
      </c>
      <c r="E343" s="44">
        <v>21.93</v>
      </c>
      <c r="F343">
        <v>2017</v>
      </c>
    </row>
    <row r="344" spans="1:6" ht="15" customHeight="1" x14ac:dyDescent="0.3">
      <c r="A344" s="42" t="s">
        <v>460</v>
      </c>
      <c r="B344" s="43">
        <v>43018</v>
      </c>
      <c r="C344" s="42" t="s">
        <v>31</v>
      </c>
      <c r="D344" s="44">
        <v>21.59</v>
      </c>
      <c r="E344" s="44">
        <v>20.74</v>
      </c>
      <c r="F344">
        <v>2017</v>
      </c>
    </row>
    <row r="345" spans="1:6" ht="15" customHeight="1" x14ac:dyDescent="0.3">
      <c r="A345" s="42" t="s">
        <v>461</v>
      </c>
      <c r="B345" s="43">
        <v>43053</v>
      </c>
      <c r="C345" s="42" t="s">
        <v>31</v>
      </c>
      <c r="D345" s="44">
        <v>14.88</v>
      </c>
      <c r="E345" s="44">
        <v>14.76</v>
      </c>
      <c r="F345">
        <v>2017</v>
      </c>
    </row>
    <row r="346" spans="1:6" ht="15" customHeight="1" x14ac:dyDescent="0.3">
      <c r="A346" s="42" t="s">
        <v>462</v>
      </c>
      <c r="B346" s="43">
        <v>43069</v>
      </c>
      <c r="C346" s="42" t="s">
        <v>31</v>
      </c>
      <c r="D346" s="44">
        <v>11.46</v>
      </c>
      <c r="E346" s="44">
        <v>11.51</v>
      </c>
      <c r="F346">
        <v>2017</v>
      </c>
    </row>
    <row r="347" spans="1:6" ht="15" customHeight="1" x14ac:dyDescent="0.3">
      <c r="A347" s="42" t="s">
        <v>463</v>
      </c>
      <c r="B347" s="43">
        <v>43111</v>
      </c>
      <c r="C347" s="42" t="s">
        <v>31</v>
      </c>
      <c r="D347" s="44">
        <v>2.11</v>
      </c>
      <c r="E347" s="44">
        <v>2.02</v>
      </c>
      <c r="F347">
        <v>2018</v>
      </c>
    </row>
    <row r="348" spans="1:6" ht="15" customHeight="1" x14ac:dyDescent="0.3">
      <c r="A348" s="42" t="s">
        <v>464</v>
      </c>
      <c r="B348" s="43">
        <v>43137</v>
      </c>
      <c r="C348" s="42" t="s">
        <v>31</v>
      </c>
      <c r="D348" s="44">
        <v>1.29</v>
      </c>
      <c r="E348" s="44">
        <v>1.49</v>
      </c>
      <c r="F348">
        <v>2018</v>
      </c>
    </row>
    <row r="349" spans="1:6" ht="15" customHeight="1" x14ac:dyDescent="0.3">
      <c r="A349" s="42" t="s">
        <v>466</v>
      </c>
      <c r="B349" s="43">
        <v>43178</v>
      </c>
      <c r="C349" s="42" t="s">
        <v>31</v>
      </c>
      <c r="D349" s="44">
        <v>3.22</v>
      </c>
      <c r="E349" s="44">
        <v>2.93</v>
      </c>
      <c r="F349">
        <v>2018</v>
      </c>
    </row>
    <row r="350" spans="1:6" ht="15" customHeight="1" x14ac:dyDescent="0.3">
      <c r="A350" s="42" t="s">
        <v>467</v>
      </c>
      <c r="B350" s="43">
        <v>43200</v>
      </c>
      <c r="C350" s="42" t="s">
        <v>31</v>
      </c>
      <c r="D350" s="44">
        <v>4.4000000000000004</v>
      </c>
      <c r="E350" s="44">
        <v>3.95</v>
      </c>
      <c r="F350">
        <v>2018</v>
      </c>
    </row>
    <row r="351" spans="1:6" ht="15" customHeight="1" x14ac:dyDescent="0.3">
      <c r="A351" s="42" t="s">
        <v>468</v>
      </c>
      <c r="B351" s="43">
        <v>43222</v>
      </c>
      <c r="C351" s="42" t="s">
        <v>31</v>
      </c>
      <c r="D351" s="44">
        <v>9.7799999999999994</v>
      </c>
      <c r="E351" s="44">
        <v>6.04</v>
      </c>
      <c r="F351">
        <v>2018</v>
      </c>
    </row>
    <row r="352" spans="1:6" ht="15" customHeight="1" x14ac:dyDescent="0.3">
      <c r="A352" s="42" t="s">
        <v>469</v>
      </c>
      <c r="B352" s="43">
        <v>43252</v>
      </c>
      <c r="C352" s="42" t="s">
        <v>31</v>
      </c>
      <c r="D352" s="44">
        <v>14.93</v>
      </c>
      <c r="E352" s="44">
        <v>9.57</v>
      </c>
      <c r="F352">
        <v>2018</v>
      </c>
    </row>
    <row r="353" spans="1:6" ht="15" customHeight="1" x14ac:dyDescent="0.3">
      <c r="A353" s="42" t="s">
        <v>470</v>
      </c>
      <c r="B353" s="43">
        <v>43263</v>
      </c>
      <c r="C353" s="42" t="s">
        <v>31</v>
      </c>
      <c r="D353" s="44">
        <v>17.170000000000002</v>
      </c>
      <c r="E353" s="44">
        <v>10.67</v>
      </c>
      <c r="F353">
        <v>2018</v>
      </c>
    </row>
    <row r="354" spans="1:6" ht="15" customHeight="1" x14ac:dyDescent="0.3">
      <c r="A354" s="42" t="s">
        <v>471</v>
      </c>
      <c r="B354" s="43">
        <v>43284</v>
      </c>
      <c r="C354" s="42" t="s">
        <v>31</v>
      </c>
      <c r="D354" s="44">
        <v>22.77</v>
      </c>
      <c r="E354" s="44">
        <v>14.55</v>
      </c>
      <c r="F354">
        <v>2018</v>
      </c>
    </row>
    <row r="355" spans="1:6" ht="15" customHeight="1" x14ac:dyDescent="0.3">
      <c r="A355" s="42" t="s">
        <v>472</v>
      </c>
      <c r="B355" s="43">
        <v>43298</v>
      </c>
      <c r="C355" s="42" t="s">
        <v>31</v>
      </c>
      <c r="D355" s="44">
        <v>21</v>
      </c>
      <c r="E355" s="44">
        <v>16.96</v>
      </c>
      <c r="F355">
        <v>2018</v>
      </c>
    </row>
    <row r="356" spans="1:6" ht="15" customHeight="1" x14ac:dyDescent="0.3">
      <c r="A356" s="42" t="s">
        <v>473</v>
      </c>
      <c r="B356" s="43">
        <v>43312</v>
      </c>
      <c r="C356" s="42" t="s">
        <v>31</v>
      </c>
      <c r="D356" s="44">
        <v>23.23</v>
      </c>
      <c r="E356" s="44">
        <v>18.73</v>
      </c>
      <c r="F356">
        <v>2018</v>
      </c>
    </row>
    <row r="357" spans="1:6" ht="15" customHeight="1" x14ac:dyDescent="0.3">
      <c r="A357" s="42" t="s">
        <v>474</v>
      </c>
      <c r="B357" s="43">
        <v>43326</v>
      </c>
      <c r="C357" s="42" t="s">
        <v>31</v>
      </c>
      <c r="D357" s="44">
        <v>23.7</v>
      </c>
      <c r="E357" s="44">
        <v>20.78</v>
      </c>
      <c r="F357">
        <v>2018</v>
      </c>
    </row>
    <row r="358" spans="1:6" ht="15" customHeight="1" x14ac:dyDescent="0.3">
      <c r="A358" s="42" t="s">
        <v>475</v>
      </c>
      <c r="B358" s="43">
        <v>43340</v>
      </c>
      <c r="C358" s="42" t="s">
        <v>31</v>
      </c>
      <c r="D358" s="44">
        <v>24.48</v>
      </c>
      <c r="E358" s="44">
        <v>22.08</v>
      </c>
      <c r="F358">
        <v>2018</v>
      </c>
    </row>
    <row r="359" spans="1:6" ht="15" customHeight="1" x14ac:dyDescent="0.3">
      <c r="A359" s="42" t="s">
        <v>476</v>
      </c>
      <c r="B359" s="43">
        <v>43355</v>
      </c>
      <c r="C359" s="42" t="s">
        <v>31</v>
      </c>
      <c r="D359" s="44">
        <v>23.01</v>
      </c>
      <c r="E359" s="44">
        <v>22.44</v>
      </c>
      <c r="F359">
        <v>2018</v>
      </c>
    </row>
    <row r="360" spans="1:6" ht="15" customHeight="1" x14ac:dyDescent="0.3">
      <c r="A360" s="42" t="s">
        <v>477</v>
      </c>
      <c r="B360" s="43">
        <v>43376</v>
      </c>
      <c r="C360" s="42" t="s">
        <v>31</v>
      </c>
      <c r="D360" s="44">
        <v>21.91</v>
      </c>
      <c r="E360" s="44">
        <v>21.77</v>
      </c>
      <c r="F360">
        <v>2018</v>
      </c>
    </row>
    <row r="361" spans="1:6" ht="15" customHeight="1" x14ac:dyDescent="0.3">
      <c r="A361" s="42" t="s">
        <v>478</v>
      </c>
      <c r="B361" s="43">
        <v>43411</v>
      </c>
      <c r="C361" s="42" t="s">
        <v>31</v>
      </c>
      <c r="D361" s="44">
        <v>14.16</v>
      </c>
      <c r="E361" s="44">
        <v>14.88</v>
      </c>
      <c r="F361">
        <v>2018</v>
      </c>
    </row>
    <row r="362" spans="1:6" ht="15" customHeight="1" x14ac:dyDescent="0.3">
      <c r="A362" s="42" t="s">
        <v>479</v>
      </c>
      <c r="B362" s="43">
        <v>43438</v>
      </c>
      <c r="C362" s="42" t="s">
        <v>31</v>
      </c>
      <c r="D362" s="44">
        <v>8.56</v>
      </c>
      <c r="E362" s="44">
        <v>9.2200000000000006</v>
      </c>
      <c r="F362">
        <v>2018</v>
      </c>
    </row>
    <row r="363" spans="1:6" ht="15" customHeight="1" x14ac:dyDescent="0.3">
      <c r="A363" s="42" t="s">
        <v>6</v>
      </c>
      <c r="B363" s="43">
        <v>43472</v>
      </c>
      <c r="C363" s="42" t="s">
        <v>31</v>
      </c>
      <c r="D363" s="46">
        <v>5.12</v>
      </c>
      <c r="E363" s="44">
        <v>6.01</v>
      </c>
      <c r="F363">
        <v>2019</v>
      </c>
    </row>
    <row r="364" spans="1:6" ht="15" customHeight="1" x14ac:dyDescent="0.3">
      <c r="A364" s="42" t="s">
        <v>7</v>
      </c>
      <c r="B364" s="43">
        <v>43502</v>
      </c>
      <c r="C364" s="42" t="s">
        <v>31</v>
      </c>
      <c r="D364" s="44">
        <v>1.8</v>
      </c>
      <c r="E364" s="44">
        <v>2.09</v>
      </c>
      <c r="F364">
        <v>2019</v>
      </c>
    </row>
    <row r="365" spans="1:6" ht="15" customHeight="1" x14ac:dyDescent="0.3">
      <c r="A365" s="42" t="s">
        <v>9</v>
      </c>
      <c r="B365" s="43">
        <v>43531</v>
      </c>
      <c r="C365" s="42" t="s">
        <v>31</v>
      </c>
      <c r="D365" s="44">
        <v>1.59</v>
      </c>
      <c r="E365" s="44">
        <v>1.86</v>
      </c>
      <c r="F365">
        <v>2019</v>
      </c>
    </row>
    <row r="366" spans="1:6" ht="15" customHeight="1" x14ac:dyDescent="0.3">
      <c r="A366" s="42" t="s">
        <v>10</v>
      </c>
      <c r="B366" s="43">
        <v>43558</v>
      </c>
      <c r="C366" s="42" t="s">
        <v>31</v>
      </c>
      <c r="D366" s="44">
        <v>4.62</v>
      </c>
      <c r="E366" s="44">
        <v>3.63</v>
      </c>
      <c r="F366">
        <v>2019</v>
      </c>
    </row>
    <row r="367" spans="1:6" ht="15" customHeight="1" x14ac:dyDescent="0.3">
      <c r="A367" s="42" t="s">
        <v>11</v>
      </c>
      <c r="B367" s="43">
        <v>43593</v>
      </c>
      <c r="C367" s="42" t="s">
        <v>31</v>
      </c>
      <c r="D367" s="44">
        <v>11.64</v>
      </c>
      <c r="E367" s="44">
        <v>8.52</v>
      </c>
      <c r="F367">
        <v>2019</v>
      </c>
    </row>
    <row r="368" spans="1:6" ht="15" customHeight="1" x14ac:dyDescent="0.3">
      <c r="A368" s="42" t="s">
        <v>12</v>
      </c>
      <c r="B368" s="43">
        <v>43616</v>
      </c>
      <c r="C368" s="42" t="s">
        <v>31</v>
      </c>
      <c r="D368" s="44">
        <v>15.28</v>
      </c>
      <c r="E368" s="44">
        <v>10.44</v>
      </c>
      <c r="F368">
        <v>2019</v>
      </c>
    </row>
    <row r="369" spans="1:6" ht="15" customHeight="1" x14ac:dyDescent="0.3">
      <c r="A369" s="42" t="s">
        <v>13</v>
      </c>
      <c r="B369" s="43">
        <v>43628</v>
      </c>
      <c r="C369" s="42" t="s">
        <v>31</v>
      </c>
      <c r="D369" s="44">
        <v>16.63</v>
      </c>
      <c r="E369" s="44">
        <v>12.27</v>
      </c>
      <c r="F369">
        <v>2019</v>
      </c>
    </row>
    <row r="370" spans="1:6" ht="15" customHeight="1" x14ac:dyDescent="0.3">
      <c r="A370" s="42" t="s">
        <v>14</v>
      </c>
      <c r="B370" s="43">
        <v>43648</v>
      </c>
      <c r="C370" s="42" t="s">
        <v>31</v>
      </c>
      <c r="D370" s="44">
        <v>20.52</v>
      </c>
      <c r="E370" s="44">
        <v>15.75</v>
      </c>
      <c r="F370">
        <v>2019</v>
      </c>
    </row>
    <row r="371" spans="1:6" ht="15" customHeight="1" x14ac:dyDescent="0.3">
      <c r="A371" s="42" t="s">
        <v>15</v>
      </c>
      <c r="B371" s="43">
        <v>43662</v>
      </c>
      <c r="C371" s="42" t="s">
        <v>31</v>
      </c>
      <c r="D371" s="44">
        <v>21.79</v>
      </c>
      <c r="E371" s="44">
        <v>16.63</v>
      </c>
      <c r="F371">
        <v>2019</v>
      </c>
    </row>
    <row r="372" spans="1:6" ht="15" customHeight="1" x14ac:dyDescent="0.3">
      <c r="A372" s="42" t="s">
        <v>16</v>
      </c>
      <c r="B372" s="43">
        <v>43678</v>
      </c>
      <c r="C372" s="42" t="s">
        <v>31</v>
      </c>
      <c r="D372" s="44">
        <v>23.62</v>
      </c>
      <c r="E372" s="44">
        <v>19.05</v>
      </c>
      <c r="F372">
        <v>2019</v>
      </c>
    </row>
    <row r="373" spans="1:6" ht="15" customHeight="1" x14ac:dyDescent="0.3">
      <c r="A373" s="42" t="s">
        <v>17</v>
      </c>
      <c r="B373" s="43">
        <v>43690</v>
      </c>
      <c r="C373" s="42" t="s">
        <v>31</v>
      </c>
      <c r="D373" s="44">
        <v>22.59</v>
      </c>
      <c r="E373" s="44">
        <v>20.53</v>
      </c>
      <c r="F373">
        <v>2019</v>
      </c>
    </row>
    <row r="374" spans="1:6" ht="15" customHeight="1" x14ac:dyDescent="0.3">
      <c r="A374" s="42" t="s">
        <v>18</v>
      </c>
      <c r="B374" s="43">
        <v>43706</v>
      </c>
      <c r="C374" s="42" t="s">
        <v>31</v>
      </c>
      <c r="D374" s="44">
        <v>22.48</v>
      </c>
      <c r="E374" s="44">
        <v>21.41</v>
      </c>
      <c r="F374">
        <v>2019</v>
      </c>
    </row>
    <row r="375" spans="1:6" ht="15" customHeight="1" x14ac:dyDescent="0.3">
      <c r="A375" s="42" t="s">
        <v>19</v>
      </c>
      <c r="B375" s="43">
        <v>43718</v>
      </c>
      <c r="C375" s="42" t="s">
        <v>31</v>
      </c>
      <c r="D375" s="44">
        <v>22.01</v>
      </c>
      <c r="E375" s="44">
        <v>21.89</v>
      </c>
      <c r="F375">
        <v>2019</v>
      </c>
    </row>
    <row r="376" spans="1:6" ht="15" customHeight="1" x14ac:dyDescent="0.3">
      <c r="A376" s="42" t="s">
        <v>39</v>
      </c>
      <c r="B376" s="43">
        <v>43740</v>
      </c>
      <c r="C376" s="42" t="s">
        <v>31</v>
      </c>
      <c r="D376" s="44">
        <v>21.35</v>
      </c>
      <c r="E376" s="44">
        <v>21.09</v>
      </c>
      <c r="F376">
        <v>2019</v>
      </c>
    </row>
    <row r="377" spans="1:6" ht="15" customHeight="1" x14ac:dyDescent="0.3">
      <c r="A377" s="42" t="s">
        <v>40</v>
      </c>
      <c r="B377" s="43">
        <v>43775</v>
      </c>
      <c r="C377" s="42" t="s">
        <v>31</v>
      </c>
      <c r="D377" s="44">
        <v>15.25</v>
      </c>
      <c r="E377" s="44">
        <v>15.97</v>
      </c>
      <c r="F377">
        <v>2019</v>
      </c>
    </row>
    <row r="378" spans="1:6" ht="15" customHeight="1" x14ac:dyDescent="0.3">
      <c r="A378" s="42" t="s">
        <v>41</v>
      </c>
      <c r="B378" s="43">
        <v>43815</v>
      </c>
      <c r="C378" s="42" t="s">
        <v>31</v>
      </c>
      <c r="D378" s="44">
        <v>7.17</v>
      </c>
      <c r="E378" s="44">
        <v>7.32</v>
      </c>
      <c r="F378">
        <v>2019</v>
      </c>
    </row>
    <row r="379" spans="1:6" ht="15" customHeight="1" x14ac:dyDescent="0.3">
      <c r="A379" s="42" t="s">
        <v>502</v>
      </c>
      <c r="B379" s="43">
        <v>43839</v>
      </c>
      <c r="C379" s="42" t="s">
        <v>31</v>
      </c>
      <c r="D379" s="44">
        <v>4.76</v>
      </c>
      <c r="E379" s="44">
        <v>5</v>
      </c>
      <c r="F379">
        <v>2020</v>
      </c>
    </row>
    <row r="380" spans="1:6" ht="15" customHeight="1" x14ac:dyDescent="0.3">
      <c r="A380" s="42" t="s">
        <v>503</v>
      </c>
      <c r="B380" s="43">
        <v>43872</v>
      </c>
      <c r="C380" s="42" t="s">
        <v>31</v>
      </c>
      <c r="D380" s="44">
        <v>4.0199999999999996</v>
      </c>
      <c r="E380" s="44">
        <v>4.09</v>
      </c>
      <c r="F380">
        <v>2020</v>
      </c>
    </row>
    <row r="381" spans="1:6" ht="15" customHeight="1" x14ac:dyDescent="0.3">
      <c r="A381" s="42" t="s">
        <v>504</v>
      </c>
      <c r="B381" s="43">
        <v>43901</v>
      </c>
      <c r="C381" s="42" t="s">
        <v>31</v>
      </c>
      <c r="D381" s="44">
        <v>4.63</v>
      </c>
      <c r="E381" s="44">
        <v>4.22</v>
      </c>
      <c r="F381">
        <v>2020</v>
      </c>
    </row>
    <row r="382" spans="1:6" ht="15" customHeight="1" x14ac:dyDescent="0.3">
      <c r="A382" s="42" t="s">
        <v>510</v>
      </c>
      <c r="B382" s="43">
        <v>43999</v>
      </c>
      <c r="C382" s="42" t="s">
        <v>31</v>
      </c>
      <c r="D382" s="46">
        <v>18.73</v>
      </c>
      <c r="E382" s="44">
        <v>12.87</v>
      </c>
      <c r="F382">
        <v>2020</v>
      </c>
    </row>
    <row r="383" spans="1:6" ht="15" customHeight="1" x14ac:dyDescent="0.3">
      <c r="A383" s="42" t="s">
        <v>505</v>
      </c>
      <c r="B383" s="43">
        <v>44020</v>
      </c>
      <c r="C383" s="42" t="s">
        <v>31</v>
      </c>
      <c r="D383" s="44">
        <v>22.26</v>
      </c>
      <c r="E383" s="44">
        <v>15.67</v>
      </c>
      <c r="F383">
        <v>2020</v>
      </c>
    </row>
    <row r="384" spans="1:6" ht="15" customHeight="1" x14ac:dyDescent="0.3">
      <c r="A384" s="42" t="s">
        <v>511</v>
      </c>
      <c r="B384" s="43">
        <v>44033</v>
      </c>
      <c r="C384" s="42" t="s">
        <v>31</v>
      </c>
      <c r="D384" s="44">
        <v>24.47</v>
      </c>
      <c r="E384" s="46">
        <v>17.22</v>
      </c>
      <c r="F384">
        <v>2020</v>
      </c>
    </row>
    <row r="385" spans="1:6" ht="15" customHeight="1" x14ac:dyDescent="0.3">
      <c r="A385" s="42" t="s">
        <v>506</v>
      </c>
      <c r="B385" s="43">
        <v>44054</v>
      </c>
      <c r="C385" s="42" t="s">
        <v>31</v>
      </c>
      <c r="D385" s="46">
        <v>24.62</v>
      </c>
      <c r="E385" s="44">
        <v>21.11</v>
      </c>
      <c r="F385">
        <v>2020</v>
      </c>
    </row>
    <row r="386" spans="1:6" ht="15" customHeight="1" x14ac:dyDescent="0.3">
      <c r="A386" s="42" t="s">
        <v>512</v>
      </c>
      <c r="B386" s="43">
        <v>44069</v>
      </c>
      <c r="C386" s="42" t="s">
        <v>31</v>
      </c>
      <c r="D386" s="44">
        <v>23.86</v>
      </c>
      <c r="E386" s="44">
        <v>22.61</v>
      </c>
      <c r="F386">
        <v>2020</v>
      </c>
    </row>
    <row r="387" spans="1:6" ht="15" customHeight="1" x14ac:dyDescent="0.3">
      <c r="A387" s="42" t="s">
        <v>507</v>
      </c>
      <c r="B387" s="43">
        <v>44082</v>
      </c>
      <c r="C387" s="42" t="s">
        <v>31</v>
      </c>
      <c r="D387" s="44">
        <v>23.53</v>
      </c>
      <c r="E387" s="46">
        <v>23.03</v>
      </c>
      <c r="F387">
        <v>2020</v>
      </c>
    </row>
    <row r="388" spans="1:6" ht="15" customHeight="1" x14ac:dyDescent="0.3">
      <c r="A388" s="42" t="s">
        <v>508</v>
      </c>
      <c r="B388" s="43">
        <v>44119</v>
      </c>
      <c r="C388" s="42" t="s">
        <v>31</v>
      </c>
      <c r="D388" s="44">
        <v>18.600000000000001</v>
      </c>
      <c r="E388" s="44">
        <v>18.75</v>
      </c>
      <c r="F388">
        <v>2020</v>
      </c>
    </row>
    <row r="389" spans="1:6" ht="15" customHeight="1" x14ac:dyDescent="0.3">
      <c r="A389" s="42" t="s">
        <v>509</v>
      </c>
      <c r="B389" s="43">
        <v>44139</v>
      </c>
      <c r="C389" s="42" t="s">
        <v>31</v>
      </c>
      <c r="D389" s="44">
        <v>14.64</v>
      </c>
      <c r="E389" s="44">
        <v>15.38</v>
      </c>
      <c r="F389">
        <v>2020</v>
      </c>
    </row>
    <row r="390" spans="1:6" ht="15" customHeight="1" x14ac:dyDescent="0.3">
      <c r="A390" s="65" t="s">
        <v>522</v>
      </c>
      <c r="B390" s="66">
        <v>44264</v>
      </c>
      <c r="C390" s="65" t="s">
        <v>31</v>
      </c>
      <c r="D390" s="67">
        <v>2.12</v>
      </c>
      <c r="E390" s="67">
        <v>2.29</v>
      </c>
      <c r="F390">
        <v>2021</v>
      </c>
    </row>
    <row r="391" spans="1:6" ht="15" customHeight="1" x14ac:dyDescent="0.3">
      <c r="A391" s="65" t="s">
        <v>523</v>
      </c>
      <c r="B391" s="66">
        <v>44294</v>
      </c>
      <c r="C391" s="65" t="s">
        <v>31</v>
      </c>
      <c r="D391" s="67">
        <v>6.83</v>
      </c>
      <c r="E391" s="67">
        <v>4.5199999999999996</v>
      </c>
      <c r="F391">
        <v>2021</v>
      </c>
    </row>
    <row r="392" spans="1:6" ht="15" customHeight="1" x14ac:dyDescent="0.3">
      <c r="A392" s="65" t="s">
        <v>524</v>
      </c>
      <c r="B392" s="66">
        <v>44320</v>
      </c>
      <c r="C392" s="65" t="s">
        <v>31</v>
      </c>
      <c r="D392" s="67">
        <v>9.7799999999999994</v>
      </c>
      <c r="E392" s="67">
        <v>8.48</v>
      </c>
      <c r="F392">
        <v>2021</v>
      </c>
    </row>
    <row r="393" spans="1:6" ht="15" customHeight="1" x14ac:dyDescent="0.3">
      <c r="A393" s="65" t="s">
        <v>525</v>
      </c>
      <c r="B393" s="66">
        <v>44356</v>
      </c>
      <c r="C393" s="65" t="s">
        <v>31</v>
      </c>
      <c r="D393" s="67">
        <v>17.27</v>
      </c>
      <c r="E393" s="67">
        <v>12.35</v>
      </c>
      <c r="F393">
        <v>2021</v>
      </c>
    </row>
    <row r="394" spans="1:6" ht="15" customHeight="1" x14ac:dyDescent="0.3">
      <c r="A394" s="65" t="s">
        <v>526</v>
      </c>
      <c r="B394" s="66">
        <v>44368</v>
      </c>
      <c r="C394" s="65" t="s">
        <v>31</v>
      </c>
      <c r="D394" s="67">
        <v>19.670000000000002</v>
      </c>
      <c r="E394" s="67">
        <v>13.49</v>
      </c>
      <c r="F394">
        <v>2021</v>
      </c>
    </row>
    <row r="395" spans="1:6" ht="15" customHeight="1" x14ac:dyDescent="0.3">
      <c r="A395" s="65" t="s">
        <v>527</v>
      </c>
      <c r="B395" s="66">
        <v>44389</v>
      </c>
      <c r="C395" s="65" t="s">
        <v>31</v>
      </c>
      <c r="D395" s="67">
        <v>22</v>
      </c>
      <c r="E395" s="67">
        <v>16.170000000000002</v>
      </c>
      <c r="F395">
        <v>2021</v>
      </c>
    </row>
    <row r="396" spans="1:6" ht="15" customHeight="1" x14ac:dyDescent="0.3">
      <c r="A396" s="65" t="s">
        <v>528</v>
      </c>
      <c r="B396" s="66">
        <v>44397</v>
      </c>
      <c r="C396" s="65" t="s">
        <v>31</v>
      </c>
      <c r="D396" s="67">
        <v>22.98</v>
      </c>
      <c r="E396" s="67">
        <v>17.940000000000001</v>
      </c>
      <c r="F396">
        <v>2021</v>
      </c>
    </row>
    <row r="397" spans="1:6" ht="15" customHeight="1" x14ac:dyDescent="0.3">
      <c r="A397" s="65" t="s">
        <v>529</v>
      </c>
      <c r="B397" s="66">
        <v>44412</v>
      </c>
      <c r="C397" s="65" t="s">
        <v>31</v>
      </c>
      <c r="D397" s="67">
        <v>22.47</v>
      </c>
      <c r="E397" s="67">
        <v>19.149999999999999</v>
      </c>
      <c r="F397">
        <v>2021</v>
      </c>
    </row>
    <row r="398" spans="1:6" ht="15" customHeight="1" x14ac:dyDescent="0.3">
      <c r="A398" s="65" t="s">
        <v>530</v>
      </c>
      <c r="B398" s="66">
        <v>44425</v>
      </c>
      <c r="C398" s="65" t="s">
        <v>31</v>
      </c>
      <c r="D398" s="67">
        <v>23.51</v>
      </c>
      <c r="E398" s="67">
        <v>20.14</v>
      </c>
      <c r="F398">
        <v>2021</v>
      </c>
    </row>
    <row r="399" spans="1:6" ht="15" customHeight="1" x14ac:dyDescent="0.3">
      <c r="A399" s="65" t="s">
        <v>531</v>
      </c>
      <c r="B399" s="66">
        <v>44439</v>
      </c>
      <c r="C399" s="65" t="s">
        <v>31</v>
      </c>
      <c r="D399" s="67">
        <v>24.33</v>
      </c>
      <c r="E399" s="67">
        <v>21.87</v>
      </c>
      <c r="F399">
        <v>2021</v>
      </c>
    </row>
    <row r="400" spans="1:6" ht="15" customHeight="1" x14ac:dyDescent="0.3">
      <c r="A400" s="65" t="s">
        <v>532</v>
      </c>
      <c r="B400" s="66">
        <v>44453</v>
      </c>
      <c r="C400" s="65" t="s">
        <v>31</v>
      </c>
      <c r="D400" s="67">
        <v>22.76</v>
      </c>
      <c r="E400" s="67">
        <v>22.41</v>
      </c>
      <c r="F400">
        <v>2021</v>
      </c>
    </row>
    <row r="401" spans="1:6" ht="15" customHeight="1" x14ac:dyDescent="0.3">
      <c r="A401" s="65" t="s">
        <v>533</v>
      </c>
      <c r="B401" s="66">
        <v>44474</v>
      </c>
      <c r="C401" s="65" t="s">
        <v>31</v>
      </c>
      <c r="D401" s="67">
        <v>21.31</v>
      </c>
      <c r="E401" s="67">
        <v>21.25</v>
      </c>
      <c r="F401">
        <v>2021</v>
      </c>
    </row>
    <row r="402" spans="1:6" ht="15" customHeight="1" x14ac:dyDescent="0.3">
      <c r="A402" s="65" t="s">
        <v>534</v>
      </c>
      <c r="B402" s="66">
        <v>44509</v>
      </c>
      <c r="C402" s="65" t="s">
        <v>31</v>
      </c>
      <c r="D402" s="67">
        <v>16.149999999999999</v>
      </c>
      <c r="E402" s="67">
        <v>16.32</v>
      </c>
      <c r="F402">
        <v>2021</v>
      </c>
    </row>
    <row r="403" spans="1:6" ht="15" customHeight="1" x14ac:dyDescent="0.3">
      <c r="A403" s="65" t="s">
        <v>535</v>
      </c>
      <c r="B403" s="66">
        <v>44538</v>
      </c>
      <c r="C403" s="65" t="s">
        <v>31</v>
      </c>
      <c r="D403" s="67">
        <v>10.23</v>
      </c>
      <c r="E403" s="67">
        <v>10.4</v>
      </c>
      <c r="F403">
        <v>2021</v>
      </c>
    </row>
    <row r="404" spans="1:6" ht="15" customHeight="1" x14ac:dyDescent="0.3">
      <c r="A404" s="94" t="s">
        <v>539</v>
      </c>
      <c r="B404" s="95">
        <v>44594</v>
      </c>
      <c r="C404" s="94" t="s">
        <v>31</v>
      </c>
      <c r="D404" s="96">
        <v>2.72</v>
      </c>
      <c r="E404" s="96">
        <v>2.74</v>
      </c>
      <c r="F404">
        <v>2022</v>
      </c>
    </row>
    <row r="405" spans="1:6" ht="15" customHeight="1" x14ac:dyDescent="0.3">
      <c r="A405" s="94" t="s">
        <v>540</v>
      </c>
      <c r="B405" s="95">
        <v>44607</v>
      </c>
      <c r="C405" s="94" t="s">
        <v>31</v>
      </c>
      <c r="D405" s="96">
        <v>2.39</v>
      </c>
      <c r="E405" s="96">
        <v>2.71</v>
      </c>
      <c r="F405">
        <v>2022</v>
      </c>
    </row>
    <row r="406" spans="1:6" ht="15" customHeight="1" x14ac:dyDescent="0.3">
      <c r="A406" s="94" t="s">
        <v>541</v>
      </c>
      <c r="B406" s="95">
        <v>44627</v>
      </c>
      <c r="C406" s="94" t="s">
        <v>31</v>
      </c>
      <c r="D406" s="96">
        <v>3.28</v>
      </c>
      <c r="E406" s="96">
        <v>2.99</v>
      </c>
      <c r="F406">
        <v>2022</v>
      </c>
    </row>
    <row r="407" spans="1:6" ht="15" customHeight="1" x14ac:dyDescent="0.3">
      <c r="A407" s="94" t="s">
        <v>542</v>
      </c>
      <c r="B407" s="95">
        <v>44656</v>
      </c>
      <c r="C407" s="94" t="s">
        <v>31</v>
      </c>
      <c r="D407" s="96">
        <v>5.9</v>
      </c>
      <c r="E407" s="96">
        <v>4.72</v>
      </c>
      <c r="F407">
        <v>2022</v>
      </c>
    </row>
    <row r="408" spans="1:6" ht="15" customHeight="1" x14ac:dyDescent="0.3">
      <c r="A408" s="94" t="s">
        <v>543</v>
      </c>
      <c r="B408" s="95">
        <v>44687</v>
      </c>
      <c r="C408" s="94" t="s">
        <v>31</v>
      </c>
      <c r="D408" s="96">
        <v>10.36</v>
      </c>
      <c r="E408" s="96">
        <v>8.35</v>
      </c>
      <c r="F408">
        <v>2022</v>
      </c>
    </row>
    <row r="409" spans="1:6" ht="15" customHeight="1" x14ac:dyDescent="0.3">
      <c r="A409" s="94" t="s">
        <v>544</v>
      </c>
      <c r="B409" s="95">
        <v>44718</v>
      </c>
      <c r="C409" s="94" t="s">
        <v>31</v>
      </c>
      <c r="D409" s="96">
        <v>17.22</v>
      </c>
      <c r="E409" s="96">
        <v>11.28</v>
      </c>
      <c r="F409">
        <v>2022</v>
      </c>
    </row>
    <row r="410" spans="1:6" ht="15" customHeight="1" x14ac:dyDescent="0.3">
      <c r="A410" s="94" t="s">
        <v>545</v>
      </c>
      <c r="B410" s="95">
        <v>44726</v>
      </c>
      <c r="C410" s="94" t="s">
        <v>31</v>
      </c>
      <c r="D410" s="96">
        <v>19.45</v>
      </c>
      <c r="E410" s="96">
        <v>13.23</v>
      </c>
      <c r="F410">
        <v>2022</v>
      </c>
    </row>
    <row r="411" spans="1:6" ht="15" customHeight="1" x14ac:dyDescent="0.3">
      <c r="A411" s="94" t="s">
        <v>546</v>
      </c>
      <c r="B411" s="95">
        <v>44749</v>
      </c>
      <c r="C411" s="94" t="s">
        <v>31</v>
      </c>
      <c r="D411" s="96">
        <v>21.26</v>
      </c>
      <c r="E411" s="96">
        <v>16.38</v>
      </c>
      <c r="F411">
        <v>2022</v>
      </c>
    </row>
    <row r="412" spans="1:6" ht="15" customHeight="1" x14ac:dyDescent="0.3">
      <c r="A412" s="94" t="s">
        <v>547</v>
      </c>
      <c r="B412" s="95">
        <v>44761</v>
      </c>
      <c r="C412" s="94" t="s">
        <v>31</v>
      </c>
      <c r="D412" s="96">
        <v>22.99</v>
      </c>
      <c r="E412" s="96">
        <v>18.329999999999998</v>
      </c>
      <c r="F412">
        <v>2022</v>
      </c>
    </row>
    <row r="413" spans="1:6" ht="15" customHeight="1" x14ac:dyDescent="0.3">
      <c r="A413" s="94" t="s">
        <v>548</v>
      </c>
      <c r="B413" s="95">
        <v>44776</v>
      </c>
      <c r="C413" s="94" t="s">
        <v>31</v>
      </c>
      <c r="D413" s="96">
        <v>23.74</v>
      </c>
      <c r="E413" s="96">
        <v>19.13</v>
      </c>
      <c r="F413">
        <v>2022</v>
      </c>
    </row>
    <row r="414" spans="1:6" ht="15" customHeight="1" x14ac:dyDescent="0.3">
      <c r="A414" s="94" t="s">
        <v>549</v>
      </c>
      <c r="B414" s="95">
        <v>44791</v>
      </c>
      <c r="C414" s="94" t="s">
        <v>31</v>
      </c>
      <c r="D414" s="96">
        <v>22.67</v>
      </c>
      <c r="E414" s="96">
        <v>21.61</v>
      </c>
      <c r="F414">
        <v>2022</v>
      </c>
    </row>
    <row r="415" spans="1:6" ht="15" customHeight="1" x14ac:dyDescent="0.3">
      <c r="A415" s="94" t="s">
        <v>550</v>
      </c>
      <c r="B415" s="95">
        <v>44806</v>
      </c>
      <c r="C415" s="94" t="s">
        <v>31</v>
      </c>
      <c r="D415" s="96">
        <v>23.66</v>
      </c>
      <c r="E415" s="96">
        <v>22.48</v>
      </c>
      <c r="F415">
        <v>2022</v>
      </c>
    </row>
    <row r="416" spans="1:6" ht="15" customHeight="1" x14ac:dyDescent="0.3">
      <c r="A416" s="94" t="s">
        <v>551</v>
      </c>
      <c r="B416" s="95">
        <v>44817</v>
      </c>
      <c r="C416" s="94" t="s">
        <v>31</v>
      </c>
      <c r="D416" s="96">
        <v>23.53</v>
      </c>
      <c r="E416" s="96">
        <v>23.04</v>
      </c>
      <c r="F416">
        <v>2022</v>
      </c>
    </row>
    <row r="417" spans="1:6" ht="15" customHeight="1" x14ac:dyDescent="0.3">
      <c r="A417" s="94" t="s">
        <v>552</v>
      </c>
      <c r="B417" s="95">
        <v>44841</v>
      </c>
      <c r="C417" s="94" t="s">
        <v>31</v>
      </c>
      <c r="D417" s="96">
        <v>18.809999999999999</v>
      </c>
      <c r="E417" s="96">
        <v>18.54</v>
      </c>
      <c r="F417">
        <v>2022</v>
      </c>
    </row>
    <row r="418" spans="1:6" ht="15" customHeight="1" x14ac:dyDescent="0.3">
      <c r="A418" s="94" t="s">
        <v>553</v>
      </c>
      <c r="B418" s="95">
        <v>44875</v>
      </c>
      <c r="C418" s="94" t="s">
        <v>31</v>
      </c>
      <c r="D418" s="96">
        <v>16.11</v>
      </c>
      <c r="E418" s="96">
        <v>16.16</v>
      </c>
      <c r="F418">
        <v>2022</v>
      </c>
    </row>
    <row r="419" spans="1:6" ht="15" customHeight="1" x14ac:dyDescent="0.3">
      <c r="A419" s="94" t="s">
        <v>556</v>
      </c>
      <c r="B419" s="95">
        <v>44901</v>
      </c>
      <c r="C419" s="94" t="s">
        <v>31</v>
      </c>
      <c r="D419" s="96">
        <v>10.71</v>
      </c>
      <c r="E419" s="96">
        <v>10.7</v>
      </c>
      <c r="F419">
        <v>2022</v>
      </c>
    </row>
    <row r="420" spans="1:6" ht="15" customHeight="1" x14ac:dyDescent="0.3">
      <c r="A420" s="65" t="s">
        <v>557</v>
      </c>
      <c r="B420" s="66">
        <v>44932</v>
      </c>
      <c r="C420" s="65" t="s">
        <v>31</v>
      </c>
      <c r="D420" s="67">
        <v>6.13</v>
      </c>
      <c r="E420" s="67">
        <v>6.05</v>
      </c>
      <c r="F420">
        <v>2023</v>
      </c>
    </row>
    <row r="421" spans="1:6" ht="15" customHeight="1" x14ac:dyDescent="0.3">
      <c r="A421" s="65" t="s">
        <v>558</v>
      </c>
      <c r="B421" s="66">
        <v>44965</v>
      </c>
      <c r="C421" s="65" t="s">
        <v>31</v>
      </c>
      <c r="D421" s="67">
        <v>4.25</v>
      </c>
      <c r="E421" s="67">
        <v>4.38</v>
      </c>
      <c r="F421">
        <v>2023</v>
      </c>
    </row>
    <row r="422" spans="1:6" ht="15" customHeight="1" x14ac:dyDescent="0.3">
      <c r="A422" s="65" t="s">
        <v>559</v>
      </c>
      <c r="B422" s="66">
        <v>45034</v>
      </c>
      <c r="C422" s="65" t="s">
        <v>31</v>
      </c>
      <c r="D422" s="67">
        <v>8.92</v>
      </c>
      <c r="E422" s="67">
        <v>6.68</v>
      </c>
      <c r="F422">
        <v>2023</v>
      </c>
    </row>
    <row r="423" spans="1:6" ht="15" customHeight="1" x14ac:dyDescent="0.3">
      <c r="A423" s="65" t="s">
        <v>560</v>
      </c>
      <c r="B423" s="66">
        <v>45051</v>
      </c>
      <c r="C423" s="65" t="s">
        <v>31</v>
      </c>
      <c r="D423" s="67">
        <v>10.94</v>
      </c>
      <c r="E423" s="67">
        <v>9.7200000000000006</v>
      </c>
      <c r="F423">
        <v>2023</v>
      </c>
    </row>
    <row r="424" spans="1:6" ht="15" customHeight="1" x14ac:dyDescent="0.3">
      <c r="A424" s="65" t="s">
        <v>561</v>
      </c>
      <c r="B424" s="66">
        <v>45079</v>
      </c>
      <c r="C424" s="65" t="s">
        <v>31</v>
      </c>
      <c r="D424" s="67">
        <v>17.239999999999998</v>
      </c>
      <c r="E424" s="67">
        <v>11.37</v>
      </c>
      <c r="F424">
        <v>2023</v>
      </c>
    </row>
    <row r="425" spans="1:6" ht="15" customHeight="1" x14ac:dyDescent="0.3">
      <c r="A425" s="65" t="s">
        <v>563</v>
      </c>
      <c r="B425" s="66">
        <v>45114</v>
      </c>
      <c r="C425" s="65" t="s">
        <v>31</v>
      </c>
      <c r="D425" s="67">
        <v>23.07</v>
      </c>
      <c r="E425" s="67">
        <v>16.23</v>
      </c>
      <c r="F425">
        <v>2023</v>
      </c>
    </row>
    <row r="426" spans="1:6" ht="15" customHeight="1" x14ac:dyDescent="0.3">
      <c r="A426" s="65" t="s">
        <v>564</v>
      </c>
      <c r="B426" s="66">
        <v>45125</v>
      </c>
      <c r="C426" s="65" t="s">
        <v>31</v>
      </c>
      <c r="D426" s="67">
        <v>25.36</v>
      </c>
      <c r="E426" s="67">
        <v>17.600000000000001</v>
      </c>
      <c r="F426">
        <v>2023</v>
      </c>
    </row>
    <row r="427" spans="1:6" ht="15" customHeight="1" x14ac:dyDescent="0.3">
      <c r="A427" s="65" t="s">
        <v>565</v>
      </c>
      <c r="B427" s="66">
        <v>45141</v>
      </c>
      <c r="C427" s="65" t="s">
        <v>31</v>
      </c>
      <c r="D427" s="67">
        <v>23.33</v>
      </c>
      <c r="E427" s="67">
        <v>19.510000000000002</v>
      </c>
      <c r="F427">
        <v>2023</v>
      </c>
    </row>
    <row r="428" spans="1:6" ht="15" customHeight="1" x14ac:dyDescent="0.3">
      <c r="A428" s="65" t="s">
        <v>566</v>
      </c>
      <c r="B428" s="66">
        <v>45154</v>
      </c>
      <c r="C428" s="65" t="s">
        <v>31</v>
      </c>
      <c r="D428" s="67">
        <v>22.85</v>
      </c>
      <c r="E428" s="67">
        <v>20.95</v>
      </c>
      <c r="F428">
        <v>2023</v>
      </c>
    </row>
    <row r="429" spans="1:6" ht="15" customHeight="1" x14ac:dyDescent="0.3">
      <c r="A429" s="65" t="s">
        <v>567</v>
      </c>
      <c r="B429" s="66">
        <v>45175</v>
      </c>
      <c r="C429" s="65" t="s">
        <v>31</v>
      </c>
      <c r="D429" s="67">
        <v>24.23</v>
      </c>
      <c r="E429" s="67">
        <v>21.82</v>
      </c>
      <c r="F429">
        <v>2023</v>
      </c>
    </row>
    <row r="430" spans="1:6" ht="15" customHeight="1" x14ac:dyDescent="0.3">
      <c r="A430" s="65" t="s">
        <v>568</v>
      </c>
      <c r="B430" s="66">
        <v>45205</v>
      </c>
      <c r="C430" s="65" t="s">
        <v>31</v>
      </c>
      <c r="D430" s="67">
        <v>20.010000000000002</v>
      </c>
      <c r="E430" s="67">
        <v>19.63</v>
      </c>
      <c r="F430">
        <v>2023</v>
      </c>
    </row>
    <row r="431" spans="1:6" ht="15" customHeight="1" x14ac:dyDescent="0.3">
      <c r="A431" s="65" t="s">
        <v>569</v>
      </c>
      <c r="B431" s="66">
        <v>45239</v>
      </c>
      <c r="C431" s="65" t="s">
        <v>31</v>
      </c>
      <c r="D431" s="67">
        <v>15.04</v>
      </c>
      <c r="E431" s="67">
        <v>15.09</v>
      </c>
      <c r="F431">
        <v>2023</v>
      </c>
    </row>
    <row r="432" spans="1:6" ht="15" customHeight="1" x14ac:dyDescent="0.3">
      <c r="A432" s="65" t="s">
        <v>570</v>
      </c>
      <c r="B432" s="66">
        <v>45267</v>
      </c>
      <c r="C432" s="65" t="s">
        <v>31</v>
      </c>
      <c r="D432" s="67">
        <v>9.85</v>
      </c>
      <c r="E432" s="67">
        <v>10.71</v>
      </c>
      <c r="F432">
        <v>2023</v>
      </c>
    </row>
    <row r="433" spans="1:6" ht="15" customHeight="1" x14ac:dyDescent="0.3">
      <c r="A433" s="94" t="s">
        <v>571</v>
      </c>
      <c r="B433" s="95">
        <v>45295</v>
      </c>
      <c r="C433" s="94" t="s">
        <v>31</v>
      </c>
      <c r="D433" s="96">
        <v>6.81</v>
      </c>
      <c r="E433" s="96">
        <v>8.09</v>
      </c>
      <c r="F433">
        <v>2024</v>
      </c>
    </row>
    <row r="434" spans="1:6" ht="15" customHeight="1" x14ac:dyDescent="0.3">
      <c r="A434" s="94" t="s">
        <v>572</v>
      </c>
      <c r="B434" s="95">
        <v>45329</v>
      </c>
      <c r="C434" s="94" t="s">
        <v>31</v>
      </c>
      <c r="D434" s="96">
        <v>3.73</v>
      </c>
      <c r="E434" s="96">
        <v>4.46</v>
      </c>
      <c r="F434">
        <v>2024</v>
      </c>
    </row>
    <row r="435" spans="1:6" ht="15" customHeight="1" x14ac:dyDescent="0.3">
      <c r="A435" s="94" t="s">
        <v>573</v>
      </c>
      <c r="B435" s="95">
        <v>45344</v>
      </c>
      <c r="C435" s="94" t="s">
        <v>31</v>
      </c>
      <c r="D435" s="96">
        <v>3.61</v>
      </c>
      <c r="E435" s="96">
        <v>3.8</v>
      </c>
      <c r="F435">
        <v>2024</v>
      </c>
    </row>
    <row r="436" spans="1:6" ht="15" customHeight="1" x14ac:dyDescent="0.3">
      <c r="A436" s="94" t="s">
        <v>574</v>
      </c>
      <c r="B436" s="95">
        <v>45357</v>
      </c>
      <c r="C436" s="94" t="s">
        <v>31</v>
      </c>
      <c r="D436" s="96">
        <v>4.58</v>
      </c>
      <c r="E436" s="96">
        <v>4.18</v>
      </c>
      <c r="F436">
        <v>2024</v>
      </c>
    </row>
    <row r="437" spans="1:6" ht="15" customHeight="1" x14ac:dyDescent="0.3">
      <c r="A437" s="94" t="s">
        <v>575</v>
      </c>
      <c r="B437" s="95">
        <v>45369</v>
      </c>
      <c r="C437" s="94" t="s">
        <v>31</v>
      </c>
      <c r="D437" s="96">
        <v>6.71</v>
      </c>
      <c r="E437" s="96">
        <v>5.04</v>
      </c>
      <c r="F437">
        <v>2024</v>
      </c>
    </row>
    <row r="438" spans="1:6" ht="15" customHeight="1" x14ac:dyDescent="0.3">
      <c r="A438" s="94" t="s">
        <v>576</v>
      </c>
      <c r="B438" s="95">
        <v>45390</v>
      </c>
      <c r="C438" s="94" t="s">
        <v>31</v>
      </c>
      <c r="D438" s="96">
        <v>6.63</v>
      </c>
      <c r="E438" s="96">
        <v>6.11</v>
      </c>
      <c r="F438">
        <v>2024</v>
      </c>
    </row>
    <row r="439" spans="1:6" ht="15" customHeight="1" x14ac:dyDescent="0.3">
      <c r="A439" s="94" t="s">
        <v>577</v>
      </c>
      <c r="B439" s="95">
        <v>45418</v>
      </c>
      <c r="C439" s="94" t="s">
        <v>31</v>
      </c>
      <c r="D439" s="96">
        <v>11.47</v>
      </c>
      <c r="E439" s="96">
        <v>8.08</v>
      </c>
      <c r="F439">
        <v>2024</v>
      </c>
    </row>
    <row r="440" spans="1:6" ht="15" customHeight="1" x14ac:dyDescent="0.3">
      <c r="A440" s="94" t="s">
        <v>578</v>
      </c>
      <c r="B440" s="95">
        <v>45446</v>
      </c>
      <c r="C440" s="94" t="s">
        <v>31</v>
      </c>
      <c r="D440" s="96">
        <v>18.010000000000002</v>
      </c>
      <c r="E440" s="96">
        <v>11.89</v>
      </c>
      <c r="F440">
        <v>2024</v>
      </c>
    </row>
    <row r="441" spans="1:6" ht="15" customHeight="1" x14ac:dyDescent="0.3">
      <c r="A441" s="94" t="s">
        <v>579</v>
      </c>
      <c r="B441" s="95">
        <v>45460</v>
      </c>
      <c r="C441" s="94" t="s">
        <v>31</v>
      </c>
      <c r="D441" s="96">
        <v>18.600000000000001</v>
      </c>
      <c r="E441" s="96">
        <v>13.76</v>
      </c>
      <c r="F441">
        <v>2024</v>
      </c>
    </row>
    <row r="442" spans="1:6" ht="15" customHeight="1" x14ac:dyDescent="0.3">
      <c r="A442" s="94" t="s">
        <v>580</v>
      </c>
      <c r="B442" s="95">
        <v>45476</v>
      </c>
      <c r="C442" s="94" t="s">
        <v>31</v>
      </c>
      <c r="D442" s="96">
        <v>20.62</v>
      </c>
      <c r="E442" s="96">
        <v>16.079999999999998</v>
      </c>
      <c r="F442">
        <v>2024</v>
      </c>
    </row>
    <row r="443" spans="1:6" ht="15" customHeight="1" x14ac:dyDescent="0.3">
      <c r="A443" s="94" t="s">
        <v>581</v>
      </c>
      <c r="B443" s="95">
        <v>45489</v>
      </c>
      <c r="C443" s="94" t="s">
        <v>31</v>
      </c>
      <c r="D443" s="96">
        <v>23.58</v>
      </c>
      <c r="E443" s="96">
        <v>18.100000000000001</v>
      </c>
      <c r="F443">
        <v>2024</v>
      </c>
    </row>
    <row r="444" spans="1:6" ht="15" customHeight="1" x14ac:dyDescent="0.3">
      <c r="A444" s="94" t="s">
        <v>582</v>
      </c>
      <c r="B444" s="95">
        <v>45505</v>
      </c>
      <c r="C444" s="94" t="s">
        <v>31</v>
      </c>
      <c r="D444" s="96">
        <v>23.74</v>
      </c>
      <c r="E444" s="96">
        <v>19.34</v>
      </c>
      <c r="F444">
        <v>2024</v>
      </c>
    </row>
    <row r="445" spans="1:6" ht="15" customHeight="1" x14ac:dyDescent="0.3">
      <c r="A445" s="94" t="s">
        <v>583</v>
      </c>
      <c r="B445" s="95">
        <v>45517</v>
      </c>
      <c r="C445" s="94" t="s">
        <v>31</v>
      </c>
      <c r="D445" s="96">
        <v>22.74</v>
      </c>
      <c r="E445" s="96">
        <v>20.09</v>
      </c>
      <c r="F445">
        <v>2024</v>
      </c>
    </row>
    <row r="446" spans="1:6" ht="15" customHeight="1" x14ac:dyDescent="0.3">
      <c r="A446" s="94" t="s">
        <v>584</v>
      </c>
      <c r="B446" s="95">
        <v>45532</v>
      </c>
      <c r="C446" s="94" t="s">
        <v>31</v>
      </c>
      <c r="D446" s="96">
        <v>23.25</v>
      </c>
      <c r="E446" s="96">
        <v>21.55</v>
      </c>
      <c r="F446">
        <v>2024</v>
      </c>
    </row>
    <row r="447" spans="1:6" ht="15" customHeight="1" x14ac:dyDescent="0.3">
      <c r="A447" s="141" t="s">
        <v>585</v>
      </c>
      <c r="B447" s="34">
        <v>45569</v>
      </c>
      <c r="C447" s="141" t="s">
        <v>31</v>
      </c>
      <c r="D447" s="142">
        <v>20.52</v>
      </c>
      <c r="E447" s="142">
        <v>20.61</v>
      </c>
      <c r="F447">
        <v>2024</v>
      </c>
    </row>
    <row r="448" spans="1:6" ht="15" customHeight="1" x14ac:dyDescent="0.3">
      <c r="A448" s="160" t="s">
        <v>601</v>
      </c>
      <c r="B448" s="34">
        <v>45686</v>
      </c>
      <c r="C448" s="141" t="s">
        <v>31</v>
      </c>
      <c r="D448">
        <v>2.2200000000000002</v>
      </c>
      <c r="E448">
        <v>2.3199999999999998</v>
      </c>
      <c r="F448">
        <v>2025</v>
      </c>
    </row>
    <row r="449" spans="1:6" ht="15" customHeight="1" x14ac:dyDescent="0.3">
      <c r="A449" s="160" t="s">
        <v>593</v>
      </c>
      <c r="B449" s="34">
        <v>45729</v>
      </c>
      <c r="C449" s="141" t="s">
        <v>31</v>
      </c>
      <c r="D449">
        <v>3.47</v>
      </c>
      <c r="E449">
        <v>2.3199999999999998</v>
      </c>
      <c r="F449">
        <v>2025</v>
      </c>
    </row>
    <row r="450" spans="1:6" ht="15" customHeight="1" x14ac:dyDescent="0.3">
      <c r="A450" s="160" t="s">
        <v>594</v>
      </c>
      <c r="B450" s="34">
        <v>45749</v>
      </c>
      <c r="C450" s="141" t="s">
        <v>31</v>
      </c>
      <c r="D450">
        <v>5.38</v>
      </c>
      <c r="E450">
        <v>4.87</v>
      </c>
      <c r="F450">
        <v>2025</v>
      </c>
    </row>
    <row r="451" spans="1:6" ht="15" customHeight="1" x14ac:dyDescent="0.3">
      <c r="A451" s="160" t="s">
        <v>595</v>
      </c>
      <c r="B451" s="34">
        <v>45784</v>
      </c>
      <c r="C451" s="141" t="s">
        <v>31</v>
      </c>
      <c r="D451">
        <v>11.05</v>
      </c>
      <c r="E451">
        <v>8.2799999999999994</v>
      </c>
      <c r="F451">
        <v>2025</v>
      </c>
    </row>
    <row r="452" spans="1:6" ht="15" customHeight="1" x14ac:dyDescent="0.3">
      <c r="A452" s="160" t="s">
        <v>596</v>
      </c>
      <c r="B452" s="34">
        <v>45812</v>
      </c>
      <c r="C452" s="141" t="s">
        <v>31</v>
      </c>
      <c r="D452">
        <v>15.95</v>
      </c>
      <c r="E452">
        <v>12.11</v>
      </c>
      <c r="F452">
        <v>2025</v>
      </c>
    </row>
    <row r="453" spans="1:6" ht="15" customHeight="1" x14ac:dyDescent="0.3">
      <c r="A453" s="160" t="s">
        <v>597</v>
      </c>
      <c r="B453" s="34">
        <v>45838</v>
      </c>
      <c r="C453" s="141" t="s">
        <v>31</v>
      </c>
      <c r="D453">
        <v>21.88</v>
      </c>
      <c r="E453">
        <v>14.97</v>
      </c>
      <c r="F453">
        <v>2025</v>
      </c>
    </row>
    <row r="454" spans="1:6" ht="15" customHeight="1" x14ac:dyDescent="0.3">
      <c r="A454" s="160" t="s">
        <v>598</v>
      </c>
      <c r="B454" s="34">
        <v>45853</v>
      </c>
      <c r="C454" s="141" t="s">
        <v>31</v>
      </c>
      <c r="D454">
        <v>24.45</v>
      </c>
      <c r="E454">
        <v>17.28</v>
      </c>
      <c r="F454">
        <v>2025</v>
      </c>
    </row>
    <row r="455" spans="1:6" ht="15" customHeight="1" x14ac:dyDescent="0.3">
      <c r="A455" s="160" t="s">
        <v>599</v>
      </c>
      <c r="B455" s="34">
        <v>45869</v>
      </c>
      <c r="C455" s="141" t="s">
        <v>31</v>
      </c>
      <c r="D455">
        <v>25.75</v>
      </c>
      <c r="E455">
        <v>18.940000000000001</v>
      </c>
      <c r="F455">
        <v>2025</v>
      </c>
    </row>
    <row r="456" spans="1:6" ht="15" customHeight="1" x14ac:dyDescent="0.3">
      <c r="A456" s="160" t="s">
        <v>600</v>
      </c>
      <c r="B456" s="34">
        <v>45881</v>
      </c>
      <c r="C456" s="141" t="s">
        <v>31</v>
      </c>
      <c r="D456">
        <v>23.33</v>
      </c>
      <c r="E456">
        <v>20.190000000000001</v>
      </c>
      <c r="F456">
        <v>2025</v>
      </c>
    </row>
    <row r="457" spans="1:6" ht="15" customHeight="1" x14ac:dyDescent="0.3">
      <c r="A457" s="205" t="s">
        <v>603</v>
      </c>
      <c r="B457" s="34">
        <v>45897</v>
      </c>
      <c r="C457" s="141" t="s">
        <v>31</v>
      </c>
      <c r="D457">
        <v>22.03</v>
      </c>
      <c r="E457">
        <v>21.61</v>
      </c>
      <c r="F457">
        <v>2025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452"/>
  <sheetViews>
    <sheetView workbookViewId="0">
      <pane ySplit="1" topLeftCell="A425" activePane="bottomLeft" state="frozen"/>
      <selection activeCell="C1" sqref="C1"/>
      <selection pane="bottomLeft" activeCell="F444" sqref="F444:F452"/>
    </sheetView>
  </sheetViews>
  <sheetFormatPr defaultRowHeight="15" customHeight="1" x14ac:dyDescent="0.3"/>
  <cols>
    <col min="1" max="1" width="10.44140625" bestFit="1" customWidth="1"/>
    <col min="2" max="2" width="10.6640625" bestFit="1" customWidth="1"/>
    <col min="3" max="3" width="13.109375" bestFit="1" customWidth="1"/>
    <col min="4" max="4" width="7.44140625" bestFit="1" customWidth="1"/>
    <col min="5" max="5" width="7.5546875" bestFit="1" customWidth="1"/>
    <col min="9" max="9" width="12.5546875" bestFit="1" customWidth="1"/>
    <col min="10" max="10" width="16.88671875" bestFit="1" customWidth="1"/>
    <col min="11" max="11" width="17" bestFit="1" customWidth="1"/>
    <col min="12" max="12" width="20.44140625" bestFit="1" customWidth="1"/>
  </cols>
  <sheetData>
    <row r="1" spans="1:17" ht="15" customHeight="1" x14ac:dyDescent="0.3">
      <c r="A1" s="41" t="s">
        <v>1</v>
      </c>
      <c r="B1" s="41" t="s">
        <v>3</v>
      </c>
      <c r="C1" s="41" t="s">
        <v>2</v>
      </c>
      <c r="D1" s="41" t="s">
        <v>4</v>
      </c>
      <c r="E1" s="41" t="s">
        <v>5</v>
      </c>
      <c r="F1" s="48" t="s">
        <v>480</v>
      </c>
      <c r="I1" s="47" t="s">
        <v>515</v>
      </c>
      <c r="J1" t="s">
        <v>519</v>
      </c>
      <c r="K1" t="s">
        <v>518</v>
      </c>
      <c r="L1" t="s">
        <v>520</v>
      </c>
      <c r="N1" t="s">
        <v>515</v>
      </c>
      <c r="O1" t="s">
        <v>519</v>
      </c>
      <c r="P1" t="s">
        <v>518</v>
      </c>
      <c r="Q1" t="s">
        <v>520</v>
      </c>
    </row>
    <row r="2" spans="1:17" ht="15" customHeight="1" x14ac:dyDescent="0.3">
      <c r="A2" s="42" t="s">
        <v>79</v>
      </c>
      <c r="B2" s="43">
        <v>34508</v>
      </c>
      <c r="C2" s="42" t="s">
        <v>32</v>
      </c>
      <c r="D2" s="44">
        <v>17.28</v>
      </c>
      <c r="E2" s="45"/>
      <c r="F2">
        <v>1994</v>
      </c>
      <c r="I2" s="9">
        <v>1994</v>
      </c>
      <c r="J2">
        <v>19.770000000000003</v>
      </c>
      <c r="K2">
        <v>10.5</v>
      </c>
      <c r="L2">
        <v>8</v>
      </c>
      <c r="N2">
        <v>1995</v>
      </c>
      <c r="O2">
        <v>14.136666666666667</v>
      </c>
      <c r="P2">
        <v>12.429021428571428</v>
      </c>
      <c r="Q2">
        <v>15</v>
      </c>
    </row>
    <row r="3" spans="1:17" ht="15" customHeight="1" x14ac:dyDescent="0.3">
      <c r="A3" s="42" t="s">
        <v>80</v>
      </c>
      <c r="B3" s="43">
        <v>34520</v>
      </c>
      <c r="C3" s="42" t="s">
        <v>32</v>
      </c>
      <c r="D3" s="44">
        <v>20.65</v>
      </c>
      <c r="E3" s="45"/>
      <c r="F3">
        <v>1994</v>
      </c>
      <c r="I3" s="9">
        <v>1995</v>
      </c>
      <c r="J3">
        <v>14.136666666666667</v>
      </c>
      <c r="K3">
        <v>12.429021428571428</v>
      </c>
      <c r="L3">
        <v>15</v>
      </c>
      <c r="N3">
        <v>1996</v>
      </c>
      <c r="O3">
        <v>11.936363636363636</v>
      </c>
      <c r="P3">
        <v>10.799090909090911</v>
      </c>
      <c r="Q3">
        <v>12</v>
      </c>
    </row>
    <row r="4" spans="1:17" ht="15" customHeight="1" x14ac:dyDescent="0.3">
      <c r="A4" s="42" t="s">
        <v>81</v>
      </c>
      <c r="B4" s="43">
        <v>34536</v>
      </c>
      <c r="C4" s="42" t="s">
        <v>32</v>
      </c>
      <c r="D4" s="44">
        <v>21.58</v>
      </c>
      <c r="E4" s="45"/>
      <c r="F4">
        <v>1994</v>
      </c>
      <c r="I4" s="9">
        <v>1996</v>
      </c>
      <c r="J4">
        <v>11.936363636363636</v>
      </c>
      <c r="K4">
        <v>10.799090909090911</v>
      </c>
      <c r="L4">
        <v>12</v>
      </c>
      <c r="N4">
        <v>1997</v>
      </c>
      <c r="O4">
        <v>13.297692307692309</v>
      </c>
      <c r="P4">
        <v>12.032727272727273</v>
      </c>
      <c r="Q4">
        <v>13</v>
      </c>
    </row>
    <row r="5" spans="1:17" ht="15" customHeight="1" x14ac:dyDescent="0.3">
      <c r="A5" s="42" t="s">
        <v>82</v>
      </c>
      <c r="B5" s="43">
        <v>34549</v>
      </c>
      <c r="C5" s="42" t="s">
        <v>32</v>
      </c>
      <c r="D5" s="44">
        <v>24.3</v>
      </c>
      <c r="E5" s="45"/>
      <c r="F5">
        <v>1994</v>
      </c>
      <c r="I5" s="9">
        <v>1997</v>
      </c>
      <c r="J5">
        <v>13.297692307692309</v>
      </c>
      <c r="K5">
        <v>12.032727272727273</v>
      </c>
      <c r="L5">
        <v>13</v>
      </c>
      <c r="N5">
        <v>1998</v>
      </c>
      <c r="O5">
        <v>14.909333333333334</v>
      </c>
      <c r="P5">
        <v>13.309999999999999</v>
      </c>
      <c r="Q5">
        <v>15</v>
      </c>
    </row>
    <row r="6" spans="1:17" ht="15" customHeight="1" x14ac:dyDescent="0.3">
      <c r="A6" s="42" t="s">
        <v>83</v>
      </c>
      <c r="B6" s="43">
        <v>34563</v>
      </c>
      <c r="C6" s="42" t="s">
        <v>32</v>
      </c>
      <c r="D6" s="44">
        <v>21.23</v>
      </c>
      <c r="F6">
        <v>1994</v>
      </c>
      <c r="I6" s="9">
        <v>1998</v>
      </c>
      <c r="J6">
        <v>14.909333333333334</v>
      </c>
      <c r="K6">
        <v>13.309999999999999</v>
      </c>
      <c r="L6">
        <v>15</v>
      </c>
      <c r="N6">
        <v>1999</v>
      </c>
      <c r="O6">
        <v>14.526666666666666</v>
      </c>
      <c r="P6">
        <v>13.346000000000004</v>
      </c>
      <c r="Q6">
        <v>15</v>
      </c>
    </row>
    <row r="7" spans="1:17" ht="15" customHeight="1" x14ac:dyDescent="0.3">
      <c r="A7" s="42" t="s">
        <v>84</v>
      </c>
      <c r="B7" s="43">
        <v>34576</v>
      </c>
      <c r="C7" s="42" t="s">
        <v>32</v>
      </c>
      <c r="D7" s="44">
        <v>21.56</v>
      </c>
      <c r="E7" s="45"/>
      <c r="F7">
        <v>1994</v>
      </c>
      <c r="I7" s="9">
        <v>1999</v>
      </c>
      <c r="J7">
        <v>14.526666666666666</v>
      </c>
      <c r="K7">
        <v>13.346000000000004</v>
      </c>
      <c r="L7">
        <v>15</v>
      </c>
      <c r="N7">
        <v>2000</v>
      </c>
      <c r="O7">
        <v>13.562666666666669</v>
      </c>
      <c r="P7">
        <v>12.466666666666665</v>
      </c>
      <c r="Q7">
        <v>15</v>
      </c>
    </row>
    <row r="8" spans="1:17" ht="15" customHeight="1" x14ac:dyDescent="0.3">
      <c r="A8" s="42" t="s">
        <v>85</v>
      </c>
      <c r="B8" s="43">
        <v>34584</v>
      </c>
      <c r="C8" s="42" t="s">
        <v>32</v>
      </c>
      <c r="D8" s="44">
        <v>21.19</v>
      </c>
      <c r="E8" s="45"/>
      <c r="F8">
        <v>1994</v>
      </c>
      <c r="I8" s="9">
        <v>2000</v>
      </c>
      <c r="J8">
        <v>13.562666666666669</v>
      </c>
      <c r="K8">
        <v>12.466666666666665</v>
      </c>
      <c r="L8">
        <v>15</v>
      </c>
      <c r="N8">
        <v>2001</v>
      </c>
      <c r="O8">
        <v>14.036428571428573</v>
      </c>
      <c r="P8">
        <v>12.985714285714286</v>
      </c>
      <c r="Q8">
        <v>15</v>
      </c>
    </row>
    <row r="9" spans="1:17" ht="15" customHeight="1" x14ac:dyDescent="0.3">
      <c r="A9" s="42" t="s">
        <v>88</v>
      </c>
      <c r="B9" s="43">
        <v>34675</v>
      </c>
      <c r="C9" s="42" t="s">
        <v>32</v>
      </c>
      <c r="D9" s="44">
        <v>10.37</v>
      </c>
      <c r="E9" s="44">
        <v>10.5</v>
      </c>
      <c r="F9">
        <v>1994</v>
      </c>
      <c r="I9" s="9">
        <v>2001</v>
      </c>
      <c r="J9">
        <v>14.036428571428573</v>
      </c>
      <c r="K9">
        <v>12.985714285714286</v>
      </c>
      <c r="L9">
        <v>15</v>
      </c>
      <c r="N9">
        <v>2002</v>
      </c>
      <c r="O9">
        <v>13.126923076923077</v>
      </c>
      <c r="P9">
        <v>12.524615384615384</v>
      </c>
      <c r="Q9">
        <v>13</v>
      </c>
    </row>
    <row r="10" spans="1:17" ht="15" customHeight="1" x14ac:dyDescent="0.3">
      <c r="A10" s="42" t="s">
        <v>89</v>
      </c>
      <c r="B10" s="43">
        <v>34709</v>
      </c>
      <c r="C10" s="42" t="s">
        <v>32</v>
      </c>
      <c r="D10" s="44">
        <v>4.0599999999999996</v>
      </c>
      <c r="E10" s="44">
        <v>5.0599999999999996</v>
      </c>
      <c r="F10">
        <v>1995</v>
      </c>
      <c r="I10" s="9">
        <v>2002</v>
      </c>
      <c r="J10">
        <v>13.126923076923077</v>
      </c>
      <c r="K10">
        <v>12.524615384615384</v>
      </c>
      <c r="L10">
        <v>13</v>
      </c>
      <c r="N10">
        <v>2003</v>
      </c>
      <c r="O10">
        <v>13.462857142857143</v>
      </c>
      <c r="P10">
        <v>11.539166666666667</v>
      </c>
      <c r="Q10">
        <v>14</v>
      </c>
    </row>
    <row r="11" spans="1:17" ht="15" customHeight="1" x14ac:dyDescent="0.3">
      <c r="A11" s="42" t="s">
        <v>90</v>
      </c>
      <c r="B11" s="43">
        <v>34745</v>
      </c>
      <c r="C11" s="42" t="s">
        <v>32</v>
      </c>
      <c r="D11" s="44">
        <v>1.1299999999999999</v>
      </c>
      <c r="E11" s="44">
        <v>1.1200000000000001</v>
      </c>
      <c r="F11">
        <v>1995</v>
      </c>
      <c r="I11" s="9">
        <v>2003</v>
      </c>
      <c r="J11">
        <v>13.462857142857143</v>
      </c>
      <c r="K11">
        <v>11.539166666666667</v>
      </c>
      <c r="L11">
        <v>14</v>
      </c>
      <c r="N11">
        <v>2004</v>
      </c>
      <c r="O11">
        <v>13.956153846153846</v>
      </c>
      <c r="P11">
        <v>12.29076923076923</v>
      </c>
      <c r="Q11">
        <v>13</v>
      </c>
    </row>
    <row r="12" spans="1:17" ht="15" customHeight="1" x14ac:dyDescent="0.3">
      <c r="A12" s="42" t="s">
        <v>91</v>
      </c>
      <c r="B12" s="43">
        <v>34765</v>
      </c>
      <c r="C12" s="42" t="s">
        <v>32</v>
      </c>
      <c r="D12" s="44">
        <v>2.34</v>
      </c>
      <c r="E12" s="44">
        <v>1.78</v>
      </c>
      <c r="F12">
        <v>1995</v>
      </c>
      <c r="I12" s="9">
        <v>2004</v>
      </c>
      <c r="J12">
        <v>13.956153846153846</v>
      </c>
      <c r="K12">
        <v>12.29076923076923</v>
      </c>
      <c r="L12">
        <v>13</v>
      </c>
      <c r="N12">
        <v>2005</v>
      </c>
      <c r="O12">
        <v>13.510714285714286</v>
      </c>
      <c r="P12">
        <v>11.903571428571428</v>
      </c>
      <c r="Q12">
        <v>14</v>
      </c>
    </row>
    <row r="13" spans="1:17" ht="15" customHeight="1" x14ac:dyDescent="0.3">
      <c r="A13" s="42" t="s">
        <v>92</v>
      </c>
      <c r="B13" s="43">
        <v>34795</v>
      </c>
      <c r="C13" s="42" t="s">
        <v>32</v>
      </c>
      <c r="D13" s="44">
        <v>4.05</v>
      </c>
      <c r="E13" s="44">
        <v>4.3600000000000003</v>
      </c>
      <c r="F13">
        <v>1995</v>
      </c>
      <c r="I13" s="9">
        <v>2005</v>
      </c>
      <c r="J13">
        <v>13.510714285714286</v>
      </c>
      <c r="K13">
        <v>11.903571428571428</v>
      </c>
      <c r="L13">
        <v>14</v>
      </c>
      <c r="N13">
        <v>2006</v>
      </c>
      <c r="O13">
        <v>15.133846153846154</v>
      </c>
      <c r="P13">
        <v>14.016923076923076</v>
      </c>
      <c r="Q13">
        <v>13</v>
      </c>
    </row>
    <row r="14" spans="1:17" ht="15" customHeight="1" x14ac:dyDescent="0.3">
      <c r="A14" s="42" t="s">
        <v>93</v>
      </c>
      <c r="B14" s="43">
        <v>34828</v>
      </c>
      <c r="C14" s="42" t="s">
        <v>32</v>
      </c>
      <c r="D14" s="44">
        <v>9.67</v>
      </c>
      <c r="E14" s="44">
        <v>8.14</v>
      </c>
      <c r="F14">
        <v>1995</v>
      </c>
      <c r="I14" s="9">
        <v>2006</v>
      </c>
      <c r="J14">
        <v>15.133846153846154</v>
      </c>
      <c r="K14">
        <v>14.016923076923076</v>
      </c>
      <c r="L14">
        <v>13</v>
      </c>
      <c r="N14">
        <v>2007</v>
      </c>
      <c r="O14">
        <v>14.617142857142856</v>
      </c>
      <c r="P14">
        <v>13.025</v>
      </c>
      <c r="Q14">
        <v>15</v>
      </c>
    </row>
    <row r="15" spans="1:17" ht="15" customHeight="1" x14ac:dyDescent="0.3">
      <c r="A15" s="42" t="s">
        <v>94</v>
      </c>
      <c r="B15" s="43">
        <v>34855</v>
      </c>
      <c r="C15" s="42" t="s">
        <v>32</v>
      </c>
      <c r="D15" s="44">
        <v>15.31</v>
      </c>
      <c r="E15" s="44">
        <v>11.12</v>
      </c>
      <c r="F15">
        <v>1995</v>
      </c>
      <c r="I15" s="9">
        <v>2007</v>
      </c>
      <c r="J15">
        <v>14.617142857142856</v>
      </c>
      <c r="K15">
        <v>13.025</v>
      </c>
      <c r="L15">
        <v>15</v>
      </c>
      <c r="N15">
        <v>2008</v>
      </c>
      <c r="O15">
        <v>13.776</v>
      </c>
      <c r="P15">
        <v>12.687333333333333</v>
      </c>
      <c r="Q15">
        <v>15</v>
      </c>
    </row>
    <row r="16" spans="1:17" ht="15" customHeight="1" x14ac:dyDescent="0.3">
      <c r="A16" s="42" t="s">
        <v>95</v>
      </c>
      <c r="B16" s="43">
        <v>34876</v>
      </c>
      <c r="C16" s="42" t="s">
        <v>32</v>
      </c>
      <c r="D16" s="44">
        <v>18.95</v>
      </c>
      <c r="E16" s="45"/>
      <c r="F16">
        <v>1995</v>
      </c>
      <c r="I16" s="9">
        <v>2008</v>
      </c>
      <c r="J16">
        <v>13.776</v>
      </c>
      <c r="K16">
        <v>12.687333333333333</v>
      </c>
      <c r="L16">
        <v>15</v>
      </c>
      <c r="N16">
        <v>2009</v>
      </c>
      <c r="O16">
        <v>13.226666666666667</v>
      </c>
      <c r="P16">
        <v>11.974</v>
      </c>
      <c r="Q16">
        <v>15</v>
      </c>
    </row>
    <row r="17" spans="1:17" ht="15" customHeight="1" x14ac:dyDescent="0.3">
      <c r="A17" s="42" t="s">
        <v>96</v>
      </c>
      <c r="B17" s="43">
        <v>34886</v>
      </c>
      <c r="C17" s="42" t="s">
        <v>32</v>
      </c>
      <c r="D17" s="44">
        <v>20.6</v>
      </c>
      <c r="E17" s="44">
        <v>16.14</v>
      </c>
      <c r="F17">
        <v>1995</v>
      </c>
      <c r="I17" s="9">
        <v>2009</v>
      </c>
      <c r="J17">
        <v>13.226666666666667</v>
      </c>
      <c r="K17">
        <v>11.974</v>
      </c>
      <c r="L17">
        <v>15</v>
      </c>
      <c r="N17">
        <v>2010</v>
      </c>
      <c r="O17">
        <v>14.20857142857143</v>
      </c>
      <c r="P17">
        <v>12.651428571428571</v>
      </c>
      <c r="Q17">
        <v>15</v>
      </c>
    </row>
    <row r="18" spans="1:17" ht="15" customHeight="1" x14ac:dyDescent="0.3">
      <c r="A18" s="42" t="s">
        <v>97</v>
      </c>
      <c r="B18" s="43">
        <v>34899</v>
      </c>
      <c r="C18" s="42" t="s">
        <v>32</v>
      </c>
      <c r="D18" s="44">
        <v>21.9</v>
      </c>
      <c r="E18" s="44">
        <v>17.989999999999998</v>
      </c>
      <c r="F18">
        <v>1995</v>
      </c>
      <c r="I18" s="9">
        <v>2010</v>
      </c>
      <c r="J18">
        <v>14.20857142857143</v>
      </c>
      <c r="K18">
        <v>12.651428571428571</v>
      </c>
      <c r="L18">
        <v>15</v>
      </c>
      <c r="N18">
        <v>2011</v>
      </c>
      <c r="O18">
        <v>13.284615384615384</v>
      </c>
      <c r="P18">
        <v>12.036923076923078</v>
      </c>
      <c r="Q18">
        <v>15</v>
      </c>
    </row>
    <row r="19" spans="1:17" ht="15" customHeight="1" x14ac:dyDescent="0.3">
      <c r="A19" s="42" t="s">
        <v>98</v>
      </c>
      <c r="B19" s="43">
        <v>34913</v>
      </c>
      <c r="C19" s="42" t="s">
        <v>32</v>
      </c>
      <c r="D19" s="44">
        <v>24.35</v>
      </c>
      <c r="E19" s="44">
        <v>19.5367</v>
      </c>
      <c r="F19">
        <v>1995</v>
      </c>
      <c r="I19" s="9">
        <v>2011</v>
      </c>
      <c r="J19">
        <v>13.284615384615384</v>
      </c>
      <c r="K19">
        <v>12.036923076923078</v>
      </c>
      <c r="L19">
        <v>15</v>
      </c>
      <c r="N19">
        <v>2012</v>
      </c>
      <c r="O19">
        <v>15.065333333333331</v>
      </c>
      <c r="P19">
        <v>13.845333333333333</v>
      </c>
      <c r="Q19">
        <v>15</v>
      </c>
    </row>
    <row r="20" spans="1:17" ht="15" customHeight="1" x14ac:dyDescent="0.3">
      <c r="A20" s="42" t="s">
        <v>99</v>
      </c>
      <c r="B20" s="43">
        <v>34926</v>
      </c>
      <c r="C20" s="42" t="s">
        <v>32</v>
      </c>
      <c r="D20" s="44">
        <v>23.27</v>
      </c>
      <c r="E20" s="44">
        <v>21.6296</v>
      </c>
      <c r="F20">
        <v>1995</v>
      </c>
      <c r="I20" s="9">
        <v>2012</v>
      </c>
      <c r="J20">
        <v>15.065333333333331</v>
      </c>
      <c r="K20">
        <v>13.845333333333333</v>
      </c>
      <c r="L20">
        <v>15</v>
      </c>
      <c r="N20">
        <v>2013</v>
      </c>
      <c r="O20">
        <v>14.733124999999999</v>
      </c>
      <c r="P20">
        <v>13.319375000000001</v>
      </c>
      <c r="Q20">
        <v>16</v>
      </c>
    </row>
    <row r="21" spans="1:17" ht="15" customHeight="1" x14ac:dyDescent="0.3">
      <c r="A21" s="42" t="s">
        <v>100</v>
      </c>
      <c r="B21" s="43">
        <v>34953</v>
      </c>
      <c r="C21" s="42" t="s">
        <v>32</v>
      </c>
      <c r="D21" s="44">
        <v>21.96</v>
      </c>
      <c r="E21" s="44">
        <v>21.87</v>
      </c>
      <c r="F21">
        <v>1995</v>
      </c>
      <c r="I21" s="9">
        <v>2013</v>
      </c>
      <c r="J21">
        <v>14.733124999999999</v>
      </c>
      <c r="K21">
        <v>13.319375000000001</v>
      </c>
      <c r="L21">
        <v>16</v>
      </c>
      <c r="N21">
        <v>2014</v>
      </c>
      <c r="O21">
        <v>14.765999999999998</v>
      </c>
      <c r="P21">
        <v>12.3325</v>
      </c>
      <c r="Q21">
        <v>16</v>
      </c>
    </row>
    <row r="22" spans="1:17" ht="15" customHeight="1" x14ac:dyDescent="0.3">
      <c r="A22" s="42" t="s">
        <v>101</v>
      </c>
      <c r="B22" s="43">
        <v>34976</v>
      </c>
      <c r="C22" s="42" t="s">
        <v>32</v>
      </c>
      <c r="D22" s="44">
        <v>19.73</v>
      </c>
      <c r="E22" s="46">
        <v>19.7</v>
      </c>
      <c r="F22">
        <v>1995</v>
      </c>
      <c r="I22" s="9">
        <v>2014</v>
      </c>
      <c r="J22">
        <v>14.765999999999998</v>
      </c>
      <c r="K22">
        <v>12.3325</v>
      </c>
      <c r="L22">
        <v>16</v>
      </c>
      <c r="N22">
        <v>2015</v>
      </c>
      <c r="O22">
        <v>14.215624999999999</v>
      </c>
      <c r="P22">
        <v>12.673124999999999</v>
      </c>
      <c r="Q22">
        <v>16</v>
      </c>
    </row>
    <row r="23" spans="1:17" ht="15" customHeight="1" x14ac:dyDescent="0.3">
      <c r="A23" s="42" t="s">
        <v>102</v>
      </c>
      <c r="B23" s="43">
        <v>35004</v>
      </c>
      <c r="C23" s="42" t="s">
        <v>32</v>
      </c>
      <c r="D23" s="44">
        <v>16.350000000000001</v>
      </c>
      <c r="E23" s="44">
        <v>16.39</v>
      </c>
      <c r="F23">
        <v>1995</v>
      </c>
      <c r="I23" s="9">
        <v>2015</v>
      </c>
      <c r="J23">
        <v>14.215624999999999</v>
      </c>
      <c r="K23">
        <v>12.673124999999999</v>
      </c>
      <c r="L23">
        <v>16</v>
      </c>
      <c r="N23">
        <v>2016</v>
      </c>
      <c r="O23">
        <v>15.56875</v>
      </c>
      <c r="P23">
        <v>14.41625</v>
      </c>
      <c r="Q23">
        <v>16</v>
      </c>
    </row>
    <row r="24" spans="1:17" ht="15" customHeight="1" x14ac:dyDescent="0.3">
      <c r="A24" s="42" t="s">
        <v>103</v>
      </c>
      <c r="B24" s="43">
        <v>35039</v>
      </c>
      <c r="C24" s="42" t="s">
        <v>32</v>
      </c>
      <c r="D24" s="44">
        <v>8.3800000000000008</v>
      </c>
      <c r="E24" s="44">
        <v>9.17</v>
      </c>
      <c r="F24">
        <v>1995</v>
      </c>
      <c r="I24" s="9">
        <v>2016</v>
      </c>
      <c r="J24">
        <v>15.56875</v>
      </c>
      <c r="K24">
        <v>14.41625</v>
      </c>
      <c r="L24">
        <v>16</v>
      </c>
      <c r="N24">
        <v>2017</v>
      </c>
      <c r="O24">
        <v>14.128000000000002</v>
      </c>
      <c r="P24">
        <v>13.304666666666666</v>
      </c>
      <c r="Q24">
        <v>15</v>
      </c>
    </row>
    <row r="25" spans="1:17" ht="15" customHeight="1" x14ac:dyDescent="0.3">
      <c r="A25" s="42" t="s">
        <v>104</v>
      </c>
      <c r="B25" s="43">
        <v>35104</v>
      </c>
      <c r="C25" s="42" t="s">
        <v>32</v>
      </c>
      <c r="D25" s="44">
        <v>0.32</v>
      </c>
      <c r="E25" s="44">
        <v>0.44</v>
      </c>
      <c r="F25">
        <v>1996</v>
      </c>
      <c r="I25" s="9">
        <v>2017</v>
      </c>
      <c r="J25">
        <v>14.128000000000002</v>
      </c>
      <c r="K25">
        <v>13.304666666666666</v>
      </c>
      <c r="L25">
        <v>15</v>
      </c>
      <c r="N25">
        <v>2018</v>
      </c>
      <c r="O25">
        <v>14.498125</v>
      </c>
      <c r="P25">
        <v>12.799375000000001</v>
      </c>
      <c r="Q25">
        <v>16</v>
      </c>
    </row>
    <row r="26" spans="1:17" ht="15" customHeight="1" x14ac:dyDescent="0.3">
      <c r="A26" s="42" t="s">
        <v>105</v>
      </c>
      <c r="B26" s="43">
        <v>35130</v>
      </c>
      <c r="C26" s="42" t="s">
        <v>32</v>
      </c>
      <c r="D26" s="44">
        <v>0.83</v>
      </c>
      <c r="E26" s="44">
        <v>0.67</v>
      </c>
      <c r="F26">
        <v>1996</v>
      </c>
      <c r="I26" s="9">
        <v>2018</v>
      </c>
      <c r="J26">
        <v>14.498125</v>
      </c>
      <c r="K26">
        <v>12.799375000000001</v>
      </c>
      <c r="L26">
        <v>16</v>
      </c>
      <c r="N26">
        <v>2019</v>
      </c>
      <c r="O26">
        <v>14.334374999999998</v>
      </c>
      <c r="P26">
        <v>13.060625000000002</v>
      </c>
      <c r="Q26">
        <v>16</v>
      </c>
    </row>
    <row r="27" spans="1:17" ht="15" customHeight="1" x14ac:dyDescent="0.3">
      <c r="A27" s="42" t="s">
        <v>106</v>
      </c>
      <c r="B27" s="43">
        <v>35158</v>
      </c>
      <c r="C27" s="42" t="s">
        <v>32</v>
      </c>
      <c r="D27" s="44">
        <v>3.41</v>
      </c>
      <c r="E27" s="44">
        <v>2.63</v>
      </c>
      <c r="F27">
        <v>1996</v>
      </c>
      <c r="I27" s="9">
        <v>2019</v>
      </c>
      <c r="J27">
        <v>14.334374999999998</v>
      </c>
      <c r="K27">
        <v>13.060625000000002</v>
      </c>
      <c r="L27">
        <v>16</v>
      </c>
      <c r="N27">
        <v>2020</v>
      </c>
      <c r="O27">
        <v>16.510909090909092</v>
      </c>
      <c r="P27">
        <v>14.958181818181815</v>
      </c>
      <c r="Q27">
        <v>11</v>
      </c>
    </row>
    <row r="28" spans="1:17" ht="15" customHeight="1" x14ac:dyDescent="0.3">
      <c r="A28" s="42" t="s">
        <v>107</v>
      </c>
      <c r="B28" s="43">
        <v>35198</v>
      </c>
      <c r="C28" s="42" t="s">
        <v>32</v>
      </c>
      <c r="D28" s="44">
        <v>8.92</v>
      </c>
      <c r="E28" s="44">
        <v>8.1999999999999993</v>
      </c>
      <c r="F28">
        <v>1996</v>
      </c>
      <c r="I28" s="9">
        <v>2020</v>
      </c>
      <c r="J28">
        <v>16.510909090909092</v>
      </c>
      <c r="K28">
        <v>14.958181818181815</v>
      </c>
      <c r="L28">
        <v>11</v>
      </c>
      <c r="N28">
        <v>2021</v>
      </c>
      <c r="O28">
        <v>16.680714285714284</v>
      </c>
      <c r="P28">
        <v>15.213571428571429</v>
      </c>
      <c r="Q28">
        <v>14</v>
      </c>
    </row>
    <row r="29" spans="1:17" ht="15" customHeight="1" x14ac:dyDescent="0.3">
      <c r="A29" s="42" t="s">
        <v>108</v>
      </c>
      <c r="B29" s="43">
        <v>35219</v>
      </c>
      <c r="C29" s="42" t="s">
        <v>32</v>
      </c>
      <c r="D29" s="44">
        <v>11.81</v>
      </c>
      <c r="E29" s="44">
        <v>10.86</v>
      </c>
      <c r="F29">
        <v>1996</v>
      </c>
      <c r="I29" s="9">
        <v>2021</v>
      </c>
      <c r="J29">
        <v>16.680714285714284</v>
      </c>
      <c r="K29">
        <v>15.213571428571429</v>
      </c>
      <c r="L29">
        <v>14</v>
      </c>
      <c r="N29">
        <v>2022</v>
      </c>
      <c r="O29">
        <v>15.071428571428569</v>
      </c>
      <c r="P29">
        <v>13.734285714285717</v>
      </c>
      <c r="Q29">
        <v>14</v>
      </c>
    </row>
    <row r="30" spans="1:17" ht="15" customHeight="1" x14ac:dyDescent="0.3">
      <c r="A30" s="42" t="s">
        <v>110</v>
      </c>
      <c r="B30" s="43">
        <v>35255</v>
      </c>
      <c r="C30" s="42" t="s">
        <v>32</v>
      </c>
      <c r="D30" s="44">
        <v>17.45</v>
      </c>
      <c r="E30" s="44">
        <v>15.57</v>
      </c>
      <c r="F30">
        <v>1996</v>
      </c>
      <c r="I30" s="9">
        <v>2022</v>
      </c>
      <c r="J30">
        <v>15.071428571428569</v>
      </c>
      <c r="K30">
        <v>13.734285714285717</v>
      </c>
      <c r="L30">
        <v>14</v>
      </c>
      <c r="N30" s="9">
        <v>2023</v>
      </c>
      <c r="O30">
        <v>15.738461538461538</v>
      </c>
      <c r="P30">
        <v>14.406153846153849</v>
      </c>
      <c r="Q30">
        <v>13</v>
      </c>
    </row>
    <row r="31" spans="1:17" ht="15" customHeight="1" x14ac:dyDescent="0.3">
      <c r="A31" s="42" t="s">
        <v>111</v>
      </c>
      <c r="B31" s="43">
        <v>35271</v>
      </c>
      <c r="C31" s="42" t="s">
        <v>32</v>
      </c>
      <c r="D31" s="44">
        <v>20.52</v>
      </c>
      <c r="E31" s="44">
        <v>17.88</v>
      </c>
      <c r="F31">
        <v>1996</v>
      </c>
      <c r="I31" s="9">
        <v>2023</v>
      </c>
      <c r="J31">
        <v>15.738461538461538</v>
      </c>
      <c r="K31">
        <v>14.406153846153849</v>
      </c>
      <c r="L31">
        <v>13</v>
      </c>
      <c r="N31" s="9">
        <v>2024</v>
      </c>
      <c r="O31">
        <v>14.75230769230769</v>
      </c>
      <c r="P31">
        <v>13.546923076923077</v>
      </c>
      <c r="Q31">
        <v>13</v>
      </c>
    </row>
    <row r="32" spans="1:17" ht="15" customHeight="1" thickBot="1" x14ac:dyDescent="0.35">
      <c r="A32" s="42" t="s">
        <v>112</v>
      </c>
      <c r="B32" s="43">
        <v>35285</v>
      </c>
      <c r="C32" s="42" t="s">
        <v>32</v>
      </c>
      <c r="D32" s="44">
        <v>23.33</v>
      </c>
      <c r="E32" s="46">
        <v>19.010000000000002</v>
      </c>
      <c r="F32">
        <v>1996</v>
      </c>
      <c r="I32" s="9">
        <v>2024</v>
      </c>
      <c r="J32">
        <v>14.75230769230769</v>
      </c>
      <c r="K32">
        <v>13.546923076923077</v>
      </c>
      <c r="L32">
        <v>13</v>
      </c>
      <c r="N32" s="129" t="s">
        <v>517</v>
      </c>
      <c r="O32" s="130">
        <v>14.468064516129022</v>
      </c>
      <c r="P32" s="130">
        <v>12.998052718676123</v>
      </c>
      <c r="Q32" s="130">
        <v>441</v>
      </c>
    </row>
    <row r="33" spans="1:12" ht="15" customHeight="1" x14ac:dyDescent="0.3">
      <c r="A33" s="42" t="s">
        <v>114</v>
      </c>
      <c r="B33" s="43">
        <v>35314</v>
      </c>
      <c r="C33" s="42" t="s">
        <v>32</v>
      </c>
      <c r="D33" s="44">
        <v>22.31</v>
      </c>
      <c r="E33" s="46">
        <v>20.84</v>
      </c>
      <c r="F33">
        <v>1996</v>
      </c>
      <c r="I33" s="9" t="s">
        <v>517</v>
      </c>
      <c r="J33">
        <v>14.468064516129022</v>
      </c>
      <c r="K33">
        <v>12.998052718676123</v>
      </c>
      <c r="L33">
        <v>441</v>
      </c>
    </row>
    <row r="34" spans="1:12" ht="15" customHeight="1" x14ac:dyDescent="0.3">
      <c r="A34" s="42" t="s">
        <v>115</v>
      </c>
      <c r="B34" s="43">
        <v>35342</v>
      </c>
      <c r="C34" s="42" t="s">
        <v>32</v>
      </c>
      <c r="D34" s="45"/>
      <c r="E34" s="45"/>
      <c r="F34">
        <v>1996</v>
      </c>
    </row>
    <row r="35" spans="1:12" ht="15" customHeight="1" x14ac:dyDescent="0.3">
      <c r="A35" s="42" t="s">
        <v>116</v>
      </c>
      <c r="B35" s="43">
        <v>35374</v>
      </c>
      <c r="C35" s="42" t="s">
        <v>32</v>
      </c>
      <c r="D35" s="44">
        <v>14.17</v>
      </c>
      <c r="E35" s="44">
        <v>14.15</v>
      </c>
      <c r="F35">
        <v>1996</v>
      </c>
    </row>
    <row r="36" spans="1:12" ht="15" customHeight="1" x14ac:dyDescent="0.3">
      <c r="A36" s="42" t="s">
        <v>117</v>
      </c>
      <c r="B36" s="43">
        <v>35409</v>
      </c>
      <c r="C36" s="42" t="s">
        <v>32</v>
      </c>
      <c r="D36" s="44">
        <v>8.23</v>
      </c>
      <c r="E36" s="44">
        <v>8.5399999999999991</v>
      </c>
      <c r="F36">
        <v>1996</v>
      </c>
    </row>
    <row r="37" spans="1:12" ht="15" customHeight="1" x14ac:dyDescent="0.3">
      <c r="A37" s="42" t="s">
        <v>118</v>
      </c>
      <c r="B37" s="43">
        <v>35465</v>
      </c>
      <c r="C37" s="42" t="s">
        <v>32</v>
      </c>
      <c r="D37" s="44">
        <v>2.09</v>
      </c>
      <c r="E37" s="44">
        <v>2.21</v>
      </c>
      <c r="F37">
        <v>1997</v>
      </c>
    </row>
    <row r="38" spans="1:12" ht="15" customHeight="1" x14ac:dyDescent="0.3">
      <c r="A38" s="42" t="s">
        <v>119</v>
      </c>
      <c r="B38" s="43">
        <v>35493</v>
      </c>
      <c r="C38" s="42" t="s">
        <v>32</v>
      </c>
      <c r="D38" s="44">
        <v>3.02</v>
      </c>
      <c r="E38" s="44">
        <v>2.99</v>
      </c>
      <c r="F38">
        <v>1997</v>
      </c>
    </row>
    <row r="39" spans="1:12" ht="15" customHeight="1" x14ac:dyDescent="0.3">
      <c r="A39" s="42" t="s">
        <v>120</v>
      </c>
      <c r="B39" s="43">
        <v>35522</v>
      </c>
      <c r="C39" s="42" t="s">
        <v>32</v>
      </c>
      <c r="D39" s="44">
        <v>4.57</v>
      </c>
      <c r="E39" s="44">
        <v>4.33</v>
      </c>
      <c r="F39">
        <v>1997</v>
      </c>
    </row>
    <row r="40" spans="1:12" ht="15" customHeight="1" x14ac:dyDescent="0.3">
      <c r="A40" s="42" t="s">
        <v>121</v>
      </c>
      <c r="B40" s="43">
        <v>35559</v>
      </c>
      <c r="C40" s="42" t="s">
        <v>32</v>
      </c>
      <c r="D40" s="44">
        <v>9.15</v>
      </c>
      <c r="E40" s="44">
        <v>8.67</v>
      </c>
      <c r="F40">
        <v>1997</v>
      </c>
    </row>
    <row r="41" spans="1:12" ht="15" customHeight="1" x14ac:dyDescent="0.3">
      <c r="A41" s="42" t="s">
        <v>122</v>
      </c>
      <c r="B41" s="43">
        <v>35586</v>
      </c>
      <c r="C41" s="42" t="s">
        <v>32</v>
      </c>
      <c r="D41" s="44">
        <v>13.93</v>
      </c>
      <c r="E41" s="44">
        <v>12.9</v>
      </c>
      <c r="F41">
        <v>1997</v>
      </c>
    </row>
    <row r="42" spans="1:12" ht="15" customHeight="1" x14ac:dyDescent="0.3">
      <c r="A42" s="42" t="s">
        <v>123</v>
      </c>
      <c r="B42" s="43">
        <v>35611</v>
      </c>
      <c r="C42" s="42" t="s">
        <v>32</v>
      </c>
      <c r="D42" s="44">
        <v>16.66</v>
      </c>
      <c r="E42" s="45"/>
      <c r="F42">
        <v>1997</v>
      </c>
    </row>
    <row r="43" spans="1:12" ht="15" customHeight="1" x14ac:dyDescent="0.3">
      <c r="A43" s="42" t="s">
        <v>124</v>
      </c>
      <c r="B43" s="43">
        <v>35633</v>
      </c>
      <c r="C43" s="42" t="s">
        <v>32</v>
      </c>
      <c r="D43" s="44">
        <v>19.07</v>
      </c>
      <c r="E43" s="45"/>
      <c r="F43">
        <v>1997</v>
      </c>
    </row>
    <row r="44" spans="1:12" ht="15" customHeight="1" x14ac:dyDescent="0.3">
      <c r="A44" s="42" t="s">
        <v>125</v>
      </c>
      <c r="B44" s="43">
        <v>35646</v>
      </c>
      <c r="C44" s="42" t="s">
        <v>32</v>
      </c>
      <c r="D44" s="44">
        <v>20.92</v>
      </c>
      <c r="E44" s="44">
        <v>19.14</v>
      </c>
      <c r="F44">
        <v>1997</v>
      </c>
    </row>
    <row r="45" spans="1:12" ht="15" customHeight="1" x14ac:dyDescent="0.3">
      <c r="A45" s="42" t="s">
        <v>126</v>
      </c>
      <c r="B45" s="43">
        <v>35662</v>
      </c>
      <c r="C45" s="42" t="s">
        <v>32</v>
      </c>
      <c r="D45" s="44">
        <v>20.95</v>
      </c>
      <c r="E45" s="46">
        <v>20.7</v>
      </c>
      <c r="F45">
        <v>1997</v>
      </c>
    </row>
    <row r="46" spans="1:12" ht="15" customHeight="1" x14ac:dyDescent="0.3">
      <c r="A46" s="42" t="s">
        <v>127</v>
      </c>
      <c r="B46" s="43">
        <v>35677</v>
      </c>
      <c r="C46" s="42" t="s">
        <v>32</v>
      </c>
      <c r="D46" s="44">
        <v>21.1</v>
      </c>
      <c r="E46" s="44">
        <v>20.100000000000001</v>
      </c>
      <c r="F46">
        <v>1997</v>
      </c>
    </row>
    <row r="47" spans="1:12" ht="15" customHeight="1" x14ac:dyDescent="0.3">
      <c r="A47" s="42" t="s">
        <v>128</v>
      </c>
      <c r="B47" s="43">
        <v>35710</v>
      </c>
      <c r="C47" s="42" t="s">
        <v>32</v>
      </c>
      <c r="D47" s="44">
        <v>19.18</v>
      </c>
      <c r="E47" s="46">
        <v>18.96</v>
      </c>
      <c r="F47">
        <v>1997</v>
      </c>
    </row>
    <row r="48" spans="1:12" ht="15" customHeight="1" x14ac:dyDescent="0.3">
      <c r="A48" s="42" t="s">
        <v>129</v>
      </c>
      <c r="B48" s="43">
        <v>35738</v>
      </c>
      <c r="C48" s="42" t="s">
        <v>32</v>
      </c>
      <c r="D48" s="44">
        <v>14.51</v>
      </c>
      <c r="E48" s="46">
        <v>14.64</v>
      </c>
      <c r="F48">
        <v>1997</v>
      </c>
    </row>
    <row r="49" spans="1:6" ht="15" customHeight="1" x14ac:dyDescent="0.3">
      <c r="A49" s="42" t="s">
        <v>130</v>
      </c>
      <c r="B49" s="43">
        <v>35773</v>
      </c>
      <c r="C49" s="42" t="s">
        <v>32</v>
      </c>
      <c r="D49" s="44">
        <v>7.72</v>
      </c>
      <c r="E49" s="44">
        <v>7.72</v>
      </c>
      <c r="F49">
        <v>1997</v>
      </c>
    </row>
    <row r="50" spans="1:6" ht="15" customHeight="1" x14ac:dyDescent="0.3">
      <c r="A50" s="42" t="s">
        <v>131</v>
      </c>
      <c r="B50" s="43">
        <v>35803</v>
      </c>
      <c r="C50" s="42" t="s">
        <v>32</v>
      </c>
      <c r="D50" s="44">
        <v>5</v>
      </c>
      <c r="E50" s="44">
        <v>4.96</v>
      </c>
      <c r="F50">
        <v>1998</v>
      </c>
    </row>
    <row r="51" spans="1:6" ht="15" customHeight="1" x14ac:dyDescent="0.3">
      <c r="A51" s="42" t="s">
        <v>132</v>
      </c>
      <c r="B51" s="43">
        <v>35829</v>
      </c>
      <c r="C51" s="42" t="s">
        <v>32</v>
      </c>
      <c r="D51" s="44">
        <v>3.64</v>
      </c>
      <c r="E51" s="44">
        <v>3.58</v>
      </c>
      <c r="F51">
        <v>1998</v>
      </c>
    </row>
    <row r="52" spans="1:6" ht="15" customHeight="1" x14ac:dyDescent="0.3">
      <c r="A52" s="42" t="s">
        <v>134</v>
      </c>
      <c r="B52" s="43">
        <v>35857</v>
      </c>
      <c r="C52" s="42" t="s">
        <v>32</v>
      </c>
      <c r="D52" s="44">
        <v>4.1500000000000004</v>
      </c>
      <c r="E52" s="44">
        <v>4.03</v>
      </c>
      <c r="F52">
        <v>1998</v>
      </c>
    </row>
    <row r="53" spans="1:6" ht="15" customHeight="1" x14ac:dyDescent="0.3">
      <c r="A53" s="42" t="s">
        <v>136</v>
      </c>
      <c r="B53" s="43">
        <v>35900</v>
      </c>
      <c r="C53" s="42" t="s">
        <v>32</v>
      </c>
      <c r="D53" s="44">
        <v>8.14</v>
      </c>
      <c r="E53" s="44">
        <v>7.28</v>
      </c>
      <c r="F53">
        <v>1998</v>
      </c>
    </row>
    <row r="54" spans="1:6" ht="15" customHeight="1" x14ac:dyDescent="0.3">
      <c r="A54" s="42" t="s">
        <v>137</v>
      </c>
      <c r="B54" s="43">
        <v>35928</v>
      </c>
      <c r="C54" s="42" t="s">
        <v>32</v>
      </c>
      <c r="D54" s="44">
        <v>11.78</v>
      </c>
      <c r="E54" s="44">
        <v>10.91</v>
      </c>
      <c r="F54">
        <v>1998</v>
      </c>
    </row>
    <row r="55" spans="1:6" ht="15" customHeight="1" x14ac:dyDescent="0.3">
      <c r="A55" s="42" t="s">
        <v>138</v>
      </c>
      <c r="B55" s="43">
        <v>35947</v>
      </c>
      <c r="C55" s="42" t="s">
        <v>32</v>
      </c>
      <c r="D55" s="44">
        <v>16.7</v>
      </c>
      <c r="E55" s="46">
        <v>11.91</v>
      </c>
      <c r="F55">
        <v>1998</v>
      </c>
    </row>
    <row r="56" spans="1:6" ht="15" customHeight="1" x14ac:dyDescent="0.3">
      <c r="A56" s="42" t="s">
        <v>139</v>
      </c>
      <c r="B56" s="43">
        <v>35972</v>
      </c>
      <c r="C56" s="42" t="s">
        <v>32</v>
      </c>
      <c r="D56" s="44">
        <v>20.25</v>
      </c>
      <c r="E56" s="44">
        <v>15.34</v>
      </c>
      <c r="F56">
        <v>1998</v>
      </c>
    </row>
    <row r="57" spans="1:6" ht="15" customHeight="1" x14ac:dyDescent="0.3">
      <c r="A57" s="42" t="s">
        <v>140</v>
      </c>
      <c r="B57" s="43">
        <v>35985</v>
      </c>
      <c r="C57" s="42" t="s">
        <v>32</v>
      </c>
      <c r="D57" s="44">
        <v>19.25</v>
      </c>
      <c r="E57" s="44">
        <v>16.96</v>
      </c>
      <c r="F57">
        <v>1998</v>
      </c>
    </row>
    <row r="58" spans="1:6" ht="15" customHeight="1" x14ac:dyDescent="0.3">
      <c r="A58" s="42" t="s">
        <v>141</v>
      </c>
      <c r="B58" s="43">
        <v>35999</v>
      </c>
      <c r="C58" s="42" t="s">
        <v>32</v>
      </c>
      <c r="D58" s="44">
        <v>22.55</v>
      </c>
      <c r="E58" s="44">
        <v>18.55</v>
      </c>
      <c r="F58">
        <v>1998</v>
      </c>
    </row>
    <row r="59" spans="1:6" ht="15" customHeight="1" x14ac:dyDescent="0.3">
      <c r="A59" s="42" t="s">
        <v>142</v>
      </c>
      <c r="B59" s="43">
        <v>36011</v>
      </c>
      <c r="C59" s="42" t="s">
        <v>32</v>
      </c>
      <c r="D59" s="44">
        <v>22.22</v>
      </c>
      <c r="E59" s="44">
        <v>19.53</v>
      </c>
      <c r="F59">
        <v>1998</v>
      </c>
    </row>
    <row r="60" spans="1:6" ht="15" customHeight="1" x14ac:dyDescent="0.3">
      <c r="A60" s="42" t="s">
        <v>143</v>
      </c>
      <c r="B60" s="43">
        <v>36025</v>
      </c>
      <c r="C60" s="42" t="s">
        <v>32</v>
      </c>
      <c r="D60" s="44">
        <v>22.94</v>
      </c>
      <c r="E60" s="44">
        <v>20.84</v>
      </c>
      <c r="F60">
        <v>1998</v>
      </c>
    </row>
    <row r="61" spans="1:6" ht="15" customHeight="1" x14ac:dyDescent="0.3">
      <c r="A61" s="42" t="s">
        <v>144</v>
      </c>
      <c r="B61" s="43">
        <v>36041</v>
      </c>
      <c r="C61" s="42" t="s">
        <v>32</v>
      </c>
      <c r="D61" s="44">
        <v>22.87</v>
      </c>
      <c r="E61" s="44">
        <v>21.66</v>
      </c>
      <c r="F61">
        <v>1998</v>
      </c>
    </row>
    <row r="62" spans="1:6" ht="15" customHeight="1" x14ac:dyDescent="0.3">
      <c r="A62" s="42" t="s">
        <v>146</v>
      </c>
      <c r="B62" s="43">
        <v>36075</v>
      </c>
      <c r="C62" s="42" t="s">
        <v>32</v>
      </c>
      <c r="D62" s="44">
        <v>19.239999999999998</v>
      </c>
      <c r="E62" s="44">
        <v>19.22</v>
      </c>
      <c r="F62">
        <v>1998</v>
      </c>
    </row>
    <row r="63" spans="1:6" ht="15" customHeight="1" x14ac:dyDescent="0.3">
      <c r="A63" s="42" t="s">
        <v>147</v>
      </c>
      <c r="B63" s="43">
        <v>36105</v>
      </c>
      <c r="C63" s="42" t="s">
        <v>32</v>
      </c>
      <c r="D63" s="44">
        <v>14.14</v>
      </c>
      <c r="E63" s="44">
        <v>14.13</v>
      </c>
      <c r="F63">
        <v>1998</v>
      </c>
    </row>
    <row r="64" spans="1:6" ht="15" customHeight="1" x14ac:dyDescent="0.3">
      <c r="A64" s="42" t="s">
        <v>148</v>
      </c>
      <c r="B64" s="43">
        <v>36132</v>
      </c>
      <c r="C64" s="42" t="s">
        <v>32</v>
      </c>
      <c r="D64" s="44">
        <v>10.77</v>
      </c>
      <c r="E64" s="44">
        <v>10.75</v>
      </c>
      <c r="F64">
        <v>1998</v>
      </c>
    </row>
    <row r="65" spans="1:6" ht="15" customHeight="1" x14ac:dyDescent="0.3">
      <c r="A65" s="42" t="s">
        <v>149</v>
      </c>
      <c r="B65" s="43">
        <v>36168</v>
      </c>
      <c r="C65" s="42" t="s">
        <v>32</v>
      </c>
      <c r="D65" s="44">
        <v>4.8099999999999996</v>
      </c>
      <c r="E65" s="44">
        <v>4.88</v>
      </c>
      <c r="F65">
        <v>1999</v>
      </c>
    </row>
    <row r="66" spans="1:6" ht="15" customHeight="1" x14ac:dyDescent="0.3">
      <c r="A66" s="42" t="s">
        <v>150</v>
      </c>
      <c r="B66" s="43">
        <v>36194</v>
      </c>
      <c r="C66" s="42" t="s">
        <v>32</v>
      </c>
      <c r="D66" s="44">
        <v>3.34</v>
      </c>
      <c r="E66" s="44">
        <v>3.39</v>
      </c>
      <c r="F66">
        <v>1999</v>
      </c>
    </row>
    <row r="67" spans="1:6" ht="15" customHeight="1" x14ac:dyDescent="0.3">
      <c r="A67" s="42" t="s">
        <v>152</v>
      </c>
      <c r="B67" s="43">
        <v>36228</v>
      </c>
      <c r="C67" s="42" t="s">
        <v>32</v>
      </c>
      <c r="D67" s="44">
        <v>2.19</v>
      </c>
      <c r="E67" s="44">
        <v>2.81</v>
      </c>
      <c r="F67">
        <v>1999</v>
      </c>
    </row>
    <row r="68" spans="1:6" ht="15" customHeight="1" x14ac:dyDescent="0.3">
      <c r="A68" s="42" t="s">
        <v>154</v>
      </c>
      <c r="B68" s="43">
        <v>36258</v>
      </c>
      <c r="C68" s="42" t="s">
        <v>32</v>
      </c>
      <c r="D68" s="44">
        <v>6.74</v>
      </c>
      <c r="E68" s="44">
        <v>4.72</v>
      </c>
      <c r="F68">
        <v>1999</v>
      </c>
    </row>
    <row r="69" spans="1:6" ht="15" customHeight="1" x14ac:dyDescent="0.3">
      <c r="A69" s="42" t="s">
        <v>155</v>
      </c>
      <c r="B69" s="43">
        <v>36287</v>
      </c>
      <c r="C69" s="42" t="s">
        <v>32</v>
      </c>
      <c r="D69" s="44">
        <v>10.210000000000001</v>
      </c>
      <c r="E69" s="44">
        <v>9.06</v>
      </c>
      <c r="F69">
        <v>1999</v>
      </c>
    </row>
    <row r="70" spans="1:6" ht="15" customHeight="1" x14ac:dyDescent="0.3">
      <c r="A70" s="42" t="s">
        <v>156</v>
      </c>
      <c r="B70" s="43">
        <v>36312</v>
      </c>
      <c r="C70" s="42" t="s">
        <v>32</v>
      </c>
      <c r="D70" s="44">
        <v>16.3</v>
      </c>
      <c r="E70" s="44">
        <v>11.29</v>
      </c>
      <c r="F70">
        <v>1999</v>
      </c>
    </row>
    <row r="71" spans="1:6" ht="15" customHeight="1" x14ac:dyDescent="0.3">
      <c r="A71" s="42" t="s">
        <v>157</v>
      </c>
      <c r="B71" s="43">
        <v>36336</v>
      </c>
      <c r="C71" s="42" t="s">
        <v>32</v>
      </c>
      <c r="D71" s="44">
        <v>19.16</v>
      </c>
      <c r="E71" s="44">
        <v>15.02</v>
      </c>
      <c r="F71">
        <v>1999</v>
      </c>
    </row>
    <row r="72" spans="1:6" ht="15" customHeight="1" x14ac:dyDescent="0.3">
      <c r="A72" s="42" t="s">
        <v>158</v>
      </c>
      <c r="B72" s="43">
        <v>36349</v>
      </c>
      <c r="C72" s="42" t="s">
        <v>32</v>
      </c>
      <c r="D72" s="44">
        <v>20.28</v>
      </c>
      <c r="E72" s="44">
        <v>17.64</v>
      </c>
      <c r="F72">
        <v>1999</v>
      </c>
    </row>
    <row r="73" spans="1:6" ht="15" customHeight="1" x14ac:dyDescent="0.3">
      <c r="A73" s="42" t="s">
        <v>159</v>
      </c>
      <c r="B73" s="43">
        <v>36363</v>
      </c>
      <c r="C73" s="42" t="s">
        <v>32</v>
      </c>
      <c r="D73" s="44">
        <v>21.81</v>
      </c>
      <c r="E73" s="44">
        <v>19.37</v>
      </c>
      <c r="F73">
        <v>1999</v>
      </c>
    </row>
    <row r="74" spans="1:6" ht="15" customHeight="1" x14ac:dyDescent="0.3">
      <c r="A74" s="42" t="s">
        <v>160</v>
      </c>
      <c r="B74" s="43">
        <v>36377</v>
      </c>
      <c r="C74" s="42" t="s">
        <v>32</v>
      </c>
      <c r="D74" s="44">
        <v>22.81</v>
      </c>
      <c r="E74" s="44">
        <v>21.26</v>
      </c>
      <c r="F74">
        <v>1999</v>
      </c>
    </row>
    <row r="75" spans="1:6" ht="15" customHeight="1" x14ac:dyDescent="0.3">
      <c r="A75" s="42" t="s">
        <v>161</v>
      </c>
      <c r="B75" s="43">
        <v>36391</v>
      </c>
      <c r="C75" s="42" t="s">
        <v>32</v>
      </c>
      <c r="D75" s="46">
        <v>22.2</v>
      </c>
      <c r="E75" s="46">
        <v>21.9</v>
      </c>
      <c r="F75">
        <v>1999</v>
      </c>
    </row>
    <row r="76" spans="1:6" ht="15" customHeight="1" x14ac:dyDescent="0.3">
      <c r="A76" s="42" t="s">
        <v>162</v>
      </c>
      <c r="B76" s="43">
        <v>36405</v>
      </c>
      <c r="C76" s="42" t="s">
        <v>32</v>
      </c>
      <c r="D76" s="44">
        <v>21.89</v>
      </c>
      <c r="E76" s="44">
        <v>21.89</v>
      </c>
      <c r="F76">
        <v>1999</v>
      </c>
    </row>
    <row r="77" spans="1:6" ht="15" customHeight="1" x14ac:dyDescent="0.3">
      <c r="A77" s="42" t="s">
        <v>163</v>
      </c>
      <c r="B77" s="43">
        <v>36432</v>
      </c>
      <c r="C77" s="42" t="s">
        <v>32</v>
      </c>
      <c r="D77" s="46">
        <v>20.64</v>
      </c>
      <c r="E77" s="46">
        <v>20.67</v>
      </c>
      <c r="F77">
        <v>1999</v>
      </c>
    </row>
    <row r="78" spans="1:6" ht="15" customHeight="1" x14ac:dyDescent="0.3">
      <c r="A78" s="42" t="s">
        <v>164</v>
      </c>
      <c r="B78" s="43">
        <v>36466</v>
      </c>
      <c r="C78" s="42" t="s">
        <v>32</v>
      </c>
      <c r="D78" s="44">
        <v>15.88</v>
      </c>
      <c r="E78" s="44">
        <v>15.93</v>
      </c>
      <c r="F78">
        <v>1999</v>
      </c>
    </row>
    <row r="79" spans="1:6" ht="15" customHeight="1" x14ac:dyDescent="0.3">
      <c r="A79" s="42" t="s">
        <v>165</v>
      </c>
      <c r="B79" s="43">
        <v>36502</v>
      </c>
      <c r="C79" s="42" t="s">
        <v>32</v>
      </c>
      <c r="D79" s="44">
        <v>9.64</v>
      </c>
      <c r="E79" s="44">
        <v>10.36</v>
      </c>
      <c r="F79">
        <v>1999</v>
      </c>
    </row>
    <row r="80" spans="1:6" ht="15" customHeight="1" x14ac:dyDescent="0.3">
      <c r="A80" s="42" t="s">
        <v>166</v>
      </c>
      <c r="B80" s="43">
        <v>36532</v>
      </c>
      <c r="C80" s="42" t="s">
        <v>32</v>
      </c>
      <c r="D80" s="44">
        <v>5.57</v>
      </c>
      <c r="E80" s="44">
        <v>6.04</v>
      </c>
      <c r="F80">
        <v>2000</v>
      </c>
    </row>
    <row r="81" spans="1:6" ht="15" customHeight="1" x14ac:dyDescent="0.3">
      <c r="A81" s="42" t="s">
        <v>167</v>
      </c>
      <c r="B81" s="43">
        <v>36560</v>
      </c>
      <c r="C81" s="42" t="s">
        <v>32</v>
      </c>
      <c r="D81" s="44">
        <v>0.28999999999999998</v>
      </c>
      <c r="E81" s="44">
        <v>0.71</v>
      </c>
      <c r="F81">
        <v>2000</v>
      </c>
    </row>
    <row r="82" spans="1:6" ht="15" customHeight="1" x14ac:dyDescent="0.3">
      <c r="A82" s="42" t="s">
        <v>169</v>
      </c>
      <c r="B82" s="43">
        <v>36600</v>
      </c>
      <c r="C82" s="42" t="s">
        <v>32</v>
      </c>
      <c r="D82" s="44">
        <v>4.28</v>
      </c>
      <c r="E82" s="44">
        <v>3.08</v>
      </c>
      <c r="F82">
        <v>2000</v>
      </c>
    </row>
    <row r="83" spans="1:6" ht="15" customHeight="1" x14ac:dyDescent="0.3">
      <c r="A83" s="42" t="s">
        <v>171</v>
      </c>
      <c r="B83" s="43">
        <v>36623</v>
      </c>
      <c r="C83" s="42" t="s">
        <v>32</v>
      </c>
      <c r="D83" s="44">
        <v>5.74</v>
      </c>
      <c r="E83" s="44">
        <v>5.39</v>
      </c>
      <c r="F83">
        <v>2000</v>
      </c>
    </row>
    <row r="84" spans="1:6" ht="15" customHeight="1" x14ac:dyDescent="0.3">
      <c r="A84" s="42" t="s">
        <v>172</v>
      </c>
      <c r="B84" s="43">
        <v>36648</v>
      </c>
      <c r="C84" s="42" t="s">
        <v>32</v>
      </c>
      <c r="D84" s="44">
        <v>9.44</v>
      </c>
      <c r="E84" s="44">
        <v>7.89</v>
      </c>
      <c r="F84">
        <v>2000</v>
      </c>
    </row>
    <row r="85" spans="1:6" ht="15" customHeight="1" x14ac:dyDescent="0.3">
      <c r="A85" s="42" t="s">
        <v>173</v>
      </c>
      <c r="B85" s="43">
        <v>36679</v>
      </c>
      <c r="C85" s="42" t="s">
        <v>32</v>
      </c>
      <c r="D85" s="44">
        <v>15.63</v>
      </c>
      <c r="E85" s="44">
        <v>12.37</v>
      </c>
      <c r="F85">
        <v>2000</v>
      </c>
    </row>
    <row r="86" spans="1:6" ht="15" customHeight="1" x14ac:dyDescent="0.3">
      <c r="A86" s="42" t="s">
        <v>174</v>
      </c>
      <c r="B86" s="43">
        <v>36700</v>
      </c>
      <c r="C86" s="42" t="s">
        <v>32</v>
      </c>
      <c r="D86" s="44">
        <v>18</v>
      </c>
      <c r="E86" s="44">
        <v>14.09</v>
      </c>
      <c r="F86">
        <v>2000</v>
      </c>
    </row>
    <row r="87" spans="1:6" ht="15" customHeight="1" x14ac:dyDescent="0.3">
      <c r="A87" s="42" t="s">
        <v>175</v>
      </c>
      <c r="B87" s="43">
        <v>36714</v>
      </c>
      <c r="C87" s="42" t="s">
        <v>32</v>
      </c>
      <c r="D87" s="44">
        <v>18.96</v>
      </c>
      <c r="E87" s="44">
        <v>16.88</v>
      </c>
      <c r="F87">
        <v>2000</v>
      </c>
    </row>
    <row r="88" spans="1:6" ht="15" customHeight="1" x14ac:dyDescent="0.3">
      <c r="A88" s="42" t="s">
        <v>176</v>
      </c>
      <c r="B88" s="43">
        <v>36727</v>
      </c>
      <c r="C88" s="42" t="s">
        <v>32</v>
      </c>
      <c r="D88" s="44">
        <v>20.260000000000002</v>
      </c>
      <c r="E88" s="44">
        <v>17.850000000000001</v>
      </c>
      <c r="F88">
        <v>2000</v>
      </c>
    </row>
    <row r="89" spans="1:6" ht="15" customHeight="1" x14ac:dyDescent="0.3">
      <c r="A89" s="42" t="s">
        <v>177</v>
      </c>
      <c r="B89" s="43">
        <v>36741</v>
      </c>
      <c r="C89" s="42" t="s">
        <v>32</v>
      </c>
      <c r="D89" s="44">
        <v>21.45</v>
      </c>
      <c r="E89" s="44">
        <v>20.03</v>
      </c>
      <c r="F89">
        <v>2000</v>
      </c>
    </row>
    <row r="90" spans="1:6" ht="15" customHeight="1" x14ac:dyDescent="0.3">
      <c r="A90" s="42" t="s">
        <v>178</v>
      </c>
      <c r="B90" s="43">
        <v>36755</v>
      </c>
      <c r="C90" s="42" t="s">
        <v>32</v>
      </c>
      <c r="D90" s="44">
        <v>21.49</v>
      </c>
      <c r="E90" s="44">
        <v>20.6</v>
      </c>
      <c r="F90">
        <v>2000</v>
      </c>
    </row>
    <row r="91" spans="1:6" ht="15" customHeight="1" x14ac:dyDescent="0.3">
      <c r="A91" s="42" t="s">
        <v>179</v>
      </c>
      <c r="B91" s="43">
        <v>36770</v>
      </c>
      <c r="C91" s="42" t="s">
        <v>32</v>
      </c>
      <c r="D91" s="44">
        <v>21.98</v>
      </c>
      <c r="E91" s="44">
        <v>21.32</v>
      </c>
      <c r="F91">
        <v>2000</v>
      </c>
    </row>
    <row r="92" spans="1:6" ht="15" customHeight="1" x14ac:dyDescent="0.3">
      <c r="A92" s="42" t="s">
        <v>180</v>
      </c>
      <c r="B92" s="43">
        <v>36801</v>
      </c>
      <c r="C92" s="42" t="s">
        <v>32</v>
      </c>
      <c r="D92" s="44">
        <v>19.059999999999999</v>
      </c>
      <c r="E92" s="44">
        <v>19.309999999999999</v>
      </c>
      <c r="F92">
        <v>2000</v>
      </c>
    </row>
    <row r="93" spans="1:6" ht="15" customHeight="1" x14ac:dyDescent="0.3">
      <c r="A93" s="42" t="s">
        <v>181</v>
      </c>
      <c r="B93" s="43">
        <v>36843</v>
      </c>
      <c r="C93" s="42" t="s">
        <v>32</v>
      </c>
      <c r="D93" s="44">
        <v>13.05</v>
      </c>
      <c r="E93" s="44">
        <v>13.18</v>
      </c>
      <c r="F93">
        <v>2000</v>
      </c>
    </row>
    <row r="94" spans="1:6" ht="15" customHeight="1" x14ac:dyDescent="0.3">
      <c r="A94" s="42" t="s">
        <v>182</v>
      </c>
      <c r="B94" s="43">
        <v>36865</v>
      </c>
      <c r="C94" s="42" t="s">
        <v>32</v>
      </c>
      <c r="D94" s="44">
        <v>8.24</v>
      </c>
      <c r="E94" s="44">
        <v>8.26</v>
      </c>
      <c r="F94">
        <v>2000</v>
      </c>
    </row>
    <row r="95" spans="1:6" ht="15" customHeight="1" x14ac:dyDescent="0.3">
      <c r="A95" s="42" t="s">
        <v>183</v>
      </c>
      <c r="B95" s="43">
        <v>36903</v>
      </c>
      <c r="C95" s="42" t="s">
        <v>32</v>
      </c>
      <c r="D95" s="44">
        <v>2.2200000000000002</v>
      </c>
      <c r="E95" s="44">
        <v>2.25</v>
      </c>
      <c r="F95">
        <v>2001</v>
      </c>
    </row>
    <row r="96" spans="1:6" ht="15" customHeight="1" x14ac:dyDescent="0.3">
      <c r="A96" s="42" t="s">
        <v>184</v>
      </c>
      <c r="B96" s="43">
        <v>36930</v>
      </c>
      <c r="C96" s="42" t="s">
        <v>32</v>
      </c>
      <c r="D96" s="44">
        <v>1.78</v>
      </c>
      <c r="E96" s="44">
        <v>1.78</v>
      </c>
      <c r="F96">
        <v>2001</v>
      </c>
    </row>
    <row r="97" spans="1:6" ht="15" customHeight="1" x14ac:dyDescent="0.3">
      <c r="A97" s="42" t="s">
        <v>186</v>
      </c>
      <c r="B97" s="43">
        <v>36952</v>
      </c>
      <c r="C97" s="42" t="s">
        <v>32</v>
      </c>
      <c r="D97" s="44">
        <v>1.8</v>
      </c>
      <c r="E97" s="44">
        <v>1.78</v>
      </c>
      <c r="F97">
        <v>2001</v>
      </c>
    </row>
    <row r="98" spans="1:6" ht="15" customHeight="1" x14ac:dyDescent="0.3">
      <c r="A98" s="42" t="s">
        <v>187</v>
      </c>
      <c r="B98" s="43">
        <v>36986</v>
      </c>
      <c r="C98" s="42" t="s">
        <v>32</v>
      </c>
      <c r="D98" s="44">
        <v>3.94</v>
      </c>
      <c r="E98" s="44">
        <v>3.27</v>
      </c>
      <c r="F98">
        <v>2001</v>
      </c>
    </row>
    <row r="99" spans="1:6" ht="15" customHeight="1" x14ac:dyDescent="0.3">
      <c r="A99" s="42" t="s">
        <v>188</v>
      </c>
      <c r="B99" s="43">
        <v>37013</v>
      </c>
      <c r="C99" s="42" t="s">
        <v>32</v>
      </c>
      <c r="D99" s="45"/>
      <c r="E99" s="45"/>
      <c r="F99">
        <v>2001</v>
      </c>
    </row>
    <row r="100" spans="1:6" ht="15" customHeight="1" x14ac:dyDescent="0.3">
      <c r="A100" s="42" t="s">
        <v>189</v>
      </c>
      <c r="B100" s="43">
        <v>37047</v>
      </c>
      <c r="C100" s="42" t="s">
        <v>32</v>
      </c>
      <c r="D100" s="44">
        <v>13.51</v>
      </c>
      <c r="E100" s="44">
        <v>11.85</v>
      </c>
      <c r="F100">
        <v>2001</v>
      </c>
    </row>
    <row r="101" spans="1:6" ht="15" customHeight="1" x14ac:dyDescent="0.3">
      <c r="A101" s="42" t="s">
        <v>190</v>
      </c>
      <c r="B101" s="43">
        <v>37064</v>
      </c>
      <c r="C101" s="42" t="s">
        <v>32</v>
      </c>
      <c r="D101" s="44">
        <v>18.55</v>
      </c>
      <c r="E101" s="44">
        <v>17.510000000000002</v>
      </c>
      <c r="F101">
        <v>2001</v>
      </c>
    </row>
    <row r="102" spans="1:6" ht="15" customHeight="1" x14ac:dyDescent="0.3">
      <c r="A102" s="42" t="s">
        <v>191</v>
      </c>
      <c r="B102" s="43">
        <v>37083</v>
      </c>
      <c r="C102" s="42" t="s">
        <v>32</v>
      </c>
      <c r="D102" s="44">
        <v>20.2</v>
      </c>
      <c r="E102" s="44">
        <v>16.440000000000001</v>
      </c>
      <c r="F102">
        <v>2001</v>
      </c>
    </row>
    <row r="103" spans="1:6" ht="15" customHeight="1" x14ac:dyDescent="0.3">
      <c r="A103" s="42" t="s">
        <v>192</v>
      </c>
      <c r="B103" s="43">
        <v>37098</v>
      </c>
      <c r="C103" s="42" t="s">
        <v>32</v>
      </c>
      <c r="D103" s="44">
        <v>22.02</v>
      </c>
      <c r="E103" s="44">
        <v>19.11</v>
      </c>
      <c r="F103">
        <v>2001</v>
      </c>
    </row>
    <row r="104" spans="1:6" ht="15" customHeight="1" x14ac:dyDescent="0.3">
      <c r="A104" s="42" t="s">
        <v>193</v>
      </c>
      <c r="B104" s="43">
        <v>37109</v>
      </c>
      <c r="C104" s="42" t="s">
        <v>32</v>
      </c>
      <c r="D104" s="44">
        <v>21.84</v>
      </c>
      <c r="E104" s="46">
        <v>20.09</v>
      </c>
      <c r="F104">
        <v>2001</v>
      </c>
    </row>
    <row r="105" spans="1:6" ht="15" customHeight="1" x14ac:dyDescent="0.3">
      <c r="A105" s="42" t="s">
        <v>194</v>
      </c>
      <c r="B105" s="43">
        <v>37123</v>
      </c>
      <c r="C105" s="42" t="s">
        <v>32</v>
      </c>
      <c r="D105" s="44">
        <v>23.4</v>
      </c>
      <c r="E105" s="44">
        <v>21.07</v>
      </c>
      <c r="F105">
        <v>2001</v>
      </c>
    </row>
    <row r="106" spans="1:6" ht="15" customHeight="1" x14ac:dyDescent="0.3">
      <c r="A106" s="42" t="s">
        <v>196</v>
      </c>
      <c r="B106" s="43">
        <v>37139</v>
      </c>
      <c r="C106" s="42" t="s">
        <v>32</v>
      </c>
      <c r="D106" s="44">
        <v>22.47</v>
      </c>
      <c r="E106" s="44">
        <v>21.89</v>
      </c>
      <c r="F106">
        <v>2001</v>
      </c>
    </row>
    <row r="107" spans="1:6" ht="15" customHeight="1" x14ac:dyDescent="0.3">
      <c r="A107" s="42" t="s">
        <v>198</v>
      </c>
      <c r="B107" s="43">
        <v>37167</v>
      </c>
      <c r="C107" s="42" t="s">
        <v>32</v>
      </c>
      <c r="D107" s="44">
        <v>19.52</v>
      </c>
      <c r="E107" s="44">
        <v>19.510000000000002</v>
      </c>
      <c r="F107">
        <v>2001</v>
      </c>
    </row>
    <row r="108" spans="1:6" ht="15" customHeight="1" x14ac:dyDescent="0.3">
      <c r="A108" s="42" t="s">
        <v>199</v>
      </c>
      <c r="B108" s="43">
        <v>37209</v>
      </c>
      <c r="C108" s="42" t="s">
        <v>32</v>
      </c>
      <c r="D108" s="44">
        <v>13.36</v>
      </c>
      <c r="E108" s="44">
        <v>13.35</v>
      </c>
      <c r="F108">
        <v>2001</v>
      </c>
    </row>
    <row r="109" spans="1:6" ht="15" customHeight="1" x14ac:dyDescent="0.3">
      <c r="A109" s="42" t="s">
        <v>200</v>
      </c>
      <c r="B109" s="43">
        <v>37231</v>
      </c>
      <c r="C109" s="42" t="s">
        <v>32</v>
      </c>
      <c r="D109" s="44">
        <v>11.9</v>
      </c>
      <c r="E109" s="44">
        <v>11.9</v>
      </c>
      <c r="F109">
        <v>2001</v>
      </c>
    </row>
    <row r="110" spans="1:6" ht="15" customHeight="1" x14ac:dyDescent="0.3">
      <c r="A110" s="42" t="s">
        <v>201</v>
      </c>
      <c r="B110" s="43">
        <v>37270</v>
      </c>
      <c r="C110" s="42" t="s">
        <v>32</v>
      </c>
      <c r="D110" s="44">
        <v>5.72</v>
      </c>
      <c r="E110" s="44">
        <v>5.76</v>
      </c>
      <c r="F110">
        <v>2002</v>
      </c>
    </row>
    <row r="111" spans="1:6" ht="15" customHeight="1" x14ac:dyDescent="0.3">
      <c r="A111" s="42" t="s">
        <v>202</v>
      </c>
      <c r="B111" s="43">
        <v>37294</v>
      </c>
      <c r="C111" s="42" t="s">
        <v>32</v>
      </c>
      <c r="D111" s="44">
        <v>4.33</v>
      </c>
      <c r="E111" s="44">
        <v>4.3099999999999996</v>
      </c>
      <c r="F111">
        <v>2002</v>
      </c>
    </row>
    <row r="112" spans="1:6" ht="15" customHeight="1" x14ac:dyDescent="0.3">
      <c r="A112" s="42" t="s">
        <v>204</v>
      </c>
      <c r="B112" s="43">
        <v>37316</v>
      </c>
      <c r="C112" s="42" t="s">
        <v>32</v>
      </c>
      <c r="D112" s="44">
        <v>4.7</v>
      </c>
      <c r="E112" s="44">
        <v>4.42</v>
      </c>
      <c r="F112">
        <v>2002</v>
      </c>
    </row>
    <row r="113" spans="1:6" ht="15" customHeight="1" x14ac:dyDescent="0.3">
      <c r="A113" s="42" t="s">
        <v>206</v>
      </c>
      <c r="B113" s="43">
        <v>37351</v>
      </c>
      <c r="C113" s="42" t="s">
        <v>32</v>
      </c>
      <c r="D113" s="44">
        <v>5.83</v>
      </c>
      <c r="E113" s="44">
        <v>5.83</v>
      </c>
      <c r="F113">
        <v>2002</v>
      </c>
    </row>
    <row r="114" spans="1:6" ht="15" customHeight="1" x14ac:dyDescent="0.3">
      <c r="A114" s="42" t="s">
        <v>207</v>
      </c>
      <c r="B114" s="43">
        <v>37385</v>
      </c>
      <c r="C114" s="42" t="s">
        <v>32</v>
      </c>
      <c r="D114" s="44">
        <v>11.13</v>
      </c>
      <c r="E114" s="44">
        <v>9.66</v>
      </c>
      <c r="F114">
        <v>2002</v>
      </c>
    </row>
    <row r="115" spans="1:6" ht="15" customHeight="1" x14ac:dyDescent="0.3">
      <c r="A115" s="42" t="s">
        <v>208</v>
      </c>
      <c r="B115" s="43">
        <v>37417</v>
      </c>
      <c r="C115" s="42" t="s">
        <v>32</v>
      </c>
      <c r="D115" s="44">
        <v>16.760000000000002</v>
      </c>
      <c r="E115" s="44">
        <v>14.18</v>
      </c>
      <c r="F115">
        <v>2002</v>
      </c>
    </row>
    <row r="116" spans="1:6" ht="15" customHeight="1" x14ac:dyDescent="0.3">
      <c r="A116" s="42" t="s">
        <v>210</v>
      </c>
      <c r="B116" s="43">
        <v>37447</v>
      </c>
      <c r="C116" s="42" t="s">
        <v>32</v>
      </c>
      <c r="D116" s="44">
        <v>20.27</v>
      </c>
      <c r="E116" s="44">
        <v>17.28</v>
      </c>
      <c r="F116">
        <v>2002</v>
      </c>
    </row>
    <row r="117" spans="1:6" ht="15" customHeight="1" x14ac:dyDescent="0.3">
      <c r="A117" s="42" t="s">
        <v>211</v>
      </c>
      <c r="B117" s="43">
        <v>37461</v>
      </c>
      <c r="C117" s="42" t="s">
        <v>32</v>
      </c>
      <c r="D117" s="44">
        <v>21.28</v>
      </c>
      <c r="E117" s="44">
        <v>19.329999999999998</v>
      </c>
      <c r="F117">
        <v>2002</v>
      </c>
    </row>
    <row r="118" spans="1:6" ht="15" customHeight="1" x14ac:dyDescent="0.3">
      <c r="A118" s="42" t="s">
        <v>212</v>
      </c>
      <c r="B118" s="43">
        <v>37476</v>
      </c>
      <c r="C118" s="42" t="s">
        <v>32</v>
      </c>
      <c r="D118" s="44">
        <v>20.94</v>
      </c>
      <c r="E118" s="44">
        <v>20.73</v>
      </c>
      <c r="F118">
        <v>2002</v>
      </c>
    </row>
    <row r="119" spans="1:6" ht="15" customHeight="1" x14ac:dyDescent="0.3">
      <c r="A119" s="42" t="s">
        <v>214</v>
      </c>
      <c r="B119" s="43">
        <v>37512</v>
      </c>
      <c r="C119" s="42" t="s">
        <v>32</v>
      </c>
      <c r="D119" s="44">
        <v>21.54</v>
      </c>
      <c r="E119" s="44">
        <v>21.87</v>
      </c>
      <c r="F119">
        <v>2002</v>
      </c>
    </row>
    <row r="120" spans="1:6" ht="15" customHeight="1" x14ac:dyDescent="0.3">
      <c r="A120" s="42" t="s">
        <v>215</v>
      </c>
      <c r="B120" s="43">
        <v>37539</v>
      </c>
      <c r="C120" s="42" t="s">
        <v>32</v>
      </c>
      <c r="D120" s="44">
        <v>19.88</v>
      </c>
      <c r="E120" s="44">
        <v>19.89</v>
      </c>
      <c r="F120">
        <v>2002</v>
      </c>
    </row>
    <row r="121" spans="1:6" ht="15" customHeight="1" x14ac:dyDescent="0.3">
      <c r="A121" s="42" t="s">
        <v>216</v>
      </c>
      <c r="B121" s="43">
        <v>37574</v>
      </c>
      <c r="C121" s="42" t="s">
        <v>32</v>
      </c>
      <c r="D121" s="44">
        <v>12.4</v>
      </c>
      <c r="E121" s="44">
        <v>13.26</v>
      </c>
      <c r="F121">
        <v>2002</v>
      </c>
    </row>
    <row r="122" spans="1:6" ht="15" customHeight="1" x14ac:dyDescent="0.3">
      <c r="A122" s="42" t="s">
        <v>217</v>
      </c>
      <c r="B122" s="43">
        <v>37603</v>
      </c>
      <c r="C122" s="42" t="s">
        <v>32</v>
      </c>
      <c r="D122" s="44">
        <v>5.87</v>
      </c>
      <c r="E122" s="44">
        <v>6.3</v>
      </c>
      <c r="F122">
        <v>2002</v>
      </c>
    </row>
    <row r="123" spans="1:6" ht="15" customHeight="1" x14ac:dyDescent="0.3">
      <c r="A123" s="42" t="s">
        <v>218</v>
      </c>
      <c r="B123" s="43">
        <v>37658</v>
      </c>
      <c r="C123" s="42" t="s">
        <v>32</v>
      </c>
      <c r="D123" s="44">
        <v>0.35</v>
      </c>
      <c r="E123" s="44">
        <v>0.56999999999999995</v>
      </c>
      <c r="F123">
        <v>2003</v>
      </c>
    </row>
    <row r="124" spans="1:6" ht="15" customHeight="1" x14ac:dyDescent="0.3">
      <c r="A124" s="42" t="s">
        <v>219</v>
      </c>
      <c r="B124" s="43">
        <v>37691</v>
      </c>
      <c r="C124" s="42" t="s">
        <v>32</v>
      </c>
      <c r="D124" s="44">
        <v>-0.42</v>
      </c>
      <c r="E124" s="44">
        <v>-0.22</v>
      </c>
      <c r="F124">
        <v>2003</v>
      </c>
    </row>
    <row r="125" spans="1:6" ht="15" customHeight="1" x14ac:dyDescent="0.3">
      <c r="A125" s="42" t="s">
        <v>221</v>
      </c>
      <c r="B125" s="43">
        <v>37713</v>
      </c>
      <c r="C125" s="42" t="s">
        <v>32</v>
      </c>
      <c r="D125" s="44">
        <v>3.21</v>
      </c>
      <c r="E125" s="44">
        <v>2.1800000000000002</v>
      </c>
      <c r="F125">
        <v>2003</v>
      </c>
    </row>
    <row r="126" spans="1:6" ht="15" customHeight="1" x14ac:dyDescent="0.3">
      <c r="A126" s="42" t="s">
        <v>222</v>
      </c>
      <c r="B126" s="43">
        <v>37748</v>
      </c>
      <c r="C126" s="42" t="s">
        <v>32</v>
      </c>
      <c r="D126" s="44">
        <v>10.01</v>
      </c>
      <c r="E126" s="45"/>
      <c r="F126">
        <v>2003</v>
      </c>
    </row>
    <row r="127" spans="1:6" ht="15" customHeight="1" x14ac:dyDescent="0.3">
      <c r="A127" s="42" t="s">
        <v>223</v>
      </c>
      <c r="B127" s="43">
        <v>37777</v>
      </c>
      <c r="C127" s="42" t="s">
        <v>32</v>
      </c>
      <c r="D127" s="44">
        <v>12.43</v>
      </c>
      <c r="E127" s="44">
        <v>10.11</v>
      </c>
      <c r="F127">
        <v>2003</v>
      </c>
    </row>
    <row r="128" spans="1:6" ht="15" customHeight="1" x14ac:dyDescent="0.3">
      <c r="A128" s="42" t="s">
        <v>224</v>
      </c>
      <c r="B128" s="43">
        <v>37791</v>
      </c>
      <c r="C128" s="42" t="s">
        <v>32</v>
      </c>
      <c r="D128" s="44">
        <v>14.88</v>
      </c>
      <c r="E128" s="44">
        <v>12.16</v>
      </c>
      <c r="F128">
        <v>2003</v>
      </c>
    </row>
    <row r="129" spans="1:6" ht="15" customHeight="1" x14ac:dyDescent="0.3">
      <c r="A129" s="42" t="s">
        <v>225</v>
      </c>
      <c r="B129" s="43">
        <v>37811</v>
      </c>
      <c r="C129" s="42" t="s">
        <v>32</v>
      </c>
      <c r="D129" s="44">
        <v>20.059999999999999</v>
      </c>
      <c r="E129" s="44">
        <v>13.68</v>
      </c>
      <c r="F129">
        <v>2003</v>
      </c>
    </row>
    <row r="130" spans="1:6" ht="15" customHeight="1" x14ac:dyDescent="0.3">
      <c r="A130" s="42" t="s">
        <v>226</v>
      </c>
      <c r="B130" s="43">
        <v>37827</v>
      </c>
      <c r="C130" s="42" t="s">
        <v>32</v>
      </c>
      <c r="D130" s="44">
        <v>20.59</v>
      </c>
      <c r="E130" s="45"/>
      <c r="F130">
        <v>2003</v>
      </c>
    </row>
    <row r="131" spans="1:6" ht="15" customHeight="1" x14ac:dyDescent="0.3">
      <c r="A131" s="42" t="s">
        <v>227</v>
      </c>
      <c r="B131" s="43">
        <v>37838</v>
      </c>
      <c r="C131" s="42" t="s">
        <v>32</v>
      </c>
      <c r="D131" s="44">
        <v>21.28</v>
      </c>
      <c r="E131" s="44">
        <v>18.52</v>
      </c>
      <c r="F131">
        <v>2003</v>
      </c>
    </row>
    <row r="132" spans="1:6" ht="15" customHeight="1" x14ac:dyDescent="0.3">
      <c r="A132" s="42" t="s">
        <v>228</v>
      </c>
      <c r="B132" s="43">
        <v>37854</v>
      </c>
      <c r="C132" s="42" t="s">
        <v>32</v>
      </c>
      <c r="D132" s="44">
        <v>24.72</v>
      </c>
      <c r="E132" s="44">
        <v>19.57</v>
      </c>
      <c r="F132">
        <v>2003</v>
      </c>
    </row>
    <row r="133" spans="1:6" ht="15" customHeight="1" x14ac:dyDescent="0.3">
      <c r="A133" s="42" t="s">
        <v>229</v>
      </c>
      <c r="B133" s="43">
        <v>37872</v>
      </c>
      <c r="C133" s="42" t="s">
        <v>32</v>
      </c>
      <c r="D133" s="44">
        <v>21.29</v>
      </c>
      <c r="E133" s="44">
        <v>20.68</v>
      </c>
      <c r="F133">
        <v>2003</v>
      </c>
    </row>
    <row r="134" spans="1:6" ht="15" customHeight="1" x14ac:dyDescent="0.3">
      <c r="A134" s="42" t="s">
        <v>230</v>
      </c>
      <c r="B134" s="43">
        <v>37901</v>
      </c>
      <c r="C134" s="42" t="s">
        <v>32</v>
      </c>
      <c r="D134" s="44">
        <v>18.93</v>
      </c>
      <c r="E134" s="44">
        <v>18.8</v>
      </c>
      <c r="F134">
        <v>2003</v>
      </c>
    </row>
    <row r="135" spans="1:6" ht="15" customHeight="1" x14ac:dyDescent="0.3">
      <c r="A135" s="42" t="s">
        <v>231</v>
      </c>
      <c r="B135" s="43">
        <v>37931</v>
      </c>
      <c r="C135" s="42" t="s">
        <v>32</v>
      </c>
      <c r="D135" s="44">
        <v>14.86</v>
      </c>
      <c r="E135" s="44">
        <v>15.06</v>
      </c>
      <c r="F135">
        <v>2003</v>
      </c>
    </row>
    <row r="136" spans="1:6" ht="15" customHeight="1" x14ac:dyDescent="0.3">
      <c r="A136" s="42" t="s">
        <v>232</v>
      </c>
      <c r="B136" s="43">
        <v>37965</v>
      </c>
      <c r="C136" s="42" t="s">
        <v>32</v>
      </c>
      <c r="D136" s="44">
        <v>6.29</v>
      </c>
      <c r="E136" s="44">
        <v>7.36</v>
      </c>
      <c r="F136">
        <v>2003</v>
      </c>
    </row>
    <row r="137" spans="1:6" ht="15" customHeight="1" x14ac:dyDescent="0.3">
      <c r="A137" s="42" t="s">
        <v>233</v>
      </c>
      <c r="B137" s="43">
        <v>38020</v>
      </c>
      <c r="C137" s="42" t="s">
        <v>32</v>
      </c>
      <c r="D137" s="44">
        <v>-0.87</v>
      </c>
      <c r="E137" s="44">
        <v>-0.67</v>
      </c>
      <c r="F137">
        <v>2004</v>
      </c>
    </row>
    <row r="138" spans="1:6" ht="15" customHeight="1" x14ac:dyDescent="0.3">
      <c r="A138" s="42" t="s">
        <v>235</v>
      </c>
      <c r="B138" s="43">
        <v>38048</v>
      </c>
      <c r="C138" s="42" t="s">
        <v>32</v>
      </c>
      <c r="D138" s="44">
        <v>1.22</v>
      </c>
      <c r="E138" s="44">
        <v>0.41</v>
      </c>
      <c r="F138">
        <v>2004</v>
      </c>
    </row>
    <row r="139" spans="1:6" ht="15" customHeight="1" x14ac:dyDescent="0.3">
      <c r="A139" s="42" t="s">
        <v>237</v>
      </c>
      <c r="B139" s="43">
        <v>38089</v>
      </c>
      <c r="C139" s="42" t="s">
        <v>32</v>
      </c>
      <c r="D139" s="44">
        <v>5.24</v>
      </c>
      <c r="E139" s="44">
        <v>3.85</v>
      </c>
      <c r="F139">
        <v>2004</v>
      </c>
    </row>
    <row r="140" spans="1:6" ht="15" customHeight="1" x14ac:dyDescent="0.3">
      <c r="A140" s="42" t="s">
        <v>238</v>
      </c>
      <c r="B140" s="43">
        <v>38114</v>
      </c>
      <c r="C140" s="42" t="s">
        <v>32</v>
      </c>
      <c r="D140" s="44">
        <v>10.45</v>
      </c>
      <c r="E140" s="44">
        <v>7.31</v>
      </c>
      <c r="F140">
        <v>2004</v>
      </c>
    </row>
    <row r="141" spans="1:6" ht="15" customHeight="1" x14ac:dyDescent="0.3">
      <c r="A141" s="42" t="s">
        <v>239</v>
      </c>
      <c r="B141" s="43">
        <v>38141</v>
      </c>
      <c r="C141" s="42" t="s">
        <v>32</v>
      </c>
      <c r="D141" s="44">
        <v>13.88</v>
      </c>
      <c r="E141" s="44">
        <v>11.52</v>
      </c>
      <c r="F141">
        <v>2004</v>
      </c>
    </row>
    <row r="142" spans="1:6" ht="15" customHeight="1" x14ac:dyDescent="0.3">
      <c r="A142" s="42" t="s">
        <v>240</v>
      </c>
      <c r="B142" s="43">
        <v>38166</v>
      </c>
      <c r="C142" s="42" t="s">
        <v>32</v>
      </c>
      <c r="D142" s="44">
        <v>17.75</v>
      </c>
      <c r="E142" s="44">
        <v>14.28</v>
      </c>
      <c r="F142">
        <v>2004</v>
      </c>
    </row>
    <row r="143" spans="1:6" ht="15" customHeight="1" x14ac:dyDescent="0.3">
      <c r="A143" s="42" t="s">
        <v>241</v>
      </c>
      <c r="B143" s="43">
        <v>38175</v>
      </c>
      <c r="C143" s="42" t="s">
        <v>32</v>
      </c>
      <c r="D143" s="44">
        <v>18.82</v>
      </c>
      <c r="E143" s="44">
        <v>16.16</v>
      </c>
      <c r="F143">
        <v>2004</v>
      </c>
    </row>
    <row r="144" spans="1:6" ht="15" customHeight="1" x14ac:dyDescent="0.3">
      <c r="A144" s="42" t="s">
        <v>242</v>
      </c>
      <c r="B144" s="43">
        <v>38189</v>
      </c>
      <c r="C144" s="42" t="s">
        <v>32</v>
      </c>
      <c r="D144" s="44">
        <v>21.76</v>
      </c>
      <c r="E144" s="44">
        <v>17.36</v>
      </c>
      <c r="F144">
        <v>2004</v>
      </c>
    </row>
    <row r="145" spans="1:6" ht="15" customHeight="1" x14ac:dyDescent="0.3">
      <c r="A145" s="42" t="s">
        <v>243</v>
      </c>
      <c r="B145" s="43">
        <v>38205</v>
      </c>
      <c r="C145" s="42" t="s">
        <v>32</v>
      </c>
      <c r="D145" s="44">
        <v>20.76</v>
      </c>
      <c r="E145" s="44">
        <v>19.690000000000001</v>
      </c>
      <c r="F145">
        <v>2004</v>
      </c>
    </row>
    <row r="146" spans="1:6" ht="15" customHeight="1" x14ac:dyDescent="0.3">
      <c r="A146" s="42" t="s">
        <v>244</v>
      </c>
      <c r="B146" s="43">
        <v>38219</v>
      </c>
      <c r="C146" s="42" t="s">
        <v>32</v>
      </c>
      <c r="D146" s="44">
        <v>22.76</v>
      </c>
      <c r="E146" s="44">
        <v>20.350000000000001</v>
      </c>
      <c r="F146">
        <v>2004</v>
      </c>
    </row>
    <row r="147" spans="1:6" ht="15" customHeight="1" x14ac:dyDescent="0.3">
      <c r="A147" s="42" t="s">
        <v>245</v>
      </c>
      <c r="B147" s="43">
        <v>38231</v>
      </c>
      <c r="C147" s="42" t="s">
        <v>32</v>
      </c>
      <c r="D147" s="44">
        <v>22.19</v>
      </c>
      <c r="E147" s="44">
        <v>21.15</v>
      </c>
      <c r="F147">
        <v>2004</v>
      </c>
    </row>
    <row r="148" spans="1:6" ht="15" customHeight="1" x14ac:dyDescent="0.3">
      <c r="A148" s="42" t="s">
        <v>246</v>
      </c>
      <c r="B148" s="43">
        <v>38268</v>
      </c>
      <c r="C148" s="42" t="s">
        <v>32</v>
      </c>
      <c r="D148" s="44">
        <v>19.57</v>
      </c>
      <c r="E148" s="44">
        <v>20.04</v>
      </c>
      <c r="F148">
        <v>2004</v>
      </c>
    </row>
    <row r="149" spans="1:6" ht="15" customHeight="1" x14ac:dyDescent="0.3">
      <c r="A149" s="42" t="s">
        <v>247</v>
      </c>
      <c r="B149" s="43">
        <v>38336</v>
      </c>
      <c r="C149" s="42" t="s">
        <v>32</v>
      </c>
      <c r="D149" s="44">
        <v>7.9</v>
      </c>
      <c r="E149" s="44">
        <v>8.33</v>
      </c>
      <c r="F149">
        <v>2004</v>
      </c>
    </row>
    <row r="150" spans="1:6" ht="15" customHeight="1" x14ac:dyDescent="0.3">
      <c r="A150" s="42" t="s">
        <v>248</v>
      </c>
      <c r="B150" s="43">
        <v>38363</v>
      </c>
      <c r="C150" s="42" t="s">
        <v>32</v>
      </c>
      <c r="D150" s="44">
        <v>4.76</v>
      </c>
      <c r="E150" s="44">
        <v>5.13</v>
      </c>
      <c r="F150">
        <v>2005</v>
      </c>
    </row>
    <row r="151" spans="1:6" ht="15" customHeight="1" x14ac:dyDescent="0.3">
      <c r="A151" s="42" t="s">
        <v>249</v>
      </c>
      <c r="B151" s="43">
        <v>38384</v>
      </c>
      <c r="C151" s="42" t="s">
        <v>32</v>
      </c>
      <c r="D151" s="44">
        <v>0.95</v>
      </c>
      <c r="E151" s="44">
        <v>1.1399999999999999</v>
      </c>
      <c r="F151">
        <v>2005</v>
      </c>
    </row>
    <row r="152" spans="1:6" ht="15" customHeight="1" x14ac:dyDescent="0.3">
      <c r="A152" s="42" t="s">
        <v>250</v>
      </c>
      <c r="B152" s="43">
        <v>38422</v>
      </c>
      <c r="C152" s="42" t="s">
        <v>32</v>
      </c>
      <c r="D152" s="44">
        <v>0.76</v>
      </c>
      <c r="E152" s="44">
        <v>0.86</v>
      </c>
      <c r="F152">
        <v>2005</v>
      </c>
    </row>
    <row r="153" spans="1:6" ht="15" customHeight="1" x14ac:dyDescent="0.3">
      <c r="A153" s="42" t="s">
        <v>251</v>
      </c>
      <c r="B153" s="43">
        <v>38450</v>
      </c>
      <c r="C153" s="42" t="s">
        <v>32</v>
      </c>
      <c r="D153" s="46">
        <v>6.17</v>
      </c>
      <c r="E153" s="46">
        <v>3.12</v>
      </c>
      <c r="F153">
        <v>2005</v>
      </c>
    </row>
    <row r="154" spans="1:6" ht="15" customHeight="1" x14ac:dyDescent="0.3">
      <c r="A154" s="42" t="s">
        <v>252</v>
      </c>
      <c r="B154" s="43">
        <v>38478</v>
      </c>
      <c r="C154" s="42" t="s">
        <v>32</v>
      </c>
      <c r="D154" s="44">
        <v>8.2799999999999994</v>
      </c>
      <c r="E154" s="44">
        <v>7.39</v>
      </c>
      <c r="F154">
        <v>2005</v>
      </c>
    </row>
    <row r="155" spans="1:6" ht="15" customHeight="1" x14ac:dyDescent="0.3">
      <c r="A155" s="42" t="s">
        <v>253</v>
      </c>
      <c r="B155" s="43">
        <v>38511</v>
      </c>
      <c r="C155" s="42" t="s">
        <v>32</v>
      </c>
      <c r="D155" s="44">
        <v>14.64</v>
      </c>
      <c r="E155" s="44">
        <v>11.22</v>
      </c>
      <c r="F155">
        <v>2005</v>
      </c>
    </row>
    <row r="156" spans="1:6" ht="15" customHeight="1" x14ac:dyDescent="0.3">
      <c r="A156" s="42" t="s">
        <v>255</v>
      </c>
      <c r="B156" s="43">
        <v>38545</v>
      </c>
      <c r="C156" s="42" t="s">
        <v>32</v>
      </c>
      <c r="D156" s="44">
        <v>21.37</v>
      </c>
      <c r="E156" s="44">
        <v>16.45</v>
      </c>
      <c r="F156">
        <v>2005</v>
      </c>
    </row>
    <row r="157" spans="1:6" ht="15" customHeight="1" x14ac:dyDescent="0.3">
      <c r="A157" s="42" t="s">
        <v>256</v>
      </c>
      <c r="B157" s="43">
        <v>38552</v>
      </c>
      <c r="C157" s="42" t="s">
        <v>32</v>
      </c>
      <c r="D157" s="44">
        <v>21.71</v>
      </c>
      <c r="E157" s="44">
        <v>16.489999999999998</v>
      </c>
      <c r="F157">
        <v>2005</v>
      </c>
    </row>
    <row r="158" spans="1:6" ht="15" customHeight="1" x14ac:dyDescent="0.3">
      <c r="A158" s="42" t="s">
        <v>257</v>
      </c>
      <c r="B158" s="43">
        <v>38568</v>
      </c>
      <c r="C158" s="42" t="s">
        <v>32</v>
      </c>
      <c r="D158" s="44">
        <v>22.94</v>
      </c>
      <c r="E158" s="46">
        <v>19.23</v>
      </c>
      <c r="F158">
        <v>2005</v>
      </c>
    </row>
    <row r="159" spans="1:6" ht="15" customHeight="1" x14ac:dyDescent="0.3">
      <c r="A159" s="42" t="s">
        <v>258</v>
      </c>
      <c r="B159" s="43">
        <v>38583</v>
      </c>
      <c r="C159" s="42" t="s">
        <v>32</v>
      </c>
      <c r="D159" s="44">
        <v>22.15</v>
      </c>
      <c r="E159" s="44">
        <v>21.08</v>
      </c>
      <c r="F159">
        <v>2005</v>
      </c>
    </row>
    <row r="160" spans="1:6" ht="15" customHeight="1" x14ac:dyDescent="0.3">
      <c r="A160" s="42" t="s">
        <v>259</v>
      </c>
      <c r="B160" s="43">
        <v>38597</v>
      </c>
      <c r="C160" s="42" t="s">
        <v>32</v>
      </c>
      <c r="D160" s="46">
        <v>23.28</v>
      </c>
      <c r="E160" s="46">
        <v>21.45</v>
      </c>
      <c r="F160">
        <v>2005</v>
      </c>
    </row>
    <row r="161" spans="1:6" ht="15" customHeight="1" x14ac:dyDescent="0.3">
      <c r="A161" s="42" t="s">
        <v>261</v>
      </c>
      <c r="B161" s="43">
        <v>38636</v>
      </c>
      <c r="C161" s="42" t="s">
        <v>32</v>
      </c>
      <c r="D161" s="44">
        <v>20.76</v>
      </c>
      <c r="E161" s="44">
        <v>21.03</v>
      </c>
      <c r="F161">
        <v>2005</v>
      </c>
    </row>
    <row r="162" spans="1:6" ht="15" customHeight="1" x14ac:dyDescent="0.3">
      <c r="A162" s="42" t="s">
        <v>262</v>
      </c>
      <c r="B162" s="43">
        <v>38671</v>
      </c>
      <c r="C162" s="42" t="s">
        <v>32</v>
      </c>
      <c r="D162" s="44">
        <v>13.44</v>
      </c>
      <c r="E162" s="44">
        <v>13.46</v>
      </c>
      <c r="F162">
        <v>2005</v>
      </c>
    </row>
    <row r="163" spans="1:6" ht="15" customHeight="1" x14ac:dyDescent="0.3">
      <c r="A163" s="42" t="s">
        <v>263</v>
      </c>
      <c r="B163" s="43">
        <v>38694</v>
      </c>
      <c r="C163" s="42" t="s">
        <v>32</v>
      </c>
      <c r="D163" s="44">
        <v>7.94</v>
      </c>
      <c r="E163" s="44">
        <v>8.6</v>
      </c>
      <c r="F163">
        <v>2005</v>
      </c>
    </row>
    <row r="164" spans="1:6" ht="15" customHeight="1" x14ac:dyDescent="0.3">
      <c r="A164" s="42" t="s">
        <v>264</v>
      </c>
      <c r="B164" s="43">
        <v>38783</v>
      </c>
      <c r="C164" s="42" t="s">
        <v>32</v>
      </c>
      <c r="D164" s="44">
        <v>2.96</v>
      </c>
      <c r="E164" s="44">
        <v>2.25</v>
      </c>
      <c r="F164">
        <v>2006</v>
      </c>
    </row>
    <row r="165" spans="1:6" ht="15" customHeight="1" x14ac:dyDescent="0.3">
      <c r="A165" s="42" t="s">
        <v>498</v>
      </c>
      <c r="B165" s="43">
        <v>38819</v>
      </c>
      <c r="C165" s="42" t="s">
        <v>32</v>
      </c>
      <c r="D165" s="44">
        <v>5.57</v>
      </c>
      <c r="E165" s="44">
        <v>5.15</v>
      </c>
      <c r="F165">
        <v>2006</v>
      </c>
    </row>
    <row r="166" spans="1:6" ht="15" customHeight="1" x14ac:dyDescent="0.3">
      <c r="A166" s="42" t="s">
        <v>265</v>
      </c>
      <c r="B166" s="43">
        <v>38841</v>
      </c>
      <c r="C166" s="42" t="s">
        <v>32</v>
      </c>
      <c r="D166" s="44">
        <v>9.8000000000000007</v>
      </c>
      <c r="E166" s="44">
        <v>8.93</v>
      </c>
      <c r="F166">
        <v>2006</v>
      </c>
    </row>
    <row r="167" spans="1:6" ht="15" customHeight="1" x14ac:dyDescent="0.3">
      <c r="A167" s="42" t="s">
        <v>266</v>
      </c>
      <c r="B167" s="43">
        <v>38877</v>
      </c>
      <c r="C167" s="42" t="s">
        <v>32</v>
      </c>
      <c r="D167" s="44">
        <v>16.52</v>
      </c>
      <c r="E167" s="44">
        <v>14.74</v>
      </c>
      <c r="F167">
        <v>2006</v>
      </c>
    </row>
    <row r="168" spans="1:6" ht="15" customHeight="1" x14ac:dyDescent="0.3">
      <c r="A168" s="42" t="s">
        <v>267</v>
      </c>
      <c r="B168" s="43">
        <v>38891</v>
      </c>
      <c r="C168" s="42" t="s">
        <v>32</v>
      </c>
      <c r="D168" s="44">
        <v>15.97</v>
      </c>
      <c r="E168" s="44">
        <v>14.38</v>
      </c>
      <c r="F168">
        <v>2006</v>
      </c>
    </row>
    <row r="169" spans="1:6" ht="15" customHeight="1" x14ac:dyDescent="0.3">
      <c r="A169" s="42" t="s">
        <v>268</v>
      </c>
      <c r="B169" s="43">
        <v>38905</v>
      </c>
      <c r="C169" s="42" t="s">
        <v>32</v>
      </c>
      <c r="D169" s="44">
        <v>17.7</v>
      </c>
      <c r="E169" s="44">
        <v>15.54</v>
      </c>
      <c r="F169">
        <v>2006</v>
      </c>
    </row>
    <row r="170" spans="1:6" ht="15" customHeight="1" x14ac:dyDescent="0.3">
      <c r="A170" s="42" t="s">
        <v>269</v>
      </c>
      <c r="B170" s="43">
        <v>38917</v>
      </c>
      <c r="C170" s="42" t="s">
        <v>32</v>
      </c>
      <c r="D170" s="44">
        <v>20.059999999999999</v>
      </c>
      <c r="E170" s="44">
        <v>17.55</v>
      </c>
      <c r="F170">
        <v>2006</v>
      </c>
    </row>
    <row r="171" spans="1:6" ht="15" customHeight="1" x14ac:dyDescent="0.3">
      <c r="A171" s="42" t="s">
        <v>270</v>
      </c>
      <c r="B171" s="43">
        <v>38932</v>
      </c>
      <c r="C171" s="42" t="s">
        <v>32</v>
      </c>
      <c r="D171" s="44">
        <v>23.7</v>
      </c>
      <c r="E171" s="44">
        <v>19.55</v>
      </c>
      <c r="F171">
        <v>2006</v>
      </c>
    </row>
    <row r="172" spans="1:6" ht="15" customHeight="1" x14ac:dyDescent="0.3">
      <c r="A172" s="42" t="s">
        <v>271</v>
      </c>
      <c r="B172" s="43">
        <v>38947</v>
      </c>
      <c r="C172" s="42" t="s">
        <v>32</v>
      </c>
      <c r="D172" s="44">
        <v>22</v>
      </c>
      <c r="E172" s="44">
        <v>21.31</v>
      </c>
      <c r="F172">
        <v>2006</v>
      </c>
    </row>
    <row r="173" spans="1:6" ht="15" customHeight="1" x14ac:dyDescent="0.3">
      <c r="A173" s="42" t="s">
        <v>272</v>
      </c>
      <c r="B173" s="43">
        <v>38959</v>
      </c>
      <c r="C173" s="42" t="s">
        <v>32</v>
      </c>
      <c r="D173" s="44">
        <v>21.79</v>
      </c>
      <c r="E173" s="44">
        <v>21.82</v>
      </c>
      <c r="F173">
        <v>2006</v>
      </c>
    </row>
    <row r="174" spans="1:6" ht="15" customHeight="1" x14ac:dyDescent="0.3">
      <c r="A174" s="42" t="s">
        <v>273</v>
      </c>
      <c r="B174" s="43">
        <v>39007</v>
      </c>
      <c r="C174" s="42" t="s">
        <v>32</v>
      </c>
      <c r="D174" s="44">
        <v>17.71</v>
      </c>
      <c r="E174" s="44">
        <v>17.72</v>
      </c>
      <c r="F174">
        <v>2006</v>
      </c>
    </row>
    <row r="175" spans="1:6" ht="15" customHeight="1" x14ac:dyDescent="0.3">
      <c r="A175" s="42" t="s">
        <v>274</v>
      </c>
      <c r="B175" s="43">
        <v>39028</v>
      </c>
      <c r="C175" s="42" t="s">
        <v>32</v>
      </c>
      <c r="D175" s="44">
        <v>13.59</v>
      </c>
      <c r="E175" s="44">
        <v>13.71</v>
      </c>
      <c r="F175">
        <v>2006</v>
      </c>
    </row>
    <row r="176" spans="1:6" ht="15" customHeight="1" x14ac:dyDescent="0.3">
      <c r="A176" s="42" t="s">
        <v>275</v>
      </c>
      <c r="B176" s="43">
        <v>39062</v>
      </c>
      <c r="C176" s="42" t="s">
        <v>32</v>
      </c>
      <c r="D176" s="44">
        <v>9.3699999999999992</v>
      </c>
      <c r="E176" s="44">
        <v>9.57</v>
      </c>
      <c r="F176">
        <v>2006</v>
      </c>
    </row>
    <row r="177" spans="1:6" ht="15" customHeight="1" x14ac:dyDescent="0.3">
      <c r="A177" s="42" t="s">
        <v>276</v>
      </c>
      <c r="B177" s="43">
        <v>39100</v>
      </c>
      <c r="C177" s="42" t="s">
        <v>32</v>
      </c>
      <c r="D177" s="44">
        <v>6.04</v>
      </c>
      <c r="E177" s="44">
        <v>6.76</v>
      </c>
      <c r="F177">
        <v>2007</v>
      </c>
    </row>
    <row r="178" spans="1:6" ht="15" customHeight="1" x14ac:dyDescent="0.3">
      <c r="A178" s="42" t="s">
        <v>277</v>
      </c>
      <c r="B178" s="43">
        <v>39126</v>
      </c>
      <c r="C178" s="42" t="s">
        <v>32</v>
      </c>
      <c r="D178" s="44">
        <v>1.55</v>
      </c>
      <c r="E178" s="44">
        <v>1.57</v>
      </c>
      <c r="F178">
        <v>2007</v>
      </c>
    </row>
    <row r="179" spans="1:6" ht="15" customHeight="1" x14ac:dyDescent="0.3">
      <c r="A179" s="42" t="s">
        <v>278</v>
      </c>
      <c r="B179" s="43">
        <v>39148</v>
      </c>
      <c r="C179" s="42" t="s">
        <v>32</v>
      </c>
      <c r="D179" s="45"/>
      <c r="E179" s="45"/>
      <c r="F179">
        <v>2007</v>
      </c>
    </row>
    <row r="180" spans="1:6" ht="15" customHeight="1" x14ac:dyDescent="0.3">
      <c r="A180" s="42" t="s">
        <v>280</v>
      </c>
      <c r="B180" s="43">
        <v>39176</v>
      </c>
      <c r="C180" s="42" t="s">
        <v>32</v>
      </c>
      <c r="D180" s="44">
        <v>3.76</v>
      </c>
      <c r="E180" s="44">
        <v>3.36</v>
      </c>
      <c r="F180">
        <v>2007</v>
      </c>
    </row>
    <row r="181" spans="1:6" ht="15" customHeight="1" x14ac:dyDescent="0.3">
      <c r="A181" s="42" t="s">
        <v>281</v>
      </c>
      <c r="B181" s="43">
        <v>39211</v>
      </c>
      <c r="C181" s="42" t="s">
        <v>32</v>
      </c>
      <c r="D181" s="44">
        <v>9.6300000000000008</v>
      </c>
      <c r="E181" s="44">
        <v>6.9</v>
      </c>
      <c r="F181">
        <v>2007</v>
      </c>
    </row>
    <row r="182" spans="1:6" ht="15" customHeight="1" x14ac:dyDescent="0.3">
      <c r="A182" s="42" t="s">
        <v>282</v>
      </c>
      <c r="B182" s="43">
        <v>39240</v>
      </c>
      <c r="C182" s="42" t="s">
        <v>32</v>
      </c>
      <c r="D182" s="46">
        <v>14.29</v>
      </c>
      <c r="E182" s="44">
        <v>11.49</v>
      </c>
      <c r="F182">
        <v>2007</v>
      </c>
    </row>
    <row r="183" spans="1:6" ht="15" customHeight="1" x14ac:dyDescent="0.3">
      <c r="A183" s="42" t="s">
        <v>283</v>
      </c>
      <c r="B183" s="43">
        <v>39254</v>
      </c>
      <c r="C183" s="42" t="s">
        <v>32</v>
      </c>
      <c r="D183" s="44">
        <v>17.489999999999998</v>
      </c>
      <c r="E183" s="44">
        <v>13.42</v>
      </c>
      <c r="F183">
        <v>2007</v>
      </c>
    </row>
    <row r="184" spans="1:6" ht="15" customHeight="1" x14ac:dyDescent="0.3">
      <c r="A184" s="42" t="s">
        <v>284</v>
      </c>
      <c r="B184" s="43">
        <v>39274</v>
      </c>
      <c r="C184" s="42" t="s">
        <v>32</v>
      </c>
      <c r="D184" s="44">
        <v>19.3</v>
      </c>
      <c r="E184" s="44">
        <v>17</v>
      </c>
      <c r="F184">
        <v>2007</v>
      </c>
    </row>
    <row r="185" spans="1:6" ht="15" customHeight="1" x14ac:dyDescent="0.3">
      <c r="A185" s="42" t="s">
        <v>285</v>
      </c>
      <c r="B185" s="43">
        <v>39283</v>
      </c>
      <c r="C185" s="42" t="s">
        <v>32</v>
      </c>
      <c r="D185" s="44">
        <v>21.73</v>
      </c>
      <c r="E185" s="44">
        <v>17.78</v>
      </c>
      <c r="F185">
        <v>2007</v>
      </c>
    </row>
    <row r="186" spans="1:6" ht="15" customHeight="1" x14ac:dyDescent="0.3">
      <c r="A186" s="42" t="s">
        <v>286</v>
      </c>
      <c r="B186" s="43">
        <v>39294</v>
      </c>
      <c r="C186" s="42" t="s">
        <v>32</v>
      </c>
      <c r="D186" s="44">
        <v>22.83</v>
      </c>
      <c r="E186" s="44">
        <v>18.920000000000002</v>
      </c>
      <c r="F186">
        <v>2007</v>
      </c>
    </row>
    <row r="187" spans="1:6" ht="15" customHeight="1" x14ac:dyDescent="0.3">
      <c r="A187" s="42" t="s">
        <v>287</v>
      </c>
      <c r="B187" s="43">
        <v>39309</v>
      </c>
      <c r="C187" s="42" t="s">
        <v>32</v>
      </c>
      <c r="D187" s="44">
        <v>22.18</v>
      </c>
      <c r="E187" s="44">
        <v>20.98</v>
      </c>
      <c r="F187">
        <v>2007</v>
      </c>
    </row>
    <row r="188" spans="1:6" ht="15" customHeight="1" x14ac:dyDescent="0.3">
      <c r="A188" s="42" t="s">
        <v>288</v>
      </c>
      <c r="B188" s="43">
        <v>39324</v>
      </c>
      <c r="C188" s="42" t="s">
        <v>32</v>
      </c>
      <c r="D188" s="44">
        <v>22.6</v>
      </c>
      <c r="E188" s="44">
        <v>21.22</v>
      </c>
      <c r="F188">
        <v>2007</v>
      </c>
    </row>
    <row r="189" spans="1:6" ht="15" customHeight="1" x14ac:dyDescent="0.3">
      <c r="A189" s="42" t="s">
        <v>290</v>
      </c>
      <c r="B189" s="43">
        <v>39359</v>
      </c>
      <c r="C189" s="42" t="s">
        <v>32</v>
      </c>
      <c r="D189" s="44">
        <v>21.35</v>
      </c>
      <c r="E189" s="44">
        <v>20.99</v>
      </c>
      <c r="F189">
        <v>2007</v>
      </c>
    </row>
    <row r="190" spans="1:6" ht="15" customHeight="1" x14ac:dyDescent="0.3">
      <c r="A190" s="42" t="s">
        <v>291</v>
      </c>
      <c r="B190" s="43">
        <v>39400</v>
      </c>
      <c r="C190" s="42" t="s">
        <v>32</v>
      </c>
      <c r="D190" s="44">
        <v>13.55</v>
      </c>
      <c r="E190" s="44">
        <v>13.54</v>
      </c>
      <c r="F190">
        <v>2007</v>
      </c>
    </row>
    <row r="191" spans="1:6" ht="15" customHeight="1" x14ac:dyDescent="0.3">
      <c r="A191" s="42" t="s">
        <v>292</v>
      </c>
      <c r="B191" s="43">
        <v>39426</v>
      </c>
      <c r="C191" s="42" t="s">
        <v>32</v>
      </c>
      <c r="D191" s="44">
        <v>8.34</v>
      </c>
      <c r="E191" s="44">
        <v>8.42</v>
      </c>
      <c r="F191">
        <v>2007</v>
      </c>
    </row>
    <row r="192" spans="1:6" ht="15" customHeight="1" x14ac:dyDescent="0.3">
      <c r="A192" s="42" t="s">
        <v>293</v>
      </c>
      <c r="B192" s="43">
        <v>39455</v>
      </c>
      <c r="C192" s="42" t="s">
        <v>32</v>
      </c>
      <c r="D192" s="44">
        <v>4.42</v>
      </c>
      <c r="E192" s="44">
        <v>4.7699999999999996</v>
      </c>
      <c r="F192">
        <v>2008</v>
      </c>
    </row>
    <row r="193" spans="1:6" ht="15" customHeight="1" x14ac:dyDescent="0.3">
      <c r="A193" s="42" t="s">
        <v>294</v>
      </c>
      <c r="B193" s="43">
        <v>39485</v>
      </c>
      <c r="C193" s="42" t="s">
        <v>32</v>
      </c>
      <c r="D193" s="44">
        <v>3.22</v>
      </c>
      <c r="E193" s="44">
        <v>3.25</v>
      </c>
      <c r="F193">
        <v>2008</v>
      </c>
    </row>
    <row r="194" spans="1:6" ht="15" customHeight="1" x14ac:dyDescent="0.3">
      <c r="A194" s="42" t="s">
        <v>296</v>
      </c>
      <c r="B194" s="43">
        <v>39513</v>
      </c>
      <c r="C194" s="42" t="s">
        <v>32</v>
      </c>
      <c r="D194" s="44">
        <v>3.29</v>
      </c>
      <c r="E194" s="44">
        <v>2.93</v>
      </c>
      <c r="F194">
        <v>2008</v>
      </c>
    </row>
    <row r="195" spans="1:6" ht="15" customHeight="1" x14ac:dyDescent="0.3">
      <c r="A195" s="42" t="s">
        <v>298</v>
      </c>
      <c r="B195" s="43">
        <v>39547</v>
      </c>
      <c r="C195" s="42" t="s">
        <v>32</v>
      </c>
      <c r="D195" s="44">
        <v>5.4</v>
      </c>
      <c r="E195" s="44">
        <v>5.41</v>
      </c>
      <c r="F195">
        <v>2008</v>
      </c>
    </row>
    <row r="196" spans="1:6" ht="15" customHeight="1" x14ac:dyDescent="0.3">
      <c r="A196" s="42" t="s">
        <v>299</v>
      </c>
      <c r="B196" s="43">
        <v>39574</v>
      </c>
      <c r="C196" s="42" t="s">
        <v>32</v>
      </c>
      <c r="D196" s="44">
        <v>10.17</v>
      </c>
      <c r="E196" s="44">
        <v>9.56</v>
      </c>
      <c r="F196">
        <v>2008</v>
      </c>
    </row>
    <row r="197" spans="1:6" ht="15" customHeight="1" x14ac:dyDescent="0.3">
      <c r="A197" s="42" t="s">
        <v>300</v>
      </c>
      <c r="B197" s="43">
        <v>39604</v>
      </c>
      <c r="C197" s="42" t="s">
        <v>32</v>
      </c>
      <c r="D197" s="44">
        <v>14.21</v>
      </c>
      <c r="E197" s="44">
        <v>11.65</v>
      </c>
      <c r="F197">
        <v>2008</v>
      </c>
    </row>
    <row r="198" spans="1:6" ht="15" customHeight="1" x14ac:dyDescent="0.3">
      <c r="A198" s="42" t="s">
        <v>301</v>
      </c>
      <c r="B198" s="43">
        <v>39616</v>
      </c>
      <c r="C198" s="42" t="s">
        <v>32</v>
      </c>
      <c r="D198" s="44">
        <v>17.5</v>
      </c>
      <c r="E198" s="44">
        <v>12.78</v>
      </c>
      <c r="F198">
        <v>2008</v>
      </c>
    </row>
    <row r="199" spans="1:6" ht="15" customHeight="1" x14ac:dyDescent="0.3">
      <c r="A199" s="42" t="s">
        <v>302</v>
      </c>
      <c r="B199" s="43">
        <v>39631</v>
      </c>
      <c r="C199" s="42" t="s">
        <v>32</v>
      </c>
      <c r="D199" s="44">
        <v>21.16</v>
      </c>
      <c r="E199" s="44">
        <v>14.62</v>
      </c>
      <c r="F199">
        <v>2008</v>
      </c>
    </row>
    <row r="200" spans="1:6" ht="15" customHeight="1" x14ac:dyDescent="0.3">
      <c r="A200" s="42" t="s">
        <v>304</v>
      </c>
      <c r="B200" s="43">
        <v>39665</v>
      </c>
      <c r="C200" s="42" t="s">
        <v>32</v>
      </c>
      <c r="D200" s="44">
        <v>22.11</v>
      </c>
      <c r="E200" s="44">
        <v>19.91</v>
      </c>
      <c r="F200">
        <v>2008</v>
      </c>
    </row>
    <row r="201" spans="1:6" ht="15" customHeight="1" x14ac:dyDescent="0.3">
      <c r="A201" s="42" t="s">
        <v>305</v>
      </c>
      <c r="B201" s="43">
        <v>39682</v>
      </c>
      <c r="C201" s="42" t="s">
        <v>32</v>
      </c>
      <c r="D201" s="44">
        <v>22.19</v>
      </c>
      <c r="E201" s="44">
        <v>21.34</v>
      </c>
      <c r="F201">
        <v>2008</v>
      </c>
    </row>
    <row r="202" spans="1:6" ht="15" customHeight="1" x14ac:dyDescent="0.3">
      <c r="A202" s="42" t="s">
        <v>306</v>
      </c>
      <c r="B202" s="43">
        <v>39694</v>
      </c>
      <c r="C202" s="42" t="s">
        <v>32</v>
      </c>
      <c r="D202" s="44">
        <v>22.37</v>
      </c>
      <c r="E202" s="44">
        <v>21.76</v>
      </c>
      <c r="F202">
        <v>2008</v>
      </c>
    </row>
    <row r="203" spans="1:6" ht="15" customHeight="1" x14ac:dyDescent="0.3">
      <c r="A203" s="42" t="s">
        <v>307</v>
      </c>
      <c r="B203" s="43">
        <v>39707</v>
      </c>
      <c r="C203" s="42" t="s">
        <v>32</v>
      </c>
      <c r="D203" s="44">
        <v>21.95</v>
      </c>
      <c r="E203" s="44">
        <v>21.68</v>
      </c>
      <c r="F203">
        <v>2008</v>
      </c>
    </row>
    <row r="204" spans="1:6" ht="15" customHeight="1" x14ac:dyDescent="0.3">
      <c r="A204" s="42" t="s">
        <v>308</v>
      </c>
      <c r="B204" s="43">
        <v>39729</v>
      </c>
      <c r="C204" s="42" t="s">
        <v>32</v>
      </c>
      <c r="D204" s="44">
        <v>17.86</v>
      </c>
      <c r="E204" s="44">
        <v>19.190000000000001</v>
      </c>
      <c r="F204">
        <v>2008</v>
      </c>
    </row>
    <row r="205" spans="1:6" ht="15" customHeight="1" x14ac:dyDescent="0.3">
      <c r="A205" s="42" t="s">
        <v>309</v>
      </c>
      <c r="B205" s="43">
        <v>39764</v>
      </c>
      <c r="C205" s="42" t="s">
        <v>32</v>
      </c>
      <c r="D205" s="44">
        <v>13.49</v>
      </c>
      <c r="E205" s="44">
        <v>13.88</v>
      </c>
      <c r="F205">
        <v>2008</v>
      </c>
    </row>
    <row r="206" spans="1:6" ht="15" customHeight="1" x14ac:dyDescent="0.3">
      <c r="A206" s="42" t="s">
        <v>310</v>
      </c>
      <c r="B206" s="43">
        <v>39800</v>
      </c>
      <c r="C206" s="42" t="s">
        <v>32</v>
      </c>
      <c r="D206" s="44">
        <v>7.3</v>
      </c>
      <c r="E206" s="44">
        <v>7.58</v>
      </c>
      <c r="F206">
        <v>2008</v>
      </c>
    </row>
    <row r="207" spans="1:6" ht="15" customHeight="1" x14ac:dyDescent="0.3">
      <c r="A207" s="42" t="s">
        <v>311</v>
      </c>
      <c r="B207" s="43">
        <v>39826</v>
      </c>
      <c r="C207" s="42" t="s">
        <v>32</v>
      </c>
      <c r="D207" s="44">
        <v>2.61</v>
      </c>
      <c r="E207" s="44">
        <v>3.21</v>
      </c>
      <c r="F207">
        <v>2009</v>
      </c>
    </row>
    <row r="208" spans="1:6" ht="15" customHeight="1" x14ac:dyDescent="0.3">
      <c r="A208" s="42" t="s">
        <v>312</v>
      </c>
      <c r="B208" s="43">
        <v>39850</v>
      </c>
      <c r="C208" s="42" t="s">
        <v>32</v>
      </c>
      <c r="D208" s="44">
        <v>0.62</v>
      </c>
      <c r="E208" s="44">
        <v>0.85</v>
      </c>
      <c r="F208">
        <v>2009</v>
      </c>
    </row>
    <row r="209" spans="1:6" ht="15" customHeight="1" x14ac:dyDescent="0.3">
      <c r="A209" s="42" t="s">
        <v>314</v>
      </c>
      <c r="B209" s="43">
        <v>39878</v>
      </c>
      <c r="C209" s="42" t="s">
        <v>32</v>
      </c>
      <c r="D209" s="46">
        <v>1.5</v>
      </c>
      <c r="E209" s="44">
        <v>1.46</v>
      </c>
      <c r="F209">
        <v>2009</v>
      </c>
    </row>
    <row r="210" spans="1:6" ht="15" customHeight="1" x14ac:dyDescent="0.3">
      <c r="A210" s="42" t="s">
        <v>316</v>
      </c>
      <c r="B210" s="43">
        <v>39905</v>
      </c>
      <c r="C210" s="42" t="s">
        <v>32</v>
      </c>
      <c r="D210" s="44">
        <v>3.84</v>
      </c>
      <c r="E210" s="46">
        <v>3.7</v>
      </c>
      <c r="F210">
        <v>2009</v>
      </c>
    </row>
    <row r="211" spans="1:6" ht="15" customHeight="1" x14ac:dyDescent="0.3">
      <c r="A211" s="42" t="s">
        <v>317</v>
      </c>
      <c r="B211" s="43">
        <v>39933</v>
      </c>
      <c r="C211" s="42" t="s">
        <v>32</v>
      </c>
      <c r="D211" s="44">
        <v>8.91</v>
      </c>
      <c r="E211" s="44">
        <v>7.9</v>
      </c>
      <c r="F211">
        <v>2009</v>
      </c>
    </row>
    <row r="212" spans="1:6" ht="15" customHeight="1" x14ac:dyDescent="0.3">
      <c r="A212" s="42" t="s">
        <v>318</v>
      </c>
      <c r="B212" s="43">
        <v>39972</v>
      </c>
      <c r="C212" s="42" t="s">
        <v>32</v>
      </c>
      <c r="D212" s="44">
        <v>15.55</v>
      </c>
      <c r="E212" s="44">
        <v>12.24</v>
      </c>
      <c r="F212">
        <v>2009</v>
      </c>
    </row>
    <row r="213" spans="1:6" ht="15" customHeight="1" x14ac:dyDescent="0.3">
      <c r="A213" s="42" t="s">
        <v>319</v>
      </c>
      <c r="B213" s="43">
        <v>39987</v>
      </c>
      <c r="C213" s="42" t="s">
        <v>32</v>
      </c>
      <c r="D213" s="44">
        <v>16.96</v>
      </c>
      <c r="E213" s="44">
        <v>14.95</v>
      </c>
      <c r="F213">
        <v>2009</v>
      </c>
    </row>
    <row r="214" spans="1:6" ht="15" customHeight="1" x14ac:dyDescent="0.3">
      <c r="A214" s="42" t="s">
        <v>320</v>
      </c>
      <c r="B214" s="43">
        <v>40003</v>
      </c>
      <c r="C214" s="42" t="s">
        <v>32</v>
      </c>
      <c r="D214" s="44">
        <v>17.940000000000001</v>
      </c>
      <c r="E214" s="44">
        <v>16.149999999999999</v>
      </c>
      <c r="F214">
        <v>2009</v>
      </c>
    </row>
    <row r="215" spans="1:6" ht="15" customHeight="1" x14ac:dyDescent="0.3">
      <c r="A215" s="42" t="s">
        <v>321</v>
      </c>
      <c r="B215" s="43">
        <v>40015</v>
      </c>
      <c r="C215" s="42" t="s">
        <v>32</v>
      </c>
      <c r="D215" s="44">
        <v>19.95</v>
      </c>
      <c r="E215" s="44">
        <v>16.77</v>
      </c>
      <c r="F215">
        <v>2009</v>
      </c>
    </row>
    <row r="216" spans="1:6" ht="15" customHeight="1" x14ac:dyDescent="0.3">
      <c r="A216" s="42" t="s">
        <v>322</v>
      </c>
      <c r="B216" s="43">
        <v>40029</v>
      </c>
      <c r="C216" s="42" t="s">
        <v>32</v>
      </c>
      <c r="D216" s="44">
        <v>23.17</v>
      </c>
      <c r="E216" s="44">
        <v>17.989999999999998</v>
      </c>
      <c r="F216">
        <v>2009</v>
      </c>
    </row>
    <row r="217" spans="1:6" ht="15" customHeight="1" x14ac:dyDescent="0.3">
      <c r="A217" s="42" t="s">
        <v>323</v>
      </c>
      <c r="B217" s="43">
        <v>40043</v>
      </c>
      <c r="C217" s="42" t="s">
        <v>32</v>
      </c>
      <c r="D217" s="44">
        <v>22.47</v>
      </c>
      <c r="E217" s="44">
        <v>19.68</v>
      </c>
      <c r="F217">
        <v>2009</v>
      </c>
    </row>
    <row r="218" spans="1:6" ht="15" customHeight="1" x14ac:dyDescent="0.3">
      <c r="A218" s="42" t="s">
        <v>324</v>
      </c>
      <c r="B218" s="43">
        <v>40058</v>
      </c>
      <c r="C218" s="42" t="s">
        <v>32</v>
      </c>
      <c r="D218" s="44">
        <v>21.79</v>
      </c>
      <c r="E218" s="44">
        <v>21.1</v>
      </c>
      <c r="F218">
        <v>2009</v>
      </c>
    </row>
    <row r="219" spans="1:6" ht="15" customHeight="1" x14ac:dyDescent="0.3">
      <c r="A219" s="42" t="s">
        <v>325</v>
      </c>
      <c r="B219" s="43">
        <v>40094</v>
      </c>
      <c r="C219" s="42" t="s">
        <v>32</v>
      </c>
      <c r="D219" s="44">
        <v>18.78</v>
      </c>
      <c r="E219" s="44">
        <v>18.77</v>
      </c>
      <c r="F219">
        <v>2009</v>
      </c>
    </row>
    <row r="220" spans="1:6" ht="15" customHeight="1" x14ac:dyDescent="0.3">
      <c r="A220" s="42" t="s">
        <v>326</v>
      </c>
      <c r="B220" s="43">
        <v>40122</v>
      </c>
      <c r="C220" s="42" t="s">
        <v>32</v>
      </c>
      <c r="D220" s="44">
        <v>14.15</v>
      </c>
      <c r="E220" s="44">
        <v>14.16</v>
      </c>
      <c r="F220">
        <v>2009</v>
      </c>
    </row>
    <row r="221" spans="1:6" ht="15" customHeight="1" x14ac:dyDescent="0.3">
      <c r="A221" s="42" t="s">
        <v>327</v>
      </c>
      <c r="B221" s="43">
        <v>40154</v>
      </c>
      <c r="C221" s="42" t="s">
        <v>32</v>
      </c>
      <c r="D221" s="44">
        <v>10.16</v>
      </c>
      <c r="E221" s="44">
        <v>10.68</v>
      </c>
      <c r="F221">
        <v>2009</v>
      </c>
    </row>
    <row r="222" spans="1:6" ht="15" customHeight="1" x14ac:dyDescent="0.3">
      <c r="A222" s="42" t="s">
        <v>328</v>
      </c>
      <c r="B222" s="43">
        <v>40186</v>
      </c>
      <c r="C222" s="42" t="s">
        <v>32</v>
      </c>
      <c r="D222" s="44">
        <v>2.99</v>
      </c>
      <c r="E222" s="44">
        <v>3.37</v>
      </c>
      <c r="F222">
        <v>2010</v>
      </c>
    </row>
    <row r="223" spans="1:6" ht="15" customHeight="1" x14ac:dyDescent="0.3">
      <c r="A223" s="42" t="s">
        <v>329</v>
      </c>
      <c r="B223" s="43">
        <v>40218</v>
      </c>
      <c r="C223" s="42" t="s">
        <v>32</v>
      </c>
      <c r="D223" s="44">
        <v>0.76</v>
      </c>
      <c r="E223" s="44">
        <v>1.54</v>
      </c>
      <c r="F223">
        <v>2010</v>
      </c>
    </row>
    <row r="224" spans="1:6" ht="15" customHeight="1" x14ac:dyDescent="0.3">
      <c r="A224" s="42" t="s">
        <v>330</v>
      </c>
      <c r="B224" s="43">
        <v>40242</v>
      </c>
      <c r="C224" s="42" t="s">
        <v>32</v>
      </c>
      <c r="D224" s="44">
        <v>2.12</v>
      </c>
      <c r="E224" s="44">
        <v>1.98</v>
      </c>
      <c r="F224">
        <v>2010</v>
      </c>
    </row>
    <row r="225" spans="1:6" ht="15" customHeight="1" x14ac:dyDescent="0.3">
      <c r="A225" s="42" t="s">
        <v>332</v>
      </c>
      <c r="B225" s="43">
        <v>40269</v>
      </c>
      <c r="C225" s="42" t="s">
        <v>32</v>
      </c>
      <c r="D225" s="44">
        <v>5.82</v>
      </c>
      <c r="E225" s="44">
        <v>4.91</v>
      </c>
      <c r="F225">
        <v>2010</v>
      </c>
    </row>
    <row r="226" spans="1:6" ht="15" customHeight="1" x14ac:dyDescent="0.3">
      <c r="A226" s="42" t="s">
        <v>333</v>
      </c>
      <c r="B226" s="43">
        <v>40303</v>
      </c>
      <c r="C226" s="42" t="s">
        <v>32</v>
      </c>
      <c r="D226" s="44">
        <v>13.02</v>
      </c>
      <c r="E226" s="44">
        <v>8.25</v>
      </c>
      <c r="F226">
        <v>2010</v>
      </c>
    </row>
    <row r="227" spans="1:6" ht="15" customHeight="1" x14ac:dyDescent="0.3">
      <c r="A227" s="42" t="s">
        <v>334</v>
      </c>
      <c r="B227" s="43">
        <v>40332</v>
      </c>
      <c r="C227" s="42" t="s">
        <v>32</v>
      </c>
      <c r="D227" s="44">
        <v>14.93</v>
      </c>
      <c r="E227" s="44">
        <v>11.73</v>
      </c>
      <c r="F227">
        <v>2010</v>
      </c>
    </row>
    <row r="228" spans="1:6" ht="15" customHeight="1" x14ac:dyDescent="0.3">
      <c r="A228" s="42" t="s">
        <v>335</v>
      </c>
      <c r="B228" s="43">
        <v>40347</v>
      </c>
      <c r="C228" s="42" t="s">
        <v>32</v>
      </c>
      <c r="D228" s="45"/>
      <c r="E228" s="45"/>
      <c r="F228">
        <v>2010</v>
      </c>
    </row>
    <row r="229" spans="1:6" ht="15" customHeight="1" x14ac:dyDescent="0.3">
      <c r="A229" s="42" t="s">
        <v>336</v>
      </c>
      <c r="B229" s="43">
        <v>40368</v>
      </c>
      <c r="C229" s="42" t="s">
        <v>32</v>
      </c>
      <c r="D229" s="44">
        <v>24.52</v>
      </c>
      <c r="E229" s="44">
        <v>16.91</v>
      </c>
      <c r="F229">
        <v>2010</v>
      </c>
    </row>
    <row r="230" spans="1:6" ht="15" customHeight="1" x14ac:dyDescent="0.3">
      <c r="A230" s="42" t="s">
        <v>337</v>
      </c>
      <c r="B230" s="43">
        <v>40382</v>
      </c>
      <c r="C230" s="42" t="s">
        <v>32</v>
      </c>
      <c r="D230" s="44">
        <v>22.67</v>
      </c>
      <c r="E230" s="44">
        <v>19.12</v>
      </c>
      <c r="F230">
        <v>2010</v>
      </c>
    </row>
    <row r="231" spans="1:6" ht="15" customHeight="1" x14ac:dyDescent="0.3">
      <c r="A231" s="42" t="s">
        <v>338</v>
      </c>
      <c r="B231" s="43">
        <v>40394</v>
      </c>
      <c r="C231" s="42" t="s">
        <v>32</v>
      </c>
      <c r="D231" s="44">
        <v>23.03</v>
      </c>
      <c r="E231" s="44">
        <v>20.8</v>
      </c>
      <c r="F231">
        <v>2010</v>
      </c>
    </row>
    <row r="232" spans="1:6" ht="15" customHeight="1" x14ac:dyDescent="0.3">
      <c r="A232" s="42" t="s">
        <v>339</v>
      </c>
      <c r="B232" s="43">
        <v>40409</v>
      </c>
      <c r="C232" s="42" t="s">
        <v>32</v>
      </c>
      <c r="D232" s="44">
        <v>23.44</v>
      </c>
      <c r="E232" s="44">
        <v>22.22</v>
      </c>
      <c r="F232">
        <v>2010</v>
      </c>
    </row>
    <row r="233" spans="1:6" ht="15" customHeight="1" x14ac:dyDescent="0.3">
      <c r="A233" s="42" t="s">
        <v>340</v>
      </c>
      <c r="B233" s="43">
        <v>40422</v>
      </c>
      <c r="C233" s="42" t="s">
        <v>32</v>
      </c>
      <c r="D233" s="44">
        <v>23.37</v>
      </c>
      <c r="E233" s="44">
        <v>22.26</v>
      </c>
      <c r="F233">
        <v>2010</v>
      </c>
    </row>
    <row r="234" spans="1:6" ht="15" customHeight="1" x14ac:dyDescent="0.3">
      <c r="A234" s="42" t="s">
        <v>341</v>
      </c>
      <c r="B234" s="43">
        <v>40463</v>
      </c>
      <c r="C234" s="42" t="s">
        <v>32</v>
      </c>
      <c r="D234" s="44">
        <v>18.95</v>
      </c>
      <c r="E234" s="44">
        <v>19.05</v>
      </c>
      <c r="F234">
        <v>2010</v>
      </c>
    </row>
    <row r="235" spans="1:6" ht="15" customHeight="1" x14ac:dyDescent="0.3">
      <c r="A235" s="42" t="s">
        <v>342</v>
      </c>
      <c r="B235" s="43">
        <v>40487</v>
      </c>
      <c r="C235" s="42" t="s">
        <v>32</v>
      </c>
      <c r="D235" s="44">
        <v>13.34</v>
      </c>
      <c r="E235" s="44">
        <v>14.35</v>
      </c>
      <c r="F235">
        <v>2010</v>
      </c>
    </row>
    <row r="236" spans="1:6" ht="15" customHeight="1" x14ac:dyDescent="0.3">
      <c r="A236" s="42" t="s">
        <v>343</v>
      </c>
      <c r="B236" s="43">
        <v>40515</v>
      </c>
      <c r="C236" s="42" t="s">
        <v>32</v>
      </c>
      <c r="D236" s="44">
        <v>9.9600000000000009</v>
      </c>
      <c r="E236" s="44">
        <v>10.63</v>
      </c>
      <c r="F236">
        <v>2010</v>
      </c>
    </row>
    <row r="237" spans="1:6" ht="15" customHeight="1" x14ac:dyDescent="0.3">
      <c r="A237" s="42" t="s">
        <v>344</v>
      </c>
      <c r="B237" s="43">
        <v>40547</v>
      </c>
      <c r="C237" s="42" t="s">
        <v>32</v>
      </c>
      <c r="D237" s="44">
        <v>3.27</v>
      </c>
      <c r="E237" s="44">
        <v>3.81</v>
      </c>
      <c r="F237">
        <v>2011</v>
      </c>
    </row>
    <row r="238" spans="1:6" ht="15" customHeight="1" x14ac:dyDescent="0.3">
      <c r="A238" s="42" t="s">
        <v>345</v>
      </c>
      <c r="B238" s="43">
        <v>40581</v>
      </c>
      <c r="C238" s="42" t="s">
        <v>32</v>
      </c>
      <c r="D238" s="44">
        <v>0.98</v>
      </c>
      <c r="E238" s="44">
        <v>0.87</v>
      </c>
      <c r="F238">
        <v>2011</v>
      </c>
    </row>
    <row r="239" spans="1:6" ht="15" customHeight="1" x14ac:dyDescent="0.3">
      <c r="A239" s="42" t="s">
        <v>347</v>
      </c>
      <c r="B239" s="43">
        <v>40617</v>
      </c>
      <c r="C239" s="42" t="s">
        <v>32</v>
      </c>
      <c r="D239" s="44">
        <v>3</v>
      </c>
      <c r="E239" s="46">
        <v>2.4500000000000002</v>
      </c>
      <c r="F239">
        <v>2011</v>
      </c>
    </row>
    <row r="240" spans="1:6" ht="15" customHeight="1" x14ac:dyDescent="0.3">
      <c r="A240" s="42" t="s">
        <v>348</v>
      </c>
      <c r="B240" s="43">
        <v>40641</v>
      </c>
      <c r="C240" s="42" t="s">
        <v>32</v>
      </c>
      <c r="D240" s="44">
        <v>5.04</v>
      </c>
      <c r="E240" s="44">
        <v>4.0999999999999996</v>
      </c>
      <c r="F240">
        <v>2011</v>
      </c>
    </row>
    <row r="241" spans="1:6" ht="15" customHeight="1" x14ac:dyDescent="0.3">
      <c r="A241" s="42" t="s">
        <v>349</v>
      </c>
      <c r="B241" s="43">
        <v>40667</v>
      </c>
      <c r="C241" s="42" t="s">
        <v>32</v>
      </c>
      <c r="D241" s="44">
        <v>10.14</v>
      </c>
      <c r="E241" s="44">
        <v>7.79</v>
      </c>
      <c r="F241">
        <v>2011</v>
      </c>
    </row>
    <row r="242" spans="1:6" ht="15" customHeight="1" x14ac:dyDescent="0.3">
      <c r="A242" s="42" t="s">
        <v>350</v>
      </c>
      <c r="B242" s="43">
        <v>40700</v>
      </c>
      <c r="C242" s="42" t="s">
        <v>32</v>
      </c>
      <c r="D242" s="45"/>
      <c r="E242" s="45"/>
      <c r="F242">
        <v>2011</v>
      </c>
    </row>
    <row r="243" spans="1:6" ht="15" customHeight="1" x14ac:dyDescent="0.3">
      <c r="A243" s="42" t="s">
        <v>351</v>
      </c>
      <c r="B243" s="43">
        <v>40710</v>
      </c>
      <c r="C243" s="42" t="s">
        <v>32</v>
      </c>
      <c r="D243" s="44">
        <v>17.399999999999999</v>
      </c>
      <c r="E243" s="44">
        <v>14.19</v>
      </c>
      <c r="F243">
        <v>2011</v>
      </c>
    </row>
    <row r="244" spans="1:6" ht="15" customHeight="1" x14ac:dyDescent="0.3">
      <c r="A244" s="42" t="s">
        <v>352</v>
      </c>
      <c r="B244" s="43">
        <v>40731</v>
      </c>
      <c r="C244" s="42" t="s">
        <v>32</v>
      </c>
      <c r="D244" s="44">
        <v>20.38</v>
      </c>
      <c r="E244" s="44">
        <v>15.77</v>
      </c>
      <c r="F244">
        <v>2011</v>
      </c>
    </row>
    <row r="245" spans="1:6" ht="15" customHeight="1" x14ac:dyDescent="0.3">
      <c r="A245" s="42" t="s">
        <v>353</v>
      </c>
      <c r="B245" s="43">
        <v>40743</v>
      </c>
      <c r="C245" s="42" t="s">
        <v>32</v>
      </c>
      <c r="D245" s="44">
        <v>19.97</v>
      </c>
      <c r="E245" s="44">
        <v>17.989999999999998</v>
      </c>
      <c r="F245">
        <v>2011</v>
      </c>
    </row>
    <row r="246" spans="1:6" ht="15" customHeight="1" x14ac:dyDescent="0.3">
      <c r="A246" s="42" t="s">
        <v>354</v>
      </c>
      <c r="B246" s="43">
        <v>40757</v>
      </c>
      <c r="C246" s="42" t="s">
        <v>32</v>
      </c>
      <c r="D246" s="44">
        <v>22.5</v>
      </c>
      <c r="E246" s="44">
        <v>20.61</v>
      </c>
      <c r="F246">
        <v>2011</v>
      </c>
    </row>
    <row r="247" spans="1:6" ht="15" customHeight="1" x14ac:dyDescent="0.3">
      <c r="A247" s="42" t="s">
        <v>355</v>
      </c>
      <c r="B247" s="43">
        <v>40771</v>
      </c>
      <c r="C247" s="42" t="s">
        <v>32</v>
      </c>
      <c r="D247" s="44">
        <v>22.24</v>
      </c>
      <c r="E247" s="44">
        <v>21.23</v>
      </c>
      <c r="F247">
        <v>2011</v>
      </c>
    </row>
    <row r="248" spans="1:6" ht="15" customHeight="1" x14ac:dyDescent="0.3">
      <c r="A248" s="42" t="s">
        <v>356</v>
      </c>
      <c r="B248" s="43">
        <v>40787</v>
      </c>
      <c r="C248" s="42" t="s">
        <v>32</v>
      </c>
      <c r="D248" s="44">
        <v>22.69</v>
      </c>
      <c r="E248" s="44">
        <v>22.12</v>
      </c>
      <c r="F248">
        <v>2011</v>
      </c>
    </row>
    <row r="249" spans="1:6" ht="15" customHeight="1" x14ac:dyDescent="0.3">
      <c r="A249" s="42" t="s">
        <v>357</v>
      </c>
      <c r="B249" s="43">
        <v>40823</v>
      </c>
      <c r="C249" s="42" t="s">
        <v>32</v>
      </c>
      <c r="D249" s="45"/>
      <c r="E249" s="45"/>
      <c r="F249">
        <v>2011</v>
      </c>
    </row>
    <row r="250" spans="1:6" ht="15" customHeight="1" x14ac:dyDescent="0.3">
      <c r="A250" s="42" t="s">
        <v>358</v>
      </c>
      <c r="B250" s="43">
        <v>40861</v>
      </c>
      <c r="C250" s="42" t="s">
        <v>32</v>
      </c>
      <c r="D250" s="44">
        <v>13.46</v>
      </c>
      <c r="E250" s="44">
        <v>13.5</v>
      </c>
      <c r="F250">
        <v>2011</v>
      </c>
    </row>
    <row r="251" spans="1:6" ht="15" customHeight="1" x14ac:dyDescent="0.3">
      <c r="A251" s="42" t="s">
        <v>359</v>
      </c>
      <c r="B251" s="43">
        <v>40878</v>
      </c>
      <c r="C251" s="42" t="s">
        <v>32</v>
      </c>
      <c r="D251" s="44">
        <v>11.63</v>
      </c>
      <c r="E251" s="44">
        <v>12.05</v>
      </c>
      <c r="F251">
        <v>2011</v>
      </c>
    </row>
    <row r="252" spans="1:6" ht="15" customHeight="1" x14ac:dyDescent="0.3">
      <c r="A252" s="42" t="s">
        <v>360</v>
      </c>
      <c r="B252" s="43">
        <v>40919</v>
      </c>
      <c r="C252" s="42" t="s">
        <v>32</v>
      </c>
      <c r="D252" s="44">
        <v>6.65</v>
      </c>
      <c r="E252" s="44">
        <v>6.8</v>
      </c>
      <c r="F252">
        <v>2012</v>
      </c>
    </row>
    <row r="253" spans="1:6" ht="15" customHeight="1" x14ac:dyDescent="0.3">
      <c r="A253" s="42" t="s">
        <v>361</v>
      </c>
      <c r="B253" s="43">
        <v>40946</v>
      </c>
      <c r="C253" s="42" t="s">
        <v>32</v>
      </c>
      <c r="D253" s="44">
        <v>4.43</v>
      </c>
      <c r="E253" s="44">
        <v>4.9000000000000004</v>
      </c>
      <c r="F253">
        <v>2012</v>
      </c>
    </row>
    <row r="254" spans="1:6" ht="15" customHeight="1" x14ac:dyDescent="0.3">
      <c r="A254" s="42" t="s">
        <v>363</v>
      </c>
      <c r="B254" s="43">
        <v>40974</v>
      </c>
      <c r="C254" s="42" t="s">
        <v>32</v>
      </c>
      <c r="D254" s="46">
        <v>4.24</v>
      </c>
      <c r="E254" s="46">
        <v>4.6399999999999997</v>
      </c>
      <c r="F254">
        <v>2012</v>
      </c>
    </row>
    <row r="255" spans="1:6" ht="15" customHeight="1" x14ac:dyDescent="0.3">
      <c r="A255" s="42" t="s">
        <v>365</v>
      </c>
      <c r="B255" s="43">
        <v>41003</v>
      </c>
      <c r="C255" s="42" t="s">
        <v>32</v>
      </c>
      <c r="D255" s="44">
        <v>8.4499999999999993</v>
      </c>
      <c r="E255" s="44">
        <v>7.14</v>
      </c>
      <c r="F255">
        <v>2012</v>
      </c>
    </row>
    <row r="256" spans="1:6" ht="15" customHeight="1" x14ac:dyDescent="0.3">
      <c r="A256" s="42" t="s">
        <v>366</v>
      </c>
      <c r="B256" s="43">
        <v>41032</v>
      </c>
      <c r="C256" s="42" t="s">
        <v>32</v>
      </c>
      <c r="D256" s="44">
        <v>10.38</v>
      </c>
      <c r="E256" s="44">
        <v>10.27</v>
      </c>
      <c r="F256">
        <v>2012</v>
      </c>
    </row>
    <row r="257" spans="1:6" ht="15" customHeight="1" x14ac:dyDescent="0.3">
      <c r="A257" s="42" t="s">
        <v>367</v>
      </c>
      <c r="B257" s="43">
        <v>41060</v>
      </c>
      <c r="C257" s="42" t="s">
        <v>32</v>
      </c>
      <c r="D257" s="44">
        <v>17.829999999999998</v>
      </c>
      <c r="E257" s="44">
        <v>13.43</v>
      </c>
      <c r="F257">
        <v>2012</v>
      </c>
    </row>
    <row r="258" spans="1:6" ht="15" customHeight="1" x14ac:dyDescent="0.3">
      <c r="A258" s="42" t="s">
        <v>368</v>
      </c>
      <c r="B258" s="43">
        <v>41072</v>
      </c>
      <c r="C258" s="42" t="s">
        <v>32</v>
      </c>
      <c r="D258" s="44">
        <v>18.98</v>
      </c>
      <c r="E258" s="44">
        <v>15.78</v>
      </c>
      <c r="F258">
        <v>2012</v>
      </c>
    </row>
    <row r="259" spans="1:6" ht="15" customHeight="1" x14ac:dyDescent="0.3">
      <c r="A259" s="42" t="s">
        <v>369</v>
      </c>
      <c r="B259" s="43">
        <v>41088</v>
      </c>
      <c r="C259" s="42" t="s">
        <v>32</v>
      </c>
      <c r="D259" s="44">
        <v>19.07</v>
      </c>
      <c r="E259" s="44">
        <v>16.46</v>
      </c>
      <c r="F259">
        <v>2012</v>
      </c>
    </row>
    <row r="260" spans="1:6" ht="15" customHeight="1" x14ac:dyDescent="0.3">
      <c r="A260" s="42" t="s">
        <v>370</v>
      </c>
      <c r="B260" s="43">
        <v>41107</v>
      </c>
      <c r="C260" s="42" t="s">
        <v>32</v>
      </c>
      <c r="D260" s="44">
        <v>23.3</v>
      </c>
      <c r="E260" s="44">
        <v>19.079999999999998</v>
      </c>
      <c r="F260">
        <v>2012</v>
      </c>
    </row>
    <row r="261" spans="1:6" ht="15" customHeight="1" x14ac:dyDescent="0.3">
      <c r="A261" s="42" t="s">
        <v>371</v>
      </c>
      <c r="B261" s="43">
        <v>41122</v>
      </c>
      <c r="C261" s="42" t="s">
        <v>32</v>
      </c>
      <c r="D261" s="44">
        <v>22.28</v>
      </c>
      <c r="E261" s="44">
        <v>20.93</v>
      </c>
      <c r="F261">
        <v>2012</v>
      </c>
    </row>
    <row r="262" spans="1:6" ht="15" customHeight="1" x14ac:dyDescent="0.3">
      <c r="A262" s="42" t="s">
        <v>372</v>
      </c>
      <c r="B262" s="43">
        <v>41136</v>
      </c>
      <c r="C262" s="42" t="s">
        <v>32</v>
      </c>
      <c r="D262" s="44">
        <v>24.38</v>
      </c>
      <c r="E262" s="44">
        <v>22</v>
      </c>
      <c r="F262">
        <v>2012</v>
      </c>
    </row>
    <row r="263" spans="1:6" ht="15" customHeight="1" x14ac:dyDescent="0.3">
      <c r="A263" s="42" t="s">
        <v>373</v>
      </c>
      <c r="B263" s="43">
        <v>41151</v>
      </c>
      <c r="C263" s="42" t="s">
        <v>32</v>
      </c>
      <c r="D263" s="44">
        <v>23.48</v>
      </c>
      <c r="E263" s="44">
        <v>23.33</v>
      </c>
      <c r="F263">
        <v>2012</v>
      </c>
    </row>
    <row r="264" spans="1:6" ht="15" customHeight="1" x14ac:dyDescent="0.3">
      <c r="A264" s="42" t="s">
        <v>375</v>
      </c>
      <c r="B264" s="43">
        <v>41184</v>
      </c>
      <c r="C264" s="42" t="s">
        <v>32</v>
      </c>
      <c r="D264" s="44">
        <v>20.420000000000002</v>
      </c>
      <c r="E264" s="44">
        <v>20.76</v>
      </c>
      <c r="F264">
        <v>2012</v>
      </c>
    </row>
    <row r="265" spans="1:6" ht="15" customHeight="1" x14ac:dyDescent="0.3">
      <c r="A265" s="42" t="s">
        <v>376</v>
      </c>
      <c r="B265" s="43">
        <v>41228</v>
      </c>
      <c r="C265" s="42" t="s">
        <v>32</v>
      </c>
      <c r="D265" s="44">
        <v>12.17</v>
      </c>
      <c r="E265" s="44">
        <v>12.23</v>
      </c>
      <c r="F265">
        <v>2012</v>
      </c>
    </row>
    <row r="266" spans="1:6" ht="15" customHeight="1" x14ac:dyDescent="0.3">
      <c r="A266" s="42" t="s">
        <v>377</v>
      </c>
      <c r="B266" s="43">
        <v>41248</v>
      </c>
      <c r="C266" s="42" t="s">
        <v>32</v>
      </c>
      <c r="D266" s="44">
        <v>9.92</v>
      </c>
      <c r="E266" s="44">
        <v>9.93</v>
      </c>
      <c r="F266">
        <v>2012</v>
      </c>
    </row>
    <row r="267" spans="1:6" ht="15" customHeight="1" x14ac:dyDescent="0.3">
      <c r="A267" s="42" t="s">
        <v>378</v>
      </c>
      <c r="B267" s="43">
        <v>41285</v>
      </c>
      <c r="C267" s="42" t="s">
        <v>32</v>
      </c>
      <c r="D267" s="46">
        <v>5.08</v>
      </c>
      <c r="E267" s="46">
        <v>5.21</v>
      </c>
      <c r="F267">
        <v>2013</v>
      </c>
    </row>
    <row r="268" spans="1:6" ht="15" customHeight="1" x14ac:dyDescent="0.3">
      <c r="A268" s="42" t="s">
        <v>379</v>
      </c>
      <c r="B268" s="43">
        <v>41310</v>
      </c>
      <c r="C268" s="42" t="s">
        <v>32</v>
      </c>
      <c r="D268" s="44">
        <v>2.36</v>
      </c>
      <c r="E268" s="44">
        <v>2.91</v>
      </c>
      <c r="F268">
        <v>2013</v>
      </c>
    </row>
    <row r="269" spans="1:6" ht="15" customHeight="1" x14ac:dyDescent="0.3">
      <c r="A269" s="42" t="s">
        <v>381</v>
      </c>
      <c r="B269" s="43">
        <v>41344</v>
      </c>
      <c r="C269" s="42" t="s">
        <v>32</v>
      </c>
      <c r="D269" s="44">
        <v>3.03</v>
      </c>
      <c r="E269" s="44">
        <v>2.48</v>
      </c>
      <c r="F269">
        <v>2013</v>
      </c>
    </row>
    <row r="270" spans="1:6" ht="15" customHeight="1" x14ac:dyDescent="0.3">
      <c r="A270" s="42" t="s">
        <v>382</v>
      </c>
      <c r="B270" s="43">
        <v>41369</v>
      </c>
      <c r="C270" s="42" t="s">
        <v>32</v>
      </c>
      <c r="D270" s="44">
        <v>4.1100000000000003</v>
      </c>
      <c r="E270" s="44">
        <v>4.0199999999999996</v>
      </c>
      <c r="F270">
        <v>2013</v>
      </c>
    </row>
    <row r="271" spans="1:6" ht="15" customHeight="1" x14ac:dyDescent="0.3">
      <c r="A271" s="42" t="s">
        <v>383</v>
      </c>
      <c r="B271" s="43">
        <v>41394</v>
      </c>
      <c r="C271" s="42" t="s">
        <v>32</v>
      </c>
      <c r="D271" s="44">
        <v>8.89</v>
      </c>
      <c r="E271" s="44">
        <v>8.44</v>
      </c>
      <c r="F271">
        <v>2013</v>
      </c>
    </row>
    <row r="272" spans="1:6" ht="15" customHeight="1" x14ac:dyDescent="0.3">
      <c r="A272" s="42" t="s">
        <v>384</v>
      </c>
      <c r="B272" s="43">
        <v>41429</v>
      </c>
      <c r="C272" s="42" t="s">
        <v>32</v>
      </c>
      <c r="D272" s="44">
        <v>14.58</v>
      </c>
      <c r="E272" s="44">
        <v>12.32</v>
      </c>
      <c r="F272">
        <v>2013</v>
      </c>
    </row>
    <row r="273" spans="1:6" ht="15" customHeight="1" x14ac:dyDescent="0.3">
      <c r="A273" s="42" t="s">
        <v>385</v>
      </c>
      <c r="B273" s="43">
        <v>41446</v>
      </c>
      <c r="C273" s="42" t="s">
        <v>32</v>
      </c>
      <c r="D273" s="44">
        <v>21.13</v>
      </c>
      <c r="E273" s="44">
        <v>15</v>
      </c>
      <c r="F273">
        <v>2013</v>
      </c>
    </row>
    <row r="274" spans="1:6" ht="15" customHeight="1" x14ac:dyDescent="0.3">
      <c r="A274" s="42" t="s">
        <v>386</v>
      </c>
      <c r="B274" s="43">
        <v>41458</v>
      </c>
      <c r="C274" s="42" t="s">
        <v>32</v>
      </c>
      <c r="D274" s="44">
        <v>20.98</v>
      </c>
      <c r="E274" s="44">
        <v>16.43</v>
      </c>
      <c r="F274">
        <v>2013</v>
      </c>
    </row>
    <row r="275" spans="1:6" ht="15" customHeight="1" x14ac:dyDescent="0.3">
      <c r="A275" s="42" t="s">
        <v>387</v>
      </c>
      <c r="B275" s="43">
        <v>41471</v>
      </c>
      <c r="C275" s="42" t="s">
        <v>32</v>
      </c>
      <c r="D275" s="44">
        <v>22.79</v>
      </c>
      <c r="E275" s="44">
        <v>18.47</v>
      </c>
      <c r="F275">
        <v>2013</v>
      </c>
    </row>
    <row r="276" spans="1:6" ht="15" customHeight="1" x14ac:dyDescent="0.3">
      <c r="A276" s="42" t="s">
        <v>388</v>
      </c>
      <c r="B276" s="43">
        <v>41485</v>
      </c>
      <c r="C276" s="42" t="s">
        <v>32</v>
      </c>
      <c r="D276" s="46">
        <v>21.82</v>
      </c>
      <c r="E276" s="46">
        <v>19.95</v>
      </c>
      <c r="F276">
        <v>2013</v>
      </c>
    </row>
    <row r="277" spans="1:6" ht="15" customHeight="1" x14ac:dyDescent="0.3">
      <c r="A277" s="42" t="s">
        <v>389</v>
      </c>
      <c r="B277" s="43">
        <v>41499</v>
      </c>
      <c r="C277" s="42" t="s">
        <v>32</v>
      </c>
      <c r="D277" s="44">
        <v>22.6</v>
      </c>
      <c r="E277" s="44">
        <v>20.75</v>
      </c>
      <c r="F277">
        <v>2013</v>
      </c>
    </row>
    <row r="278" spans="1:6" ht="15" customHeight="1" x14ac:dyDescent="0.3">
      <c r="A278" s="42" t="s">
        <v>390</v>
      </c>
      <c r="B278" s="43">
        <v>41515</v>
      </c>
      <c r="C278" s="42" t="s">
        <v>32</v>
      </c>
      <c r="D278" s="46">
        <v>22.53</v>
      </c>
      <c r="E278" s="44">
        <v>21.82</v>
      </c>
      <c r="F278">
        <v>2013</v>
      </c>
    </row>
    <row r="279" spans="1:6" ht="15" customHeight="1" x14ac:dyDescent="0.3">
      <c r="A279" s="42" t="s">
        <v>391</v>
      </c>
      <c r="B279" s="43">
        <v>41526</v>
      </c>
      <c r="C279" s="42" t="s">
        <v>32</v>
      </c>
      <c r="D279" s="44">
        <v>22.34</v>
      </c>
      <c r="E279" s="44">
        <v>21.65</v>
      </c>
      <c r="F279">
        <v>2013</v>
      </c>
    </row>
    <row r="280" spans="1:6" ht="15" customHeight="1" x14ac:dyDescent="0.3">
      <c r="A280" s="42" t="s">
        <v>392</v>
      </c>
      <c r="B280" s="43">
        <v>41550</v>
      </c>
      <c r="C280" s="42" t="s">
        <v>32</v>
      </c>
      <c r="D280" s="44">
        <v>19.97</v>
      </c>
      <c r="E280" s="44">
        <v>20.13</v>
      </c>
      <c r="F280">
        <v>2013</v>
      </c>
    </row>
    <row r="281" spans="1:6" ht="15" customHeight="1" x14ac:dyDescent="0.3">
      <c r="A281" s="42" t="s">
        <v>393</v>
      </c>
      <c r="B281" s="43">
        <v>41584</v>
      </c>
      <c r="C281" s="42" t="s">
        <v>32</v>
      </c>
      <c r="D281" s="44">
        <v>14.93</v>
      </c>
      <c r="E281" s="44">
        <v>14.94</v>
      </c>
      <c r="F281">
        <v>2013</v>
      </c>
    </row>
    <row r="282" spans="1:6" ht="15" customHeight="1" x14ac:dyDescent="0.3">
      <c r="A282" s="42" t="s">
        <v>394</v>
      </c>
      <c r="B282" s="43">
        <v>41617</v>
      </c>
      <c r="C282" s="42" t="s">
        <v>32</v>
      </c>
      <c r="D282" s="44">
        <v>8.59</v>
      </c>
      <c r="E282" s="44">
        <v>8.59</v>
      </c>
      <c r="F282">
        <v>2013</v>
      </c>
    </row>
    <row r="283" spans="1:6" ht="15" customHeight="1" x14ac:dyDescent="0.3">
      <c r="A283" s="42" t="s">
        <v>395</v>
      </c>
      <c r="B283" s="43">
        <v>41649</v>
      </c>
      <c r="C283" s="42" t="s">
        <v>32</v>
      </c>
      <c r="D283" s="45"/>
      <c r="E283" s="44">
        <v>2.91</v>
      </c>
      <c r="F283">
        <v>2014</v>
      </c>
    </row>
    <row r="284" spans="1:6" ht="15" customHeight="1" x14ac:dyDescent="0.3">
      <c r="A284" s="42" t="s">
        <v>396</v>
      </c>
      <c r="B284" s="43">
        <v>41674</v>
      </c>
      <c r="C284" s="42" t="s">
        <v>32</v>
      </c>
      <c r="D284" s="44">
        <v>1.01</v>
      </c>
      <c r="E284" s="44">
        <v>1.04</v>
      </c>
      <c r="F284">
        <v>2014</v>
      </c>
    </row>
    <row r="285" spans="1:6" ht="15" customHeight="1" x14ac:dyDescent="0.3">
      <c r="A285" s="42" t="s">
        <v>398</v>
      </c>
      <c r="B285" s="43">
        <v>41702</v>
      </c>
      <c r="C285" s="42" t="s">
        <v>32</v>
      </c>
      <c r="D285" s="44">
        <v>-7.0000000000000007E-2</v>
      </c>
      <c r="E285" s="44">
        <v>0.09</v>
      </c>
      <c r="F285">
        <v>2014</v>
      </c>
    </row>
    <row r="286" spans="1:6" ht="15" customHeight="1" x14ac:dyDescent="0.3">
      <c r="A286" s="42" t="s">
        <v>399</v>
      </c>
      <c r="B286" s="43">
        <v>41732</v>
      </c>
      <c r="C286" s="42" t="s">
        <v>32</v>
      </c>
      <c r="D286" s="44">
        <v>2.52</v>
      </c>
      <c r="E286" s="44">
        <v>1.98</v>
      </c>
      <c r="F286">
        <v>2014</v>
      </c>
    </row>
    <row r="287" spans="1:6" ht="15" customHeight="1" x14ac:dyDescent="0.3">
      <c r="A287" s="42" t="s">
        <v>400</v>
      </c>
      <c r="B287" s="43">
        <v>41767</v>
      </c>
      <c r="C287" s="42" t="s">
        <v>32</v>
      </c>
      <c r="D287" s="44">
        <v>9.86</v>
      </c>
      <c r="E287" s="44">
        <v>7.54</v>
      </c>
      <c r="F287">
        <v>2014</v>
      </c>
    </row>
    <row r="288" spans="1:6" ht="15" customHeight="1" x14ac:dyDescent="0.3">
      <c r="A288" s="42" t="s">
        <v>401</v>
      </c>
      <c r="B288" s="43">
        <v>41794</v>
      </c>
      <c r="C288" s="42" t="s">
        <v>32</v>
      </c>
      <c r="D288" s="44">
        <v>15.31</v>
      </c>
      <c r="E288" s="44">
        <v>11.76</v>
      </c>
      <c r="F288">
        <v>2014</v>
      </c>
    </row>
    <row r="289" spans="1:6" ht="15" customHeight="1" x14ac:dyDescent="0.3">
      <c r="A289" s="42" t="s">
        <v>402</v>
      </c>
      <c r="B289" s="43">
        <v>41809</v>
      </c>
      <c r="C289" s="42" t="s">
        <v>32</v>
      </c>
      <c r="D289" s="44">
        <v>18.28</v>
      </c>
      <c r="E289" s="44">
        <v>12.94</v>
      </c>
      <c r="F289">
        <v>2014</v>
      </c>
    </row>
    <row r="290" spans="1:6" ht="15" customHeight="1" x14ac:dyDescent="0.3">
      <c r="A290" s="42" t="s">
        <v>403</v>
      </c>
      <c r="B290" s="43">
        <v>41821</v>
      </c>
      <c r="C290" s="42" t="s">
        <v>32</v>
      </c>
      <c r="D290" s="44">
        <v>21.48</v>
      </c>
      <c r="E290" s="44">
        <v>14.82</v>
      </c>
      <c r="F290">
        <v>2014</v>
      </c>
    </row>
    <row r="291" spans="1:6" ht="15" customHeight="1" x14ac:dyDescent="0.3">
      <c r="A291" s="42" t="s">
        <v>404</v>
      </c>
      <c r="B291" s="43">
        <v>41835</v>
      </c>
      <c r="C291" s="42" t="s">
        <v>32</v>
      </c>
      <c r="D291" s="44">
        <v>21.97</v>
      </c>
      <c r="E291" s="44">
        <v>18.170000000000002</v>
      </c>
      <c r="F291">
        <v>2014</v>
      </c>
    </row>
    <row r="292" spans="1:6" ht="15" customHeight="1" x14ac:dyDescent="0.3">
      <c r="A292" s="42" t="s">
        <v>405</v>
      </c>
      <c r="B292" s="43">
        <v>41856</v>
      </c>
      <c r="C292" s="42" t="s">
        <v>32</v>
      </c>
      <c r="D292" s="44">
        <v>23.14</v>
      </c>
      <c r="E292" s="44">
        <v>19.899999999999999</v>
      </c>
      <c r="F292">
        <v>2014</v>
      </c>
    </row>
    <row r="293" spans="1:6" ht="15" customHeight="1" x14ac:dyDescent="0.3">
      <c r="A293" s="42" t="s">
        <v>406</v>
      </c>
      <c r="B293" s="43">
        <v>41869</v>
      </c>
      <c r="C293" s="42" t="s">
        <v>32</v>
      </c>
      <c r="D293" s="44">
        <v>21.74</v>
      </c>
      <c r="E293" s="44">
        <v>21.29</v>
      </c>
      <c r="F293">
        <v>2014</v>
      </c>
    </row>
    <row r="294" spans="1:6" ht="15" customHeight="1" x14ac:dyDescent="0.3">
      <c r="A294" s="42" t="s">
        <v>407</v>
      </c>
      <c r="B294" s="43">
        <v>41885</v>
      </c>
      <c r="C294" s="42" t="s">
        <v>32</v>
      </c>
      <c r="D294" s="44">
        <v>23.07</v>
      </c>
      <c r="E294" s="44">
        <v>21.94</v>
      </c>
      <c r="F294">
        <v>2014</v>
      </c>
    </row>
    <row r="295" spans="1:6" ht="15" customHeight="1" x14ac:dyDescent="0.3">
      <c r="A295" s="42" t="s">
        <v>408</v>
      </c>
      <c r="B295" s="43">
        <v>41897</v>
      </c>
      <c r="C295" s="42" t="s">
        <v>32</v>
      </c>
      <c r="D295" s="44">
        <v>21.76</v>
      </c>
      <c r="E295" s="44">
        <v>21.56</v>
      </c>
      <c r="F295">
        <v>2014</v>
      </c>
    </row>
    <row r="296" spans="1:6" ht="15" customHeight="1" x14ac:dyDescent="0.3">
      <c r="A296" s="42" t="s">
        <v>409</v>
      </c>
      <c r="B296" s="43">
        <v>41915</v>
      </c>
      <c r="C296" s="42" t="s">
        <v>32</v>
      </c>
      <c r="D296" s="46">
        <v>20.16</v>
      </c>
      <c r="E296" s="44">
        <v>20.18</v>
      </c>
      <c r="F296">
        <v>2014</v>
      </c>
    </row>
    <row r="297" spans="1:6" ht="15" customHeight="1" x14ac:dyDescent="0.3">
      <c r="A297" s="42" t="s">
        <v>410</v>
      </c>
      <c r="B297" s="43">
        <v>41955</v>
      </c>
      <c r="C297" s="42" t="s">
        <v>32</v>
      </c>
      <c r="D297" s="44">
        <v>13.84</v>
      </c>
      <c r="E297" s="44">
        <v>13.57</v>
      </c>
      <c r="F297">
        <v>2014</v>
      </c>
    </row>
    <row r="298" spans="1:6" ht="15" customHeight="1" x14ac:dyDescent="0.3">
      <c r="A298" s="42" t="s">
        <v>411</v>
      </c>
      <c r="B298" s="43">
        <v>41985</v>
      </c>
      <c r="C298" s="42" t="s">
        <v>32</v>
      </c>
      <c r="D298" s="44">
        <v>7.42</v>
      </c>
      <c r="E298" s="44">
        <v>7.63</v>
      </c>
      <c r="F298">
        <v>2014</v>
      </c>
    </row>
    <row r="299" spans="1:6" ht="15" customHeight="1" x14ac:dyDescent="0.3">
      <c r="A299" s="42" t="s">
        <v>412</v>
      </c>
      <c r="B299" s="43">
        <v>42019</v>
      </c>
      <c r="C299" s="42" t="s">
        <v>32</v>
      </c>
      <c r="D299" s="44">
        <v>2.69</v>
      </c>
      <c r="E299" s="44">
        <v>3.17</v>
      </c>
      <c r="F299">
        <v>2015</v>
      </c>
    </row>
    <row r="300" spans="1:6" ht="15" customHeight="1" x14ac:dyDescent="0.3">
      <c r="A300" s="42" t="s">
        <v>413</v>
      </c>
      <c r="B300" s="43">
        <v>42041</v>
      </c>
      <c r="C300" s="42" t="s">
        <v>32</v>
      </c>
      <c r="D300" s="44">
        <v>0.49</v>
      </c>
      <c r="E300" s="44">
        <v>0.5</v>
      </c>
      <c r="F300">
        <v>2015</v>
      </c>
    </row>
    <row r="301" spans="1:6" ht="15" customHeight="1" x14ac:dyDescent="0.3">
      <c r="A301" s="42" t="s">
        <v>414</v>
      </c>
      <c r="B301" s="43">
        <v>42072</v>
      </c>
      <c r="C301" s="42" t="s">
        <v>32</v>
      </c>
      <c r="D301" s="44">
        <v>-1.05</v>
      </c>
      <c r="E301" s="44">
        <v>-1.08</v>
      </c>
      <c r="F301">
        <v>2015</v>
      </c>
    </row>
    <row r="302" spans="1:6" ht="15" customHeight="1" x14ac:dyDescent="0.3">
      <c r="A302" s="42" t="s">
        <v>416</v>
      </c>
      <c r="B302" s="43">
        <v>42094</v>
      </c>
      <c r="C302" s="42" t="s">
        <v>32</v>
      </c>
      <c r="D302" s="44">
        <v>1.08</v>
      </c>
      <c r="E302" s="44">
        <v>0.75</v>
      </c>
      <c r="F302">
        <v>2015</v>
      </c>
    </row>
    <row r="303" spans="1:6" ht="15" customHeight="1" x14ac:dyDescent="0.3">
      <c r="A303" s="42" t="s">
        <v>417</v>
      </c>
      <c r="B303" s="43">
        <v>42128</v>
      </c>
      <c r="C303" s="42" t="s">
        <v>32</v>
      </c>
      <c r="D303" s="44">
        <v>8.84</v>
      </c>
      <c r="E303" s="44">
        <v>6.07</v>
      </c>
      <c r="F303">
        <v>2015</v>
      </c>
    </row>
    <row r="304" spans="1:6" ht="15" customHeight="1" x14ac:dyDescent="0.3">
      <c r="A304" s="42" t="s">
        <v>418</v>
      </c>
      <c r="B304" s="43">
        <v>42156</v>
      </c>
      <c r="C304" s="42" t="s">
        <v>32</v>
      </c>
      <c r="D304" s="44">
        <v>13.58</v>
      </c>
      <c r="E304" s="44">
        <v>10.43</v>
      </c>
      <c r="F304">
        <v>2015</v>
      </c>
    </row>
    <row r="305" spans="1:6" ht="15" customHeight="1" x14ac:dyDescent="0.3">
      <c r="A305" s="42" t="s">
        <v>419</v>
      </c>
      <c r="B305" s="43">
        <v>42174</v>
      </c>
      <c r="C305" s="42" t="s">
        <v>32</v>
      </c>
      <c r="D305" s="44">
        <v>17.170000000000002</v>
      </c>
      <c r="E305" s="44">
        <v>14.09</v>
      </c>
      <c r="F305">
        <v>2015</v>
      </c>
    </row>
    <row r="306" spans="1:6" ht="15" customHeight="1" x14ac:dyDescent="0.3">
      <c r="A306" s="42" t="s">
        <v>420</v>
      </c>
      <c r="B306" s="43">
        <v>42193</v>
      </c>
      <c r="C306" s="42" t="s">
        <v>32</v>
      </c>
      <c r="D306" s="44">
        <v>21.11</v>
      </c>
      <c r="E306" s="44">
        <v>16.59</v>
      </c>
      <c r="F306">
        <v>2015</v>
      </c>
    </row>
    <row r="307" spans="1:6" ht="15" customHeight="1" x14ac:dyDescent="0.3">
      <c r="A307" s="42" t="s">
        <v>421</v>
      </c>
      <c r="B307" s="43">
        <v>42206</v>
      </c>
      <c r="C307" s="42" t="s">
        <v>32</v>
      </c>
      <c r="D307" s="44">
        <v>23.35</v>
      </c>
      <c r="E307" s="44">
        <v>18.77</v>
      </c>
      <c r="F307">
        <v>2015</v>
      </c>
    </row>
    <row r="308" spans="1:6" ht="15" customHeight="1" x14ac:dyDescent="0.3">
      <c r="A308" s="42" t="s">
        <v>422</v>
      </c>
      <c r="B308" s="43">
        <v>42221</v>
      </c>
      <c r="C308" s="42" t="s">
        <v>32</v>
      </c>
      <c r="D308" s="44">
        <v>22.53</v>
      </c>
      <c r="E308" s="44">
        <v>20.07</v>
      </c>
      <c r="F308">
        <v>2015</v>
      </c>
    </row>
    <row r="309" spans="1:6" ht="15" customHeight="1" x14ac:dyDescent="0.3">
      <c r="A309" s="42" t="s">
        <v>423</v>
      </c>
      <c r="B309" s="43">
        <v>42234</v>
      </c>
      <c r="C309" s="42" t="s">
        <v>32</v>
      </c>
      <c r="D309" s="44">
        <v>24.8</v>
      </c>
      <c r="E309" s="44">
        <v>21.58</v>
      </c>
      <c r="F309">
        <v>2015</v>
      </c>
    </row>
    <row r="310" spans="1:6" ht="15" customHeight="1" x14ac:dyDescent="0.3">
      <c r="A310" s="42" t="s">
        <v>424</v>
      </c>
      <c r="B310" s="43">
        <v>42249</v>
      </c>
      <c r="C310" s="42" t="s">
        <v>32</v>
      </c>
      <c r="D310" s="44">
        <v>23.85</v>
      </c>
      <c r="E310" s="44">
        <v>22.83</v>
      </c>
      <c r="F310">
        <v>2015</v>
      </c>
    </row>
    <row r="311" spans="1:6" ht="15" customHeight="1" x14ac:dyDescent="0.3">
      <c r="A311" s="42" t="s">
        <v>425</v>
      </c>
      <c r="B311" s="43">
        <v>42263</v>
      </c>
      <c r="C311" s="42" t="s">
        <v>32</v>
      </c>
      <c r="D311" s="44">
        <v>23.37</v>
      </c>
      <c r="E311" s="44">
        <v>23.13</v>
      </c>
      <c r="F311">
        <v>2015</v>
      </c>
    </row>
    <row r="312" spans="1:6" ht="15" customHeight="1" x14ac:dyDescent="0.3">
      <c r="A312" s="42" t="s">
        <v>426</v>
      </c>
      <c r="B312" s="43">
        <v>42286</v>
      </c>
      <c r="C312" s="42" t="s">
        <v>32</v>
      </c>
      <c r="D312" s="44">
        <v>19.32</v>
      </c>
      <c r="E312" s="44">
        <v>19.34</v>
      </c>
      <c r="F312">
        <v>2015</v>
      </c>
    </row>
    <row r="313" spans="1:6" ht="15" customHeight="1" x14ac:dyDescent="0.3">
      <c r="A313" s="42" t="s">
        <v>427</v>
      </c>
      <c r="B313" s="43">
        <v>42318</v>
      </c>
      <c r="C313" s="42" t="s">
        <v>32</v>
      </c>
      <c r="D313" s="44">
        <v>15.37</v>
      </c>
      <c r="E313" s="44">
        <v>15.41</v>
      </c>
      <c r="F313">
        <v>2015</v>
      </c>
    </row>
    <row r="314" spans="1:6" ht="15" customHeight="1" x14ac:dyDescent="0.3">
      <c r="A314" s="42" t="s">
        <v>428</v>
      </c>
      <c r="B314" s="43">
        <v>42352</v>
      </c>
      <c r="C314" s="42" t="s">
        <v>32</v>
      </c>
      <c r="D314" s="44">
        <v>10.95</v>
      </c>
      <c r="E314" s="44">
        <v>11.12</v>
      </c>
      <c r="F314">
        <v>2015</v>
      </c>
    </row>
    <row r="315" spans="1:6" ht="15" customHeight="1" x14ac:dyDescent="0.3">
      <c r="A315" s="42" t="s">
        <v>429</v>
      </c>
      <c r="B315" s="43">
        <v>42377</v>
      </c>
      <c r="C315" s="42" t="s">
        <v>32</v>
      </c>
      <c r="D315" s="44">
        <v>7.44</v>
      </c>
      <c r="E315" s="44">
        <v>7.42</v>
      </c>
      <c r="F315">
        <v>2016</v>
      </c>
    </row>
    <row r="316" spans="1:6" ht="15" customHeight="1" x14ac:dyDescent="0.3">
      <c r="A316" s="42" t="s">
        <v>430</v>
      </c>
      <c r="B316" s="43">
        <v>42402</v>
      </c>
      <c r="C316" s="42" t="s">
        <v>32</v>
      </c>
      <c r="D316" s="44">
        <v>4.0999999999999996</v>
      </c>
      <c r="E316" s="44">
        <v>4.2</v>
      </c>
      <c r="F316">
        <v>2016</v>
      </c>
    </row>
    <row r="317" spans="1:6" ht="15" customHeight="1" x14ac:dyDescent="0.3">
      <c r="A317" s="42" t="s">
        <v>432</v>
      </c>
      <c r="B317" s="43">
        <v>42438</v>
      </c>
      <c r="C317" s="42" t="s">
        <v>32</v>
      </c>
      <c r="D317" s="44">
        <v>3.86</v>
      </c>
      <c r="E317" s="44">
        <v>3.44</v>
      </c>
      <c r="F317">
        <v>2016</v>
      </c>
    </row>
    <row r="318" spans="1:6" ht="15" customHeight="1" x14ac:dyDescent="0.3">
      <c r="A318" s="42" t="s">
        <v>434</v>
      </c>
      <c r="B318" s="43">
        <v>42466</v>
      </c>
      <c r="C318" s="42" t="s">
        <v>32</v>
      </c>
      <c r="D318" s="44">
        <v>5.69</v>
      </c>
      <c r="E318" s="44">
        <v>6</v>
      </c>
      <c r="F318">
        <v>2016</v>
      </c>
    </row>
    <row r="319" spans="1:6" ht="15" customHeight="1" x14ac:dyDescent="0.3">
      <c r="A319" s="42" t="s">
        <v>435</v>
      </c>
      <c r="B319" s="43">
        <v>42508</v>
      </c>
      <c r="C319" s="42" t="s">
        <v>32</v>
      </c>
      <c r="D319" s="44">
        <v>10.45</v>
      </c>
      <c r="E319" s="44">
        <v>10.19</v>
      </c>
      <c r="F319">
        <v>2016</v>
      </c>
    </row>
    <row r="320" spans="1:6" ht="15" customHeight="1" x14ac:dyDescent="0.3">
      <c r="A320" s="42" t="s">
        <v>436</v>
      </c>
      <c r="B320" s="43">
        <v>42535</v>
      </c>
      <c r="C320" s="42" t="s">
        <v>32</v>
      </c>
      <c r="D320" s="44">
        <v>14.63</v>
      </c>
      <c r="E320" s="44">
        <v>14.29</v>
      </c>
      <c r="F320">
        <v>2016</v>
      </c>
    </row>
    <row r="321" spans="1:6" ht="15" customHeight="1" x14ac:dyDescent="0.3">
      <c r="A321" s="42" t="s">
        <v>437</v>
      </c>
      <c r="B321" s="43">
        <v>42541</v>
      </c>
      <c r="C321" s="42" t="s">
        <v>32</v>
      </c>
      <c r="D321" s="44">
        <v>19.399999999999999</v>
      </c>
      <c r="E321" s="44">
        <v>14.42</v>
      </c>
      <c r="F321">
        <v>2016</v>
      </c>
    </row>
    <row r="322" spans="1:6" ht="15" customHeight="1" x14ac:dyDescent="0.3">
      <c r="A322" s="42" t="s">
        <v>438</v>
      </c>
      <c r="B322" s="43">
        <v>42558</v>
      </c>
      <c r="C322" s="42" t="s">
        <v>32</v>
      </c>
      <c r="D322" s="44">
        <v>20.88</v>
      </c>
      <c r="E322" s="44">
        <v>17.05</v>
      </c>
      <c r="F322">
        <v>2016</v>
      </c>
    </row>
    <row r="323" spans="1:6" ht="15" customHeight="1" x14ac:dyDescent="0.3">
      <c r="A323" s="42" t="s">
        <v>439</v>
      </c>
      <c r="B323" s="43">
        <v>42570</v>
      </c>
      <c r="C323" s="42" t="s">
        <v>32</v>
      </c>
      <c r="D323" s="44">
        <v>22.49</v>
      </c>
      <c r="E323" s="44">
        <v>18.309999999999999</v>
      </c>
      <c r="F323">
        <v>2016</v>
      </c>
    </row>
    <row r="324" spans="1:6" ht="15" customHeight="1" x14ac:dyDescent="0.3">
      <c r="A324" s="42" t="s">
        <v>440</v>
      </c>
      <c r="B324" s="43">
        <v>42586</v>
      </c>
      <c r="C324" s="42" t="s">
        <v>32</v>
      </c>
      <c r="D324" s="44">
        <v>23.44</v>
      </c>
      <c r="E324" s="44">
        <v>21.87</v>
      </c>
      <c r="F324">
        <v>2016</v>
      </c>
    </row>
    <row r="325" spans="1:6" ht="15" customHeight="1" x14ac:dyDescent="0.3">
      <c r="A325" s="42" t="s">
        <v>441</v>
      </c>
      <c r="B325" s="43">
        <v>42598</v>
      </c>
      <c r="C325" s="42" t="s">
        <v>32</v>
      </c>
      <c r="D325" s="44">
        <v>24.53</v>
      </c>
      <c r="E325" s="44">
        <v>21.7</v>
      </c>
      <c r="F325">
        <v>2016</v>
      </c>
    </row>
    <row r="326" spans="1:6" ht="15" customHeight="1" x14ac:dyDescent="0.3">
      <c r="A326" s="42" t="s">
        <v>442</v>
      </c>
      <c r="B326" s="43">
        <v>42613</v>
      </c>
      <c r="C326" s="42" t="s">
        <v>32</v>
      </c>
      <c r="D326" s="44">
        <v>24.31</v>
      </c>
      <c r="E326" s="44">
        <v>23.78</v>
      </c>
      <c r="F326">
        <v>2016</v>
      </c>
    </row>
    <row r="327" spans="1:6" ht="15" customHeight="1" x14ac:dyDescent="0.3">
      <c r="A327" s="42" t="s">
        <v>443</v>
      </c>
      <c r="B327" s="43">
        <v>42626</v>
      </c>
      <c r="C327" s="42" t="s">
        <v>32</v>
      </c>
      <c r="D327" s="44">
        <v>23.12</v>
      </c>
      <c r="E327" s="44">
        <v>23.12</v>
      </c>
      <c r="F327">
        <v>2016</v>
      </c>
    </row>
    <row r="328" spans="1:6" ht="15" customHeight="1" x14ac:dyDescent="0.3">
      <c r="A328" s="42" t="s">
        <v>444</v>
      </c>
      <c r="B328" s="43">
        <v>42649</v>
      </c>
      <c r="C328" s="42" t="s">
        <v>32</v>
      </c>
      <c r="D328" s="44">
        <v>20.27</v>
      </c>
      <c r="E328" s="44">
        <v>20.260000000000002</v>
      </c>
      <c r="F328">
        <v>2016</v>
      </c>
    </row>
    <row r="329" spans="1:6" ht="15" customHeight="1" x14ac:dyDescent="0.3">
      <c r="A329" s="42" t="s">
        <v>445</v>
      </c>
      <c r="B329" s="43">
        <v>42682</v>
      </c>
      <c r="C329" s="42" t="s">
        <v>32</v>
      </c>
      <c r="D329" s="44">
        <v>14.92</v>
      </c>
      <c r="E329" s="44">
        <v>14.26</v>
      </c>
      <c r="F329">
        <v>2016</v>
      </c>
    </row>
    <row r="330" spans="1:6" ht="15" customHeight="1" x14ac:dyDescent="0.3">
      <c r="A330" s="42" t="s">
        <v>446</v>
      </c>
      <c r="B330" s="43">
        <v>42710</v>
      </c>
      <c r="C330" s="42" t="s">
        <v>32</v>
      </c>
      <c r="D330" s="44">
        <v>9.57</v>
      </c>
      <c r="E330" s="44">
        <v>10.35</v>
      </c>
      <c r="F330">
        <v>2016</v>
      </c>
    </row>
    <row r="331" spans="1:6" ht="15" customHeight="1" x14ac:dyDescent="0.3">
      <c r="A331" s="42" t="s">
        <v>447</v>
      </c>
      <c r="B331" s="43">
        <v>42741</v>
      </c>
      <c r="C331" s="42" t="s">
        <v>32</v>
      </c>
      <c r="D331" s="44">
        <v>4.7</v>
      </c>
      <c r="E331" s="44">
        <v>5.44</v>
      </c>
      <c r="F331">
        <v>2017</v>
      </c>
    </row>
    <row r="332" spans="1:6" ht="15" customHeight="1" x14ac:dyDescent="0.3">
      <c r="A332" s="42" t="s">
        <v>448</v>
      </c>
      <c r="B332" s="43">
        <v>42780</v>
      </c>
      <c r="C332" s="42" t="s">
        <v>32</v>
      </c>
      <c r="D332" s="44">
        <v>2.67</v>
      </c>
      <c r="E332" s="44">
        <v>2.82</v>
      </c>
      <c r="F332">
        <v>2017</v>
      </c>
    </row>
    <row r="333" spans="1:6" ht="15" customHeight="1" x14ac:dyDescent="0.3">
      <c r="A333" s="42" t="s">
        <v>450</v>
      </c>
      <c r="B333" s="43">
        <v>42802</v>
      </c>
      <c r="C333" s="42" t="s">
        <v>32</v>
      </c>
      <c r="D333" s="44">
        <v>3.25</v>
      </c>
      <c r="E333" s="44">
        <v>3.21</v>
      </c>
      <c r="F333">
        <v>2017</v>
      </c>
    </row>
    <row r="334" spans="1:6" ht="15" customHeight="1" x14ac:dyDescent="0.3">
      <c r="A334" s="42" t="s">
        <v>451</v>
      </c>
      <c r="B334" s="43">
        <v>42830</v>
      </c>
      <c r="C334" s="42" t="s">
        <v>32</v>
      </c>
      <c r="D334" s="44">
        <v>4.58</v>
      </c>
      <c r="E334" s="44">
        <v>3.86</v>
      </c>
      <c r="F334">
        <v>2017</v>
      </c>
    </row>
    <row r="335" spans="1:6" ht="15" customHeight="1" x14ac:dyDescent="0.3">
      <c r="A335" s="42" t="s">
        <v>452</v>
      </c>
      <c r="B335" s="43">
        <v>42859</v>
      </c>
      <c r="C335" s="42" t="s">
        <v>32</v>
      </c>
      <c r="D335" s="44">
        <v>9.5399999999999991</v>
      </c>
      <c r="E335" s="44">
        <v>8.32</v>
      </c>
      <c r="F335">
        <v>2017</v>
      </c>
    </row>
    <row r="336" spans="1:6" ht="15" customHeight="1" x14ac:dyDescent="0.3">
      <c r="A336" s="42" t="s">
        <v>453</v>
      </c>
      <c r="B336" s="43">
        <v>42893</v>
      </c>
      <c r="C336" s="42" t="s">
        <v>32</v>
      </c>
      <c r="D336" s="44">
        <v>14.16</v>
      </c>
      <c r="E336" s="44">
        <v>14.01</v>
      </c>
      <c r="F336">
        <v>2017</v>
      </c>
    </row>
    <row r="337" spans="1:6" ht="15" customHeight="1" x14ac:dyDescent="0.3">
      <c r="A337" s="42" t="s">
        <v>454</v>
      </c>
      <c r="B337" s="43">
        <v>42906</v>
      </c>
      <c r="C337" s="42" t="s">
        <v>32</v>
      </c>
      <c r="D337" s="44">
        <v>16.55</v>
      </c>
      <c r="E337" s="44">
        <v>15.95</v>
      </c>
      <c r="F337">
        <v>2017</v>
      </c>
    </row>
    <row r="338" spans="1:6" ht="15" customHeight="1" x14ac:dyDescent="0.3">
      <c r="A338" s="42" t="s">
        <v>455</v>
      </c>
      <c r="B338" s="43">
        <v>42923</v>
      </c>
      <c r="C338" s="42" t="s">
        <v>32</v>
      </c>
      <c r="D338" s="44">
        <v>20.350000000000001</v>
      </c>
      <c r="E338" s="44">
        <v>17.43</v>
      </c>
      <c r="F338">
        <v>2017</v>
      </c>
    </row>
    <row r="339" spans="1:6" ht="15" customHeight="1" x14ac:dyDescent="0.3">
      <c r="A339" s="42" t="s">
        <v>456</v>
      </c>
      <c r="B339" s="43">
        <v>42935</v>
      </c>
      <c r="C339" s="42" t="s">
        <v>32</v>
      </c>
      <c r="D339" s="44">
        <v>21.94</v>
      </c>
      <c r="E339" s="44">
        <v>18.91</v>
      </c>
      <c r="F339">
        <v>2017</v>
      </c>
    </row>
    <row r="340" spans="1:6" ht="15" customHeight="1" x14ac:dyDescent="0.3">
      <c r="A340" s="42" t="s">
        <v>457</v>
      </c>
      <c r="B340" s="43">
        <v>42949</v>
      </c>
      <c r="C340" s="42" t="s">
        <v>32</v>
      </c>
      <c r="D340" s="44">
        <v>23.72</v>
      </c>
      <c r="E340" s="44">
        <v>20.13</v>
      </c>
      <c r="F340">
        <v>2017</v>
      </c>
    </row>
    <row r="341" spans="1:6" ht="15" customHeight="1" x14ac:dyDescent="0.3">
      <c r="A341" s="42" t="s">
        <v>458</v>
      </c>
      <c r="B341" s="43">
        <v>42963</v>
      </c>
      <c r="C341" s="42" t="s">
        <v>32</v>
      </c>
      <c r="D341" s="44">
        <v>22.54</v>
      </c>
      <c r="E341" s="44">
        <v>20.99</v>
      </c>
      <c r="F341">
        <v>2017</v>
      </c>
    </row>
    <row r="342" spans="1:6" ht="15" customHeight="1" x14ac:dyDescent="0.3">
      <c r="A342" s="42" t="s">
        <v>459</v>
      </c>
      <c r="B342" s="43">
        <v>42978</v>
      </c>
      <c r="C342" s="42" t="s">
        <v>32</v>
      </c>
      <c r="D342" s="44">
        <v>21.86</v>
      </c>
      <c r="E342" s="44">
        <v>21.76</v>
      </c>
      <c r="F342">
        <v>2017</v>
      </c>
    </row>
    <row r="343" spans="1:6" ht="15" customHeight="1" x14ac:dyDescent="0.3">
      <c r="A343" s="42" t="s">
        <v>460</v>
      </c>
      <c r="B343" s="43">
        <v>43019</v>
      </c>
      <c r="C343" s="42" t="s">
        <v>32</v>
      </c>
      <c r="D343" s="44">
        <v>21.18</v>
      </c>
      <c r="E343" s="44">
        <v>20.96</v>
      </c>
      <c r="F343">
        <v>2017</v>
      </c>
    </row>
    <row r="344" spans="1:6" ht="15" customHeight="1" x14ac:dyDescent="0.3">
      <c r="A344" s="42" t="s">
        <v>461</v>
      </c>
      <c r="B344" s="43">
        <v>43053</v>
      </c>
      <c r="C344" s="42" t="s">
        <v>32</v>
      </c>
      <c r="D344" s="44">
        <v>14.23</v>
      </c>
      <c r="E344" s="44">
        <v>14.31</v>
      </c>
      <c r="F344">
        <v>2017</v>
      </c>
    </row>
    <row r="345" spans="1:6" ht="15" customHeight="1" x14ac:dyDescent="0.3">
      <c r="A345" s="42" t="s">
        <v>462</v>
      </c>
      <c r="B345" s="43">
        <v>43070</v>
      </c>
      <c r="C345" s="42" t="s">
        <v>32</v>
      </c>
      <c r="D345" s="44">
        <v>10.65</v>
      </c>
      <c r="E345" s="44">
        <v>11.47</v>
      </c>
      <c r="F345">
        <v>2017</v>
      </c>
    </row>
    <row r="346" spans="1:6" ht="15" customHeight="1" x14ac:dyDescent="0.3">
      <c r="A346" s="42" t="s">
        <v>463</v>
      </c>
      <c r="B346" s="43">
        <v>43111</v>
      </c>
      <c r="C346" s="42" t="s">
        <v>32</v>
      </c>
      <c r="D346" s="44">
        <v>1.73</v>
      </c>
      <c r="E346" s="44">
        <v>1.97</v>
      </c>
      <c r="F346">
        <v>2018</v>
      </c>
    </row>
    <row r="347" spans="1:6" ht="15" customHeight="1" x14ac:dyDescent="0.3">
      <c r="A347" s="42" t="s">
        <v>464</v>
      </c>
      <c r="B347" s="43">
        <v>43137</v>
      </c>
      <c r="C347" s="42" t="s">
        <v>32</v>
      </c>
      <c r="D347" s="44">
        <v>1.25</v>
      </c>
      <c r="E347" s="44">
        <v>1.55</v>
      </c>
      <c r="F347">
        <v>2018</v>
      </c>
    </row>
    <row r="348" spans="1:6" ht="15" customHeight="1" x14ac:dyDescent="0.3">
      <c r="A348" s="42" t="s">
        <v>466</v>
      </c>
      <c r="B348" s="43">
        <v>43167</v>
      </c>
      <c r="C348" s="42" t="s">
        <v>32</v>
      </c>
      <c r="D348" s="44">
        <v>3.12</v>
      </c>
      <c r="E348" s="44">
        <v>2.72</v>
      </c>
      <c r="F348">
        <v>2018</v>
      </c>
    </row>
    <row r="349" spans="1:6" ht="15" customHeight="1" x14ac:dyDescent="0.3">
      <c r="A349" s="42" t="s">
        <v>467</v>
      </c>
      <c r="B349" s="43">
        <v>43200</v>
      </c>
      <c r="C349" s="42" t="s">
        <v>32</v>
      </c>
      <c r="D349" s="44">
        <v>4.4400000000000004</v>
      </c>
      <c r="E349" s="44">
        <v>3.97</v>
      </c>
      <c r="F349">
        <v>2018</v>
      </c>
    </row>
    <row r="350" spans="1:6" ht="15" customHeight="1" x14ac:dyDescent="0.3">
      <c r="A350" s="42" t="s">
        <v>468</v>
      </c>
      <c r="B350" s="43">
        <v>43223</v>
      </c>
      <c r="C350" s="42" t="s">
        <v>32</v>
      </c>
      <c r="D350" s="44">
        <v>8.76</v>
      </c>
      <c r="E350" s="44">
        <v>6.51</v>
      </c>
      <c r="F350">
        <v>2018</v>
      </c>
    </row>
    <row r="351" spans="1:6" ht="15" customHeight="1" x14ac:dyDescent="0.3">
      <c r="A351" s="42" t="s">
        <v>469</v>
      </c>
      <c r="B351" s="43">
        <v>43252</v>
      </c>
      <c r="C351" s="42" t="s">
        <v>32</v>
      </c>
      <c r="D351" s="44">
        <v>14.16</v>
      </c>
      <c r="E351" s="44">
        <v>10.49</v>
      </c>
      <c r="F351">
        <v>2018</v>
      </c>
    </row>
    <row r="352" spans="1:6" ht="15" customHeight="1" x14ac:dyDescent="0.3">
      <c r="A352" s="42" t="s">
        <v>470</v>
      </c>
      <c r="B352" s="43">
        <v>43263</v>
      </c>
      <c r="C352" s="42" t="s">
        <v>32</v>
      </c>
      <c r="D352" s="44">
        <v>17.37</v>
      </c>
      <c r="E352" s="44">
        <v>11.53</v>
      </c>
      <c r="F352">
        <v>2018</v>
      </c>
    </row>
    <row r="353" spans="1:6" ht="15" customHeight="1" x14ac:dyDescent="0.3">
      <c r="A353" s="42" t="s">
        <v>471</v>
      </c>
      <c r="B353" s="43">
        <v>43284</v>
      </c>
      <c r="C353" s="42" t="s">
        <v>32</v>
      </c>
      <c r="D353" s="44">
        <v>19.45</v>
      </c>
      <c r="E353" s="44">
        <v>14.6</v>
      </c>
      <c r="F353">
        <v>2018</v>
      </c>
    </row>
    <row r="354" spans="1:6" ht="15" customHeight="1" x14ac:dyDescent="0.3">
      <c r="A354" s="42" t="s">
        <v>472</v>
      </c>
      <c r="B354" s="43">
        <v>43298</v>
      </c>
      <c r="C354" s="42" t="s">
        <v>32</v>
      </c>
      <c r="D354" s="44">
        <v>22.42</v>
      </c>
      <c r="E354" s="44">
        <v>18.3</v>
      </c>
      <c r="F354">
        <v>2018</v>
      </c>
    </row>
    <row r="355" spans="1:6" ht="15" customHeight="1" x14ac:dyDescent="0.3">
      <c r="A355" s="42" t="s">
        <v>473</v>
      </c>
      <c r="B355" s="43">
        <v>43312</v>
      </c>
      <c r="C355" s="42" t="s">
        <v>32</v>
      </c>
      <c r="D355" s="44">
        <v>24.25</v>
      </c>
      <c r="E355" s="44">
        <v>19.29</v>
      </c>
      <c r="F355">
        <v>2018</v>
      </c>
    </row>
    <row r="356" spans="1:6" ht="15" customHeight="1" x14ac:dyDescent="0.3">
      <c r="A356" s="42" t="s">
        <v>474</v>
      </c>
      <c r="B356" s="43">
        <v>43326</v>
      </c>
      <c r="C356" s="42" t="s">
        <v>32</v>
      </c>
      <c r="D356" s="44">
        <v>23.35</v>
      </c>
      <c r="E356" s="44">
        <v>23.13</v>
      </c>
      <c r="F356">
        <v>2018</v>
      </c>
    </row>
    <row r="357" spans="1:6" ht="15" customHeight="1" x14ac:dyDescent="0.3">
      <c r="A357" s="42" t="s">
        <v>475</v>
      </c>
      <c r="B357" s="43">
        <v>43340</v>
      </c>
      <c r="C357" s="42" t="s">
        <v>32</v>
      </c>
      <c r="D357" s="44">
        <v>24.77</v>
      </c>
      <c r="E357" s="44">
        <v>22.53</v>
      </c>
      <c r="F357">
        <v>2018</v>
      </c>
    </row>
    <row r="358" spans="1:6" ht="15" customHeight="1" x14ac:dyDescent="0.3">
      <c r="A358" s="42" t="s">
        <v>476</v>
      </c>
      <c r="B358" s="43">
        <v>43355</v>
      </c>
      <c r="C358" s="42" t="s">
        <v>32</v>
      </c>
      <c r="D358" s="44">
        <v>22.76</v>
      </c>
      <c r="E358" s="44">
        <v>22.75</v>
      </c>
      <c r="F358">
        <v>2018</v>
      </c>
    </row>
    <row r="359" spans="1:6" ht="15" customHeight="1" x14ac:dyDescent="0.3">
      <c r="A359" s="42" t="s">
        <v>477</v>
      </c>
      <c r="B359" s="43">
        <v>43377</v>
      </c>
      <c r="C359" s="42" t="s">
        <v>32</v>
      </c>
      <c r="D359" s="44">
        <v>21.11</v>
      </c>
      <c r="E359" s="44">
        <v>21.52</v>
      </c>
      <c r="F359">
        <v>2018</v>
      </c>
    </row>
    <row r="360" spans="1:6" ht="15" customHeight="1" x14ac:dyDescent="0.3">
      <c r="A360" s="42" t="s">
        <v>478</v>
      </c>
      <c r="B360" s="43">
        <v>43411</v>
      </c>
      <c r="C360" s="42" t="s">
        <v>32</v>
      </c>
      <c r="D360" s="44">
        <v>14.28</v>
      </c>
      <c r="E360" s="44">
        <v>14.77</v>
      </c>
      <c r="F360">
        <v>2018</v>
      </c>
    </row>
    <row r="361" spans="1:6" ht="15" customHeight="1" x14ac:dyDescent="0.3">
      <c r="A361" s="42" t="s">
        <v>479</v>
      </c>
      <c r="B361" s="43">
        <v>43438</v>
      </c>
      <c r="C361" s="42" t="s">
        <v>32</v>
      </c>
      <c r="D361" s="44">
        <v>8.75</v>
      </c>
      <c r="E361" s="44">
        <v>9.16</v>
      </c>
      <c r="F361">
        <v>2018</v>
      </c>
    </row>
    <row r="362" spans="1:6" ht="15" customHeight="1" x14ac:dyDescent="0.3">
      <c r="A362" s="42" t="s">
        <v>6</v>
      </c>
      <c r="B362" s="43">
        <v>43472</v>
      </c>
      <c r="C362" s="42" t="s">
        <v>32</v>
      </c>
      <c r="D362" s="44">
        <v>5.21</v>
      </c>
      <c r="E362" s="44">
        <v>5.78</v>
      </c>
      <c r="F362">
        <v>2019</v>
      </c>
    </row>
    <row r="363" spans="1:6" ht="15" customHeight="1" x14ac:dyDescent="0.3">
      <c r="A363" s="42" t="s">
        <v>7</v>
      </c>
      <c r="B363" s="43">
        <v>43502</v>
      </c>
      <c r="C363" s="42" t="s">
        <v>32</v>
      </c>
      <c r="D363" s="44">
        <v>1.83</v>
      </c>
      <c r="E363" s="44">
        <v>2.0699999999999998</v>
      </c>
      <c r="F363">
        <v>2019</v>
      </c>
    </row>
    <row r="364" spans="1:6" ht="15" customHeight="1" x14ac:dyDescent="0.3">
      <c r="A364" s="42" t="s">
        <v>9</v>
      </c>
      <c r="B364" s="43">
        <v>43531</v>
      </c>
      <c r="C364" s="42" t="s">
        <v>32</v>
      </c>
      <c r="D364" s="44">
        <v>1.53</v>
      </c>
      <c r="E364" s="44">
        <v>1.72</v>
      </c>
      <c r="F364">
        <v>2019</v>
      </c>
    </row>
    <row r="365" spans="1:6" ht="15" customHeight="1" x14ac:dyDescent="0.3">
      <c r="A365" s="42" t="s">
        <v>10</v>
      </c>
      <c r="B365" s="43">
        <v>43559</v>
      </c>
      <c r="C365" s="42" t="s">
        <v>32</v>
      </c>
      <c r="D365" s="44">
        <v>4.5199999999999996</v>
      </c>
      <c r="E365" s="44">
        <v>3.9</v>
      </c>
      <c r="F365">
        <v>2019</v>
      </c>
    </row>
    <row r="366" spans="1:6" ht="15" customHeight="1" x14ac:dyDescent="0.3">
      <c r="A366" s="42" t="s">
        <v>11</v>
      </c>
      <c r="B366" s="43">
        <v>43593</v>
      </c>
      <c r="C366" s="42" t="s">
        <v>32</v>
      </c>
      <c r="D366" s="44">
        <v>11.03</v>
      </c>
      <c r="E366" s="44">
        <v>9.31</v>
      </c>
      <c r="F366">
        <v>2019</v>
      </c>
    </row>
    <row r="367" spans="1:6" ht="15" customHeight="1" x14ac:dyDescent="0.3">
      <c r="A367" s="42" t="s">
        <v>12</v>
      </c>
      <c r="B367" s="43">
        <v>43616</v>
      </c>
      <c r="C367" s="42" t="s">
        <v>32</v>
      </c>
      <c r="D367" s="44">
        <v>14.28</v>
      </c>
      <c r="E367" s="44">
        <v>11</v>
      </c>
      <c r="F367">
        <v>2019</v>
      </c>
    </row>
    <row r="368" spans="1:6" ht="15" customHeight="1" x14ac:dyDescent="0.3">
      <c r="A368" s="42" t="s">
        <v>13</v>
      </c>
      <c r="B368" s="43">
        <v>43628</v>
      </c>
      <c r="C368" s="42" t="s">
        <v>32</v>
      </c>
      <c r="D368" s="44">
        <v>17.2</v>
      </c>
      <c r="E368" s="44">
        <v>14.4</v>
      </c>
      <c r="F368">
        <v>2019</v>
      </c>
    </row>
    <row r="369" spans="1:6" ht="15" customHeight="1" x14ac:dyDescent="0.3">
      <c r="A369" s="42" t="s">
        <v>14</v>
      </c>
      <c r="B369" s="43">
        <v>43649</v>
      </c>
      <c r="C369" s="42" t="s">
        <v>32</v>
      </c>
      <c r="D369" s="44">
        <v>19.66</v>
      </c>
      <c r="E369" s="44">
        <v>15.43</v>
      </c>
      <c r="F369">
        <v>2019</v>
      </c>
    </row>
    <row r="370" spans="1:6" ht="15" customHeight="1" x14ac:dyDescent="0.3">
      <c r="A370" s="42" t="s">
        <v>15</v>
      </c>
      <c r="B370" s="43">
        <v>43662</v>
      </c>
      <c r="C370" s="42" t="s">
        <v>32</v>
      </c>
      <c r="D370" s="44">
        <v>21.16</v>
      </c>
      <c r="E370" s="44">
        <v>17.62</v>
      </c>
      <c r="F370">
        <v>2019</v>
      </c>
    </row>
    <row r="371" spans="1:6" ht="15" customHeight="1" x14ac:dyDescent="0.3">
      <c r="A371" s="42" t="s">
        <v>16</v>
      </c>
      <c r="B371" s="43">
        <v>43678</v>
      </c>
      <c r="C371" s="42" t="s">
        <v>32</v>
      </c>
      <c r="D371" s="44">
        <v>23.7</v>
      </c>
      <c r="E371" s="44">
        <v>18.98</v>
      </c>
      <c r="F371">
        <v>2019</v>
      </c>
    </row>
    <row r="372" spans="1:6" ht="15" customHeight="1" x14ac:dyDescent="0.3">
      <c r="A372" s="42" t="s">
        <v>17</v>
      </c>
      <c r="B372" s="43">
        <v>43690</v>
      </c>
      <c r="C372" s="42" t="s">
        <v>32</v>
      </c>
      <c r="D372" s="44">
        <v>21.71</v>
      </c>
      <c r="E372" s="44">
        <v>20.95</v>
      </c>
      <c r="F372">
        <v>2019</v>
      </c>
    </row>
    <row r="373" spans="1:6" ht="15" customHeight="1" x14ac:dyDescent="0.3">
      <c r="A373" s="42" t="s">
        <v>18</v>
      </c>
      <c r="B373" s="43">
        <v>43706</v>
      </c>
      <c r="C373" s="42" t="s">
        <v>32</v>
      </c>
      <c r="D373" s="44">
        <v>22.26</v>
      </c>
      <c r="E373" s="44">
        <v>22.16</v>
      </c>
      <c r="F373">
        <v>2019</v>
      </c>
    </row>
    <row r="374" spans="1:6" ht="15" customHeight="1" x14ac:dyDescent="0.3">
      <c r="A374" s="42" t="s">
        <v>19</v>
      </c>
      <c r="B374" s="43">
        <v>43718</v>
      </c>
      <c r="C374" s="42" t="s">
        <v>32</v>
      </c>
      <c r="D374" s="44">
        <v>21.83</v>
      </c>
      <c r="E374" s="44">
        <v>21.73</v>
      </c>
      <c r="F374">
        <v>2019</v>
      </c>
    </row>
    <row r="375" spans="1:6" ht="15" customHeight="1" x14ac:dyDescent="0.3">
      <c r="A375" s="42" t="s">
        <v>39</v>
      </c>
      <c r="B375" s="43">
        <v>43740</v>
      </c>
      <c r="C375" s="42" t="s">
        <v>32</v>
      </c>
      <c r="D375" s="44">
        <v>21.24</v>
      </c>
      <c r="E375" s="44">
        <v>21.18</v>
      </c>
      <c r="F375">
        <v>2019</v>
      </c>
    </row>
    <row r="376" spans="1:6" ht="15" customHeight="1" x14ac:dyDescent="0.3">
      <c r="A376" s="42" t="s">
        <v>40</v>
      </c>
      <c r="B376" s="43">
        <v>43775</v>
      </c>
      <c r="C376" s="42" t="s">
        <v>32</v>
      </c>
      <c r="D376" s="44">
        <v>14.89</v>
      </c>
      <c r="E376" s="44">
        <v>15.41</v>
      </c>
      <c r="F376">
        <v>2019</v>
      </c>
    </row>
    <row r="377" spans="1:6" ht="15" customHeight="1" x14ac:dyDescent="0.3">
      <c r="A377" s="42" t="s">
        <v>41</v>
      </c>
      <c r="B377" s="43">
        <v>43815</v>
      </c>
      <c r="C377" s="42" t="s">
        <v>32</v>
      </c>
      <c r="D377" s="44">
        <v>7.3</v>
      </c>
      <c r="E377" s="44">
        <v>7.33</v>
      </c>
      <c r="F377">
        <v>2019</v>
      </c>
    </row>
    <row r="378" spans="1:6" ht="15" customHeight="1" x14ac:dyDescent="0.3">
      <c r="A378" s="42" t="s">
        <v>502</v>
      </c>
      <c r="B378" s="43">
        <v>43840</v>
      </c>
      <c r="C378" s="42" t="s">
        <v>32</v>
      </c>
      <c r="D378" s="44">
        <v>4.55</v>
      </c>
      <c r="E378" s="44">
        <v>4.87</v>
      </c>
      <c r="F378">
        <v>2020</v>
      </c>
    </row>
    <row r="379" spans="1:6" ht="15" customHeight="1" x14ac:dyDescent="0.3">
      <c r="A379" s="42" t="s">
        <v>503</v>
      </c>
      <c r="B379" s="43">
        <v>43872</v>
      </c>
      <c r="C379" s="42" t="s">
        <v>32</v>
      </c>
      <c r="D379" s="44">
        <v>3.97</v>
      </c>
      <c r="E379" s="44">
        <v>4.01</v>
      </c>
      <c r="F379">
        <v>2020</v>
      </c>
    </row>
    <row r="380" spans="1:6" ht="15" customHeight="1" x14ac:dyDescent="0.3">
      <c r="A380" s="42" t="s">
        <v>504</v>
      </c>
      <c r="B380" s="43">
        <v>43901</v>
      </c>
      <c r="C380" s="42" t="s">
        <v>32</v>
      </c>
      <c r="D380" s="44">
        <v>4.62</v>
      </c>
      <c r="E380" s="44">
        <v>4.53</v>
      </c>
      <c r="F380">
        <v>2020</v>
      </c>
    </row>
    <row r="381" spans="1:6" ht="15" customHeight="1" x14ac:dyDescent="0.3">
      <c r="A381" s="42" t="s">
        <v>510</v>
      </c>
      <c r="B381" s="43">
        <v>43998</v>
      </c>
      <c r="C381" s="42" t="s">
        <v>32</v>
      </c>
      <c r="D381" s="44">
        <v>17.170000000000002</v>
      </c>
      <c r="E381" s="44">
        <v>13.57</v>
      </c>
      <c r="F381">
        <v>2020</v>
      </c>
    </row>
    <row r="382" spans="1:6" ht="15" customHeight="1" x14ac:dyDescent="0.3">
      <c r="A382" s="42" t="s">
        <v>505</v>
      </c>
      <c r="B382" s="43">
        <v>44020</v>
      </c>
      <c r="C382" s="42" t="s">
        <v>32</v>
      </c>
      <c r="D382" s="44">
        <v>21.56</v>
      </c>
      <c r="E382" s="44">
        <v>16.97</v>
      </c>
      <c r="F382">
        <v>2020</v>
      </c>
    </row>
    <row r="383" spans="1:6" ht="15" customHeight="1" x14ac:dyDescent="0.3">
      <c r="A383" s="42" t="s">
        <v>511</v>
      </c>
      <c r="B383" s="43">
        <v>44033</v>
      </c>
      <c r="C383" s="42" t="s">
        <v>32</v>
      </c>
      <c r="D383" s="44">
        <v>25</v>
      </c>
      <c r="E383" s="44">
        <v>19.54</v>
      </c>
      <c r="F383">
        <v>2020</v>
      </c>
    </row>
    <row r="384" spans="1:6" ht="15" customHeight="1" x14ac:dyDescent="0.3">
      <c r="A384" s="42" t="s">
        <v>506</v>
      </c>
      <c r="B384" s="43">
        <v>44054</v>
      </c>
      <c r="C384" s="42" t="s">
        <v>32</v>
      </c>
      <c r="D384" s="44">
        <v>24.64</v>
      </c>
      <c r="E384" s="44">
        <v>21.95</v>
      </c>
      <c r="F384">
        <v>2020</v>
      </c>
    </row>
    <row r="385" spans="1:6" ht="15" customHeight="1" x14ac:dyDescent="0.3">
      <c r="A385" s="42" t="s">
        <v>512</v>
      </c>
      <c r="B385" s="43">
        <v>44069</v>
      </c>
      <c r="C385" s="42" t="s">
        <v>32</v>
      </c>
      <c r="D385" s="44">
        <v>23.3</v>
      </c>
      <c r="E385" s="44">
        <v>22.86</v>
      </c>
      <c r="F385">
        <v>2020</v>
      </c>
    </row>
    <row r="386" spans="1:6" ht="15" customHeight="1" x14ac:dyDescent="0.3">
      <c r="A386" s="42" t="s">
        <v>507</v>
      </c>
      <c r="B386" s="43">
        <v>44082</v>
      </c>
      <c r="C386" s="42" t="s">
        <v>32</v>
      </c>
      <c r="D386" s="44">
        <v>23.5</v>
      </c>
      <c r="E386" s="44">
        <v>23.03</v>
      </c>
      <c r="F386">
        <v>2020</v>
      </c>
    </row>
    <row r="387" spans="1:6" ht="15" customHeight="1" x14ac:dyDescent="0.3">
      <c r="A387" s="42" t="s">
        <v>508</v>
      </c>
      <c r="B387" s="43">
        <v>44119</v>
      </c>
      <c r="C387" s="42" t="s">
        <v>32</v>
      </c>
      <c r="D387" s="44">
        <v>18.399999999999999</v>
      </c>
      <c r="E387" s="44">
        <v>18.350000000000001</v>
      </c>
      <c r="F387">
        <v>2020</v>
      </c>
    </row>
    <row r="388" spans="1:6" ht="15" customHeight="1" x14ac:dyDescent="0.3">
      <c r="A388" s="42" t="s">
        <v>509</v>
      </c>
      <c r="B388" s="43">
        <v>44140</v>
      </c>
      <c r="C388" s="42" t="s">
        <v>32</v>
      </c>
      <c r="D388" s="44">
        <v>14.91</v>
      </c>
      <c r="E388" s="44">
        <v>14.86</v>
      </c>
      <c r="F388">
        <v>2020</v>
      </c>
    </row>
    <row r="389" spans="1:6" ht="15" customHeight="1" x14ac:dyDescent="0.3">
      <c r="A389" s="68" t="s">
        <v>522</v>
      </c>
      <c r="B389" s="69">
        <v>44264</v>
      </c>
      <c r="C389" s="68" t="s">
        <v>32</v>
      </c>
      <c r="D389" s="70">
        <v>2.33</v>
      </c>
      <c r="E389" s="70">
        <v>2.23</v>
      </c>
      <c r="F389">
        <v>2021</v>
      </c>
    </row>
    <row r="390" spans="1:6" ht="15" customHeight="1" x14ac:dyDescent="0.3">
      <c r="A390" s="68" t="s">
        <v>523</v>
      </c>
      <c r="B390" s="69">
        <v>44294</v>
      </c>
      <c r="C390" s="68" t="s">
        <v>32</v>
      </c>
      <c r="D390" s="70">
        <v>6.11</v>
      </c>
      <c r="E390" s="70">
        <v>4.87</v>
      </c>
      <c r="F390">
        <v>2021</v>
      </c>
    </row>
    <row r="391" spans="1:6" ht="15" customHeight="1" x14ac:dyDescent="0.3">
      <c r="A391" s="68" t="s">
        <v>524</v>
      </c>
      <c r="B391" s="69">
        <v>44320</v>
      </c>
      <c r="C391" s="68" t="s">
        <v>32</v>
      </c>
      <c r="D391" s="70">
        <v>9.73</v>
      </c>
      <c r="E391" s="70">
        <v>9.0399999999999991</v>
      </c>
      <c r="F391">
        <v>2021</v>
      </c>
    </row>
    <row r="392" spans="1:6" ht="15" customHeight="1" x14ac:dyDescent="0.3">
      <c r="A392" s="68" t="s">
        <v>525</v>
      </c>
      <c r="B392" s="69">
        <v>44356</v>
      </c>
      <c r="C392" s="68" t="s">
        <v>32</v>
      </c>
      <c r="D392" s="70">
        <v>16.079999999999998</v>
      </c>
      <c r="E392" s="70">
        <v>12.44</v>
      </c>
      <c r="F392">
        <v>2021</v>
      </c>
    </row>
    <row r="393" spans="1:6" ht="15" customHeight="1" x14ac:dyDescent="0.3">
      <c r="A393" s="68" t="s">
        <v>526</v>
      </c>
      <c r="B393" s="69">
        <v>44368</v>
      </c>
      <c r="C393" s="68" t="s">
        <v>32</v>
      </c>
      <c r="D393" s="70">
        <v>17.91</v>
      </c>
      <c r="E393" s="70">
        <v>13.68</v>
      </c>
      <c r="F393">
        <v>2021</v>
      </c>
    </row>
    <row r="394" spans="1:6" ht="15" customHeight="1" x14ac:dyDescent="0.3">
      <c r="A394" s="68" t="s">
        <v>527</v>
      </c>
      <c r="B394" s="69">
        <v>44389</v>
      </c>
      <c r="C394" s="68" t="s">
        <v>32</v>
      </c>
      <c r="D394" s="70">
        <v>21.79</v>
      </c>
      <c r="E394" s="70">
        <v>17.72</v>
      </c>
      <c r="F394">
        <v>2021</v>
      </c>
    </row>
    <row r="395" spans="1:6" ht="15" customHeight="1" x14ac:dyDescent="0.3">
      <c r="A395" s="68" t="s">
        <v>528</v>
      </c>
      <c r="B395" s="69">
        <v>44397</v>
      </c>
      <c r="C395" s="68" t="s">
        <v>32</v>
      </c>
      <c r="D395" s="70">
        <v>21.83</v>
      </c>
      <c r="E395" s="70">
        <v>19.2</v>
      </c>
      <c r="F395">
        <v>2021</v>
      </c>
    </row>
    <row r="396" spans="1:6" ht="15" customHeight="1" x14ac:dyDescent="0.3">
      <c r="A396" s="68" t="s">
        <v>529</v>
      </c>
      <c r="B396" s="69">
        <v>44412</v>
      </c>
      <c r="C396" s="68" t="s">
        <v>32</v>
      </c>
      <c r="D396" s="70">
        <v>22.03</v>
      </c>
      <c r="E396" s="70">
        <v>20.36</v>
      </c>
      <c r="F396">
        <v>2021</v>
      </c>
    </row>
    <row r="397" spans="1:6" ht="15" customHeight="1" x14ac:dyDescent="0.3">
      <c r="A397" s="68" t="s">
        <v>530</v>
      </c>
      <c r="B397" s="69">
        <v>44425</v>
      </c>
      <c r="C397" s="68" t="s">
        <v>32</v>
      </c>
      <c r="D397" s="70">
        <v>22.97</v>
      </c>
      <c r="E397" s="70">
        <v>20.98</v>
      </c>
      <c r="F397">
        <v>2021</v>
      </c>
    </row>
    <row r="398" spans="1:6" ht="15" customHeight="1" x14ac:dyDescent="0.3">
      <c r="A398" s="68" t="s">
        <v>531</v>
      </c>
      <c r="B398" s="69">
        <v>44440</v>
      </c>
      <c r="C398" s="68" t="s">
        <v>32</v>
      </c>
      <c r="D398" s="70">
        <v>23.71</v>
      </c>
      <c r="E398" s="70">
        <v>22.59</v>
      </c>
      <c r="F398">
        <v>2021</v>
      </c>
    </row>
    <row r="399" spans="1:6" ht="15" customHeight="1" x14ac:dyDescent="0.3">
      <c r="A399" s="68" t="s">
        <v>532</v>
      </c>
      <c r="B399" s="69">
        <v>44453</v>
      </c>
      <c r="C399" s="68" t="s">
        <v>32</v>
      </c>
      <c r="D399" s="70">
        <v>22.73</v>
      </c>
      <c r="E399" s="70">
        <v>22.43</v>
      </c>
      <c r="F399">
        <v>2021</v>
      </c>
    </row>
    <row r="400" spans="1:6" ht="15" customHeight="1" x14ac:dyDescent="0.3">
      <c r="A400" s="68" t="s">
        <v>533</v>
      </c>
      <c r="B400" s="69">
        <v>44474</v>
      </c>
      <c r="C400" s="68" t="s">
        <v>32</v>
      </c>
      <c r="D400" s="70">
        <v>20.83</v>
      </c>
      <c r="E400" s="70">
        <v>21.06</v>
      </c>
      <c r="F400">
        <v>2021</v>
      </c>
    </row>
    <row r="401" spans="1:6" ht="15" customHeight="1" x14ac:dyDescent="0.3">
      <c r="A401" s="68" t="s">
        <v>534</v>
      </c>
      <c r="B401" s="69">
        <v>44509</v>
      </c>
      <c r="C401" s="68" t="s">
        <v>32</v>
      </c>
      <c r="D401" s="70">
        <v>15.46</v>
      </c>
      <c r="E401" s="70">
        <v>16.09</v>
      </c>
      <c r="F401">
        <v>2021</v>
      </c>
    </row>
    <row r="402" spans="1:6" ht="15" customHeight="1" x14ac:dyDescent="0.3">
      <c r="A402" s="68" t="s">
        <v>535</v>
      </c>
      <c r="B402" s="69">
        <v>44538</v>
      </c>
      <c r="C402" s="68" t="s">
        <v>32</v>
      </c>
      <c r="D402" s="70">
        <v>10.02</v>
      </c>
      <c r="E402" s="70">
        <v>10.3</v>
      </c>
      <c r="F402">
        <v>2021</v>
      </c>
    </row>
    <row r="403" spans="1:6" ht="15" customHeight="1" x14ac:dyDescent="0.3">
      <c r="A403" s="97" t="s">
        <v>539</v>
      </c>
      <c r="B403" s="98">
        <v>44595</v>
      </c>
      <c r="C403" s="97" t="s">
        <v>32</v>
      </c>
      <c r="D403" s="99">
        <v>2.59</v>
      </c>
      <c r="E403" s="99">
        <v>2.62</v>
      </c>
      <c r="F403">
        <v>2022</v>
      </c>
    </row>
    <row r="404" spans="1:6" ht="15" customHeight="1" x14ac:dyDescent="0.3">
      <c r="A404" s="97" t="s">
        <v>541</v>
      </c>
      <c r="B404" s="98">
        <v>44627</v>
      </c>
      <c r="C404" s="97" t="s">
        <v>32</v>
      </c>
      <c r="D404" s="99">
        <v>3.12</v>
      </c>
      <c r="E404" s="99">
        <v>2.95</v>
      </c>
      <c r="F404">
        <v>2022</v>
      </c>
    </row>
    <row r="405" spans="1:6" ht="15" customHeight="1" x14ac:dyDescent="0.3">
      <c r="A405" s="97" t="s">
        <v>542</v>
      </c>
      <c r="B405" s="98">
        <v>44659</v>
      </c>
      <c r="C405" s="97" t="s">
        <v>32</v>
      </c>
      <c r="D405" s="99">
        <v>5.59</v>
      </c>
      <c r="E405" s="99">
        <v>5.47</v>
      </c>
      <c r="F405">
        <v>2022</v>
      </c>
    </row>
    <row r="406" spans="1:6" ht="15" customHeight="1" x14ac:dyDescent="0.3">
      <c r="A406" s="97" t="s">
        <v>543</v>
      </c>
      <c r="B406" s="98">
        <v>44687</v>
      </c>
      <c r="C406" s="97" t="s">
        <v>32</v>
      </c>
      <c r="D406" s="99">
        <v>10.029999999999999</v>
      </c>
      <c r="E406" s="99">
        <v>8.5399999999999991</v>
      </c>
      <c r="F406">
        <v>2022</v>
      </c>
    </row>
    <row r="407" spans="1:6" ht="15" customHeight="1" x14ac:dyDescent="0.3">
      <c r="A407" s="97" t="s">
        <v>544</v>
      </c>
      <c r="B407" s="98">
        <v>44718</v>
      </c>
      <c r="C407" s="97" t="s">
        <v>32</v>
      </c>
      <c r="D407" s="99">
        <v>17.579999999999998</v>
      </c>
      <c r="E407" s="99">
        <v>12.09</v>
      </c>
      <c r="F407">
        <v>2022</v>
      </c>
    </row>
    <row r="408" spans="1:6" ht="15" customHeight="1" x14ac:dyDescent="0.3">
      <c r="A408" s="97" t="s">
        <v>545</v>
      </c>
      <c r="B408" s="98">
        <v>44726</v>
      </c>
      <c r="C408" s="97" t="s">
        <v>32</v>
      </c>
      <c r="D408" s="99">
        <v>15.43</v>
      </c>
      <c r="E408" s="99">
        <v>13.36</v>
      </c>
      <c r="F408">
        <v>2022</v>
      </c>
    </row>
    <row r="409" spans="1:6" ht="15" customHeight="1" x14ac:dyDescent="0.3">
      <c r="A409" s="97" t="s">
        <v>546</v>
      </c>
      <c r="B409" s="98">
        <v>44750</v>
      </c>
      <c r="C409" s="97" t="s">
        <v>32</v>
      </c>
      <c r="D409" s="99">
        <v>19.71</v>
      </c>
      <c r="E409" s="99">
        <v>16.84</v>
      </c>
      <c r="F409">
        <v>2022</v>
      </c>
    </row>
    <row r="410" spans="1:6" ht="15" customHeight="1" x14ac:dyDescent="0.3">
      <c r="A410" s="97" t="s">
        <v>547</v>
      </c>
      <c r="B410" s="98">
        <v>44760</v>
      </c>
      <c r="C410" s="97" t="s">
        <v>32</v>
      </c>
      <c r="D410" s="99">
        <v>22.28</v>
      </c>
      <c r="E410" s="99">
        <v>19.12</v>
      </c>
      <c r="F410">
        <v>2022</v>
      </c>
    </row>
    <row r="411" spans="1:6" ht="15" customHeight="1" x14ac:dyDescent="0.3">
      <c r="A411" s="97" t="s">
        <v>548</v>
      </c>
      <c r="B411" s="98">
        <v>44776</v>
      </c>
      <c r="C411" s="97" t="s">
        <v>32</v>
      </c>
      <c r="D411" s="99">
        <v>23.68</v>
      </c>
      <c r="E411" s="99">
        <v>20.52</v>
      </c>
      <c r="F411">
        <v>2022</v>
      </c>
    </row>
    <row r="412" spans="1:6" ht="15" customHeight="1" x14ac:dyDescent="0.3">
      <c r="A412" s="97" t="s">
        <v>549</v>
      </c>
      <c r="B412" s="98">
        <v>44791</v>
      </c>
      <c r="C412" s="97" t="s">
        <v>32</v>
      </c>
      <c r="D412" s="99">
        <v>22.95</v>
      </c>
      <c r="E412" s="99">
        <v>22.55</v>
      </c>
      <c r="F412">
        <v>2022</v>
      </c>
    </row>
    <row r="413" spans="1:6" ht="15" customHeight="1" x14ac:dyDescent="0.3">
      <c r="A413" s="97" t="s">
        <v>550</v>
      </c>
      <c r="B413" s="98">
        <v>44806</v>
      </c>
      <c r="C413" s="97" t="s">
        <v>32</v>
      </c>
      <c r="D413" s="99">
        <v>23.72</v>
      </c>
      <c r="E413" s="99">
        <v>22.86</v>
      </c>
      <c r="F413">
        <v>2022</v>
      </c>
    </row>
    <row r="414" spans="1:6" ht="15" customHeight="1" x14ac:dyDescent="0.3">
      <c r="A414" s="97" t="s">
        <v>552</v>
      </c>
      <c r="B414" s="98">
        <v>44841</v>
      </c>
      <c r="C414" s="97" t="s">
        <v>32</v>
      </c>
      <c r="D414" s="99">
        <v>17.420000000000002</v>
      </c>
      <c r="E414" s="99">
        <v>18.39</v>
      </c>
      <c r="F414">
        <v>2022</v>
      </c>
    </row>
    <row r="415" spans="1:6" ht="15" customHeight="1" x14ac:dyDescent="0.3">
      <c r="A415" s="97" t="s">
        <v>553</v>
      </c>
      <c r="B415" s="98">
        <v>44873</v>
      </c>
      <c r="C415" s="97" t="s">
        <v>32</v>
      </c>
      <c r="D415" s="99">
        <v>16.36</v>
      </c>
      <c r="E415" s="99">
        <v>16.420000000000002</v>
      </c>
      <c r="F415">
        <v>2022</v>
      </c>
    </row>
    <row r="416" spans="1:6" ht="15" customHeight="1" x14ac:dyDescent="0.3">
      <c r="A416" s="97" t="s">
        <v>556</v>
      </c>
      <c r="B416" s="98">
        <v>44901</v>
      </c>
      <c r="C416" s="97" t="s">
        <v>32</v>
      </c>
      <c r="D416" s="99">
        <v>10.54</v>
      </c>
      <c r="E416" s="99">
        <v>10.55</v>
      </c>
      <c r="F416">
        <v>2022</v>
      </c>
    </row>
    <row r="417" spans="1:6" ht="15" customHeight="1" x14ac:dyDescent="0.3">
      <c r="A417" s="97" t="s">
        <v>557</v>
      </c>
      <c r="B417" s="98">
        <v>44932</v>
      </c>
      <c r="C417" s="97" t="s">
        <v>32</v>
      </c>
      <c r="D417" s="99">
        <v>5.77</v>
      </c>
      <c r="E417" s="99">
        <v>5.79</v>
      </c>
      <c r="F417">
        <v>2023</v>
      </c>
    </row>
    <row r="418" spans="1:6" ht="15" customHeight="1" x14ac:dyDescent="0.3">
      <c r="A418" s="97" t="s">
        <v>558</v>
      </c>
      <c r="B418" s="98">
        <v>44965</v>
      </c>
      <c r="C418" s="97" t="s">
        <v>32</v>
      </c>
      <c r="D418" s="99">
        <v>3.98</v>
      </c>
      <c r="E418" s="99">
        <v>4.09</v>
      </c>
      <c r="F418">
        <v>2023</v>
      </c>
    </row>
    <row r="419" spans="1:6" ht="15" customHeight="1" x14ac:dyDescent="0.3">
      <c r="A419" s="97" t="s">
        <v>559</v>
      </c>
      <c r="B419" s="98">
        <v>45034</v>
      </c>
      <c r="C419" s="97" t="s">
        <v>32</v>
      </c>
      <c r="D419" s="99">
        <v>8.48</v>
      </c>
      <c r="E419" s="99">
        <v>8.27</v>
      </c>
      <c r="F419">
        <v>2023</v>
      </c>
    </row>
    <row r="420" spans="1:6" ht="15" customHeight="1" x14ac:dyDescent="0.3">
      <c r="A420" s="97" t="s">
        <v>560</v>
      </c>
      <c r="B420" s="98">
        <v>45051</v>
      </c>
      <c r="C420" s="97" t="s">
        <v>32</v>
      </c>
      <c r="D420" s="99">
        <v>11.11</v>
      </c>
      <c r="E420" s="99">
        <v>10.08</v>
      </c>
      <c r="F420">
        <v>2023</v>
      </c>
    </row>
    <row r="421" spans="1:6" ht="15" customHeight="1" x14ac:dyDescent="0.3">
      <c r="A421" s="97" t="s">
        <v>561</v>
      </c>
      <c r="B421" s="98">
        <v>45079</v>
      </c>
      <c r="C421" s="97" t="s">
        <v>32</v>
      </c>
      <c r="D421" s="99">
        <v>16.309999999999999</v>
      </c>
      <c r="E421" s="99">
        <v>12.78</v>
      </c>
      <c r="F421">
        <v>2023</v>
      </c>
    </row>
    <row r="422" spans="1:6" ht="15" customHeight="1" x14ac:dyDescent="0.3">
      <c r="A422" s="97" t="s">
        <v>563</v>
      </c>
      <c r="B422" s="98">
        <v>45114</v>
      </c>
      <c r="C422" s="97" t="s">
        <v>32</v>
      </c>
      <c r="D422" s="99">
        <v>23.89</v>
      </c>
      <c r="E422" s="99">
        <v>16.63</v>
      </c>
      <c r="F422">
        <v>2023</v>
      </c>
    </row>
    <row r="423" spans="1:6" ht="15" customHeight="1" x14ac:dyDescent="0.3">
      <c r="A423" s="97" t="s">
        <v>564</v>
      </c>
      <c r="B423" s="98">
        <v>45125</v>
      </c>
      <c r="C423" s="97" t="s">
        <v>32</v>
      </c>
      <c r="D423" s="99">
        <v>22.23</v>
      </c>
      <c r="E423" s="99">
        <v>19.48</v>
      </c>
      <c r="F423">
        <v>2023</v>
      </c>
    </row>
    <row r="424" spans="1:6" ht="15" customHeight="1" x14ac:dyDescent="0.3">
      <c r="A424" s="97" t="s">
        <v>565</v>
      </c>
      <c r="B424" s="98">
        <v>45141</v>
      </c>
      <c r="C424" s="97" t="s">
        <v>32</v>
      </c>
      <c r="D424" s="99">
        <v>22.15</v>
      </c>
      <c r="E424" s="99">
        <v>20.83</v>
      </c>
      <c r="F424">
        <v>2023</v>
      </c>
    </row>
    <row r="425" spans="1:6" ht="15" customHeight="1" x14ac:dyDescent="0.3">
      <c r="A425" s="97" t="s">
        <v>566</v>
      </c>
      <c r="B425" s="98">
        <v>45154</v>
      </c>
      <c r="C425" s="97" t="s">
        <v>32</v>
      </c>
      <c r="D425" s="99">
        <v>22.59</v>
      </c>
      <c r="E425" s="99">
        <v>22.02</v>
      </c>
      <c r="F425">
        <v>2023</v>
      </c>
    </row>
    <row r="426" spans="1:6" ht="15" customHeight="1" x14ac:dyDescent="0.3">
      <c r="A426" s="97" t="s">
        <v>567</v>
      </c>
      <c r="B426" s="98">
        <v>45175</v>
      </c>
      <c r="C426" s="97" t="s">
        <v>32</v>
      </c>
      <c r="D426" s="99">
        <v>23.57</v>
      </c>
      <c r="E426" s="99">
        <v>22.08</v>
      </c>
      <c r="F426">
        <v>2023</v>
      </c>
    </row>
    <row r="427" spans="1:6" ht="15" customHeight="1" x14ac:dyDescent="0.3">
      <c r="A427" s="97" t="s">
        <v>568</v>
      </c>
      <c r="B427" s="98">
        <v>45205</v>
      </c>
      <c r="C427" s="97" t="s">
        <v>32</v>
      </c>
      <c r="D427" s="99">
        <v>20.16</v>
      </c>
      <c r="E427" s="99">
        <v>19.420000000000002</v>
      </c>
      <c r="F427">
        <v>2023</v>
      </c>
    </row>
    <row r="428" spans="1:6" ht="15" customHeight="1" x14ac:dyDescent="0.3">
      <c r="A428" s="97" t="s">
        <v>569</v>
      </c>
      <c r="B428" s="98">
        <v>45239</v>
      </c>
      <c r="C428" s="97" t="s">
        <v>32</v>
      </c>
      <c r="D428" s="99">
        <v>14.96</v>
      </c>
      <c r="E428" s="99">
        <v>15.15</v>
      </c>
      <c r="F428">
        <v>2023</v>
      </c>
    </row>
    <row r="429" spans="1:6" ht="15" customHeight="1" x14ac:dyDescent="0.3">
      <c r="A429" s="97" t="s">
        <v>570</v>
      </c>
      <c r="B429" s="98">
        <v>45267</v>
      </c>
      <c r="C429" s="97" t="s">
        <v>32</v>
      </c>
      <c r="D429" s="99">
        <v>9.4</v>
      </c>
      <c r="E429" s="99">
        <v>10.66</v>
      </c>
      <c r="F429">
        <v>2023</v>
      </c>
    </row>
    <row r="430" spans="1:6" ht="15" customHeight="1" x14ac:dyDescent="0.3">
      <c r="A430" s="97" t="s">
        <v>571</v>
      </c>
      <c r="B430" s="98">
        <v>45295</v>
      </c>
      <c r="C430" s="97" t="s">
        <v>32</v>
      </c>
      <c r="D430" s="99">
        <v>6.99</v>
      </c>
      <c r="E430" s="99">
        <v>7.94</v>
      </c>
      <c r="F430">
        <v>2024</v>
      </c>
    </row>
    <row r="431" spans="1:6" ht="15" customHeight="1" x14ac:dyDescent="0.3">
      <c r="A431" s="97" t="s">
        <v>572</v>
      </c>
      <c r="B431" s="98">
        <v>45329</v>
      </c>
      <c r="C431" s="97" t="s">
        <v>32</v>
      </c>
      <c r="D431" s="99">
        <v>4.04</v>
      </c>
      <c r="E431" s="99">
        <v>4.33</v>
      </c>
      <c r="F431">
        <v>2024</v>
      </c>
    </row>
    <row r="432" spans="1:6" ht="15" customHeight="1" x14ac:dyDescent="0.3">
      <c r="A432" s="97" t="s">
        <v>574</v>
      </c>
      <c r="B432" s="98">
        <v>45357</v>
      </c>
      <c r="C432" s="97" t="s">
        <v>32</v>
      </c>
      <c r="D432" s="99">
        <v>4.58</v>
      </c>
      <c r="E432" s="99">
        <v>4.33</v>
      </c>
      <c r="F432">
        <v>2024</v>
      </c>
    </row>
    <row r="433" spans="1:6" ht="15" customHeight="1" x14ac:dyDescent="0.3">
      <c r="A433" s="97" t="s">
        <v>576</v>
      </c>
      <c r="B433" s="98">
        <v>45391</v>
      </c>
      <c r="C433" s="97" t="s">
        <v>32</v>
      </c>
      <c r="D433" s="99">
        <v>6.55</v>
      </c>
      <c r="E433" s="99">
        <v>6.17</v>
      </c>
      <c r="F433">
        <v>2024</v>
      </c>
    </row>
    <row r="434" spans="1:6" ht="15" customHeight="1" x14ac:dyDescent="0.3">
      <c r="A434" s="97" t="s">
        <v>577</v>
      </c>
      <c r="B434" s="98">
        <v>45418</v>
      </c>
      <c r="C434" s="97" t="s">
        <v>32</v>
      </c>
      <c r="D434" s="99">
        <v>11.25</v>
      </c>
      <c r="E434" s="99">
        <v>9.1300000000000008</v>
      </c>
      <c r="F434">
        <v>2024</v>
      </c>
    </row>
    <row r="435" spans="1:6" ht="15" customHeight="1" x14ac:dyDescent="0.3">
      <c r="A435" s="97" t="s">
        <v>578</v>
      </c>
      <c r="B435" s="98">
        <v>45446</v>
      </c>
      <c r="C435" s="97" t="s">
        <v>32</v>
      </c>
      <c r="D435" s="99">
        <v>14.05</v>
      </c>
      <c r="E435" s="99">
        <v>11.87</v>
      </c>
      <c r="F435">
        <v>2024</v>
      </c>
    </row>
    <row r="436" spans="1:6" ht="15" customHeight="1" x14ac:dyDescent="0.3">
      <c r="A436" s="97" t="s">
        <v>579</v>
      </c>
      <c r="B436" s="98">
        <v>45460</v>
      </c>
      <c r="C436" s="97" t="s">
        <v>32</v>
      </c>
      <c r="D436" s="99">
        <v>17.989999999999998</v>
      </c>
      <c r="E436" s="99">
        <v>13.97</v>
      </c>
      <c r="F436">
        <v>2024</v>
      </c>
    </row>
    <row r="437" spans="1:6" ht="15" customHeight="1" x14ac:dyDescent="0.3">
      <c r="A437" s="97" t="s">
        <v>580</v>
      </c>
      <c r="B437" s="98">
        <v>45476</v>
      </c>
      <c r="C437" s="97" t="s">
        <v>32</v>
      </c>
      <c r="D437" s="99">
        <v>18.89</v>
      </c>
      <c r="E437" s="99">
        <v>16.77</v>
      </c>
      <c r="F437">
        <v>2024</v>
      </c>
    </row>
    <row r="438" spans="1:6" ht="15" customHeight="1" x14ac:dyDescent="0.3">
      <c r="A438" s="97" t="s">
        <v>581</v>
      </c>
      <c r="B438" s="98">
        <v>45489</v>
      </c>
      <c r="C438" s="97" t="s">
        <v>32</v>
      </c>
      <c r="D438" s="99">
        <v>18.309999999999999</v>
      </c>
      <c r="E438" s="99">
        <v>18.309999999999999</v>
      </c>
      <c r="F438">
        <v>2024</v>
      </c>
    </row>
    <row r="439" spans="1:6" ht="15" customHeight="1" x14ac:dyDescent="0.3">
      <c r="A439" s="97" t="s">
        <v>582</v>
      </c>
      <c r="B439" s="98">
        <v>45505</v>
      </c>
      <c r="C439" s="97" t="s">
        <v>32</v>
      </c>
      <c r="D439" s="99">
        <v>23.21</v>
      </c>
      <c r="E439" s="99">
        <v>19.79</v>
      </c>
      <c r="F439">
        <v>2024</v>
      </c>
    </row>
    <row r="440" spans="1:6" ht="15" customHeight="1" x14ac:dyDescent="0.3">
      <c r="A440" s="97" t="s">
        <v>583</v>
      </c>
      <c r="B440" s="98">
        <v>45517</v>
      </c>
      <c r="C440" s="97" t="s">
        <v>32</v>
      </c>
      <c r="D440" s="99">
        <v>22.32</v>
      </c>
      <c r="E440" s="99">
        <v>21.06</v>
      </c>
      <c r="F440">
        <v>2024</v>
      </c>
    </row>
    <row r="441" spans="1:6" ht="15" customHeight="1" x14ac:dyDescent="0.3">
      <c r="A441" s="97" t="s">
        <v>584</v>
      </c>
      <c r="B441" s="98">
        <v>45532</v>
      </c>
      <c r="C441" s="97" t="s">
        <v>32</v>
      </c>
      <c r="D441" s="99">
        <v>23.16</v>
      </c>
      <c r="E441" s="99">
        <v>21.8</v>
      </c>
      <c r="F441">
        <v>2024</v>
      </c>
    </row>
    <row r="442" spans="1:6" ht="15" customHeight="1" x14ac:dyDescent="0.3">
      <c r="A442" s="143" t="s">
        <v>585</v>
      </c>
      <c r="B442" s="34">
        <v>45569</v>
      </c>
      <c r="C442" s="143" t="s">
        <v>32</v>
      </c>
      <c r="D442" s="144">
        <v>20.440000000000001</v>
      </c>
      <c r="E442" s="144">
        <v>20.64</v>
      </c>
      <c r="F442">
        <v>2024</v>
      </c>
    </row>
    <row r="443" spans="1:6" ht="15" customHeight="1" x14ac:dyDescent="0.3">
      <c r="A443" t="s">
        <v>601</v>
      </c>
      <c r="B443" s="34">
        <v>45688</v>
      </c>
      <c r="C443" t="s">
        <v>32</v>
      </c>
      <c r="D443">
        <v>2.2400000000000002</v>
      </c>
      <c r="E443">
        <v>2.2400000000000002</v>
      </c>
      <c r="F443">
        <v>2025</v>
      </c>
    </row>
    <row r="444" spans="1:6" ht="15" customHeight="1" x14ac:dyDescent="0.3">
      <c r="A444" t="s">
        <v>593</v>
      </c>
      <c r="B444" s="34">
        <v>45729</v>
      </c>
      <c r="C444" t="s">
        <v>32</v>
      </c>
      <c r="D444">
        <v>2.77</v>
      </c>
      <c r="E444">
        <v>2.57</v>
      </c>
      <c r="F444">
        <v>2025</v>
      </c>
    </row>
    <row r="445" spans="1:6" ht="15" customHeight="1" x14ac:dyDescent="0.3">
      <c r="A445" t="s">
        <v>594</v>
      </c>
      <c r="B445" s="34">
        <v>45749</v>
      </c>
      <c r="C445" t="s">
        <v>32</v>
      </c>
      <c r="D445">
        <v>5.25</v>
      </c>
      <c r="E445">
        <v>5.15</v>
      </c>
      <c r="F445">
        <v>2025</v>
      </c>
    </row>
    <row r="446" spans="1:6" ht="15" customHeight="1" x14ac:dyDescent="0.3">
      <c r="A446" t="s">
        <v>595</v>
      </c>
      <c r="B446" s="34">
        <v>45784</v>
      </c>
      <c r="C446" t="s">
        <v>32</v>
      </c>
      <c r="D446">
        <v>12.4</v>
      </c>
      <c r="E446">
        <v>11.12</v>
      </c>
      <c r="F446">
        <v>2025</v>
      </c>
    </row>
    <row r="447" spans="1:6" ht="15" customHeight="1" x14ac:dyDescent="0.3">
      <c r="A447" t="s">
        <v>596</v>
      </c>
      <c r="B447" s="34">
        <v>45812</v>
      </c>
      <c r="C447" t="s">
        <v>32</v>
      </c>
      <c r="D447">
        <v>15</v>
      </c>
      <c r="E447">
        <v>12.58</v>
      </c>
      <c r="F447">
        <v>2025</v>
      </c>
    </row>
    <row r="448" spans="1:6" ht="15" customHeight="1" x14ac:dyDescent="0.3">
      <c r="A448" t="s">
        <v>597</v>
      </c>
      <c r="B448" s="34">
        <v>45838</v>
      </c>
      <c r="C448" t="s">
        <v>32</v>
      </c>
      <c r="D448">
        <v>19.5</v>
      </c>
      <c r="E448">
        <v>16.260000000000002</v>
      </c>
      <c r="F448">
        <v>2025</v>
      </c>
    </row>
    <row r="449" spans="1:6" ht="15" customHeight="1" x14ac:dyDescent="0.3">
      <c r="A449" t="s">
        <v>598</v>
      </c>
      <c r="B449" s="34">
        <v>45853</v>
      </c>
      <c r="C449" t="s">
        <v>32</v>
      </c>
      <c r="D449">
        <v>22.23</v>
      </c>
      <c r="E449">
        <v>17.3</v>
      </c>
      <c r="F449">
        <v>2025</v>
      </c>
    </row>
    <row r="450" spans="1:6" ht="15" customHeight="1" x14ac:dyDescent="0.3">
      <c r="A450" t="s">
        <v>599</v>
      </c>
      <c r="B450" s="34">
        <v>45869</v>
      </c>
      <c r="C450" t="s">
        <v>32</v>
      </c>
      <c r="D450">
        <v>22.43</v>
      </c>
      <c r="E450">
        <v>19.84</v>
      </c>
      <c r="F450">
        <v>2025</v>
      </c>
    </row>
    <row r="451" spans="1:6" ht="15" customHeight="1" x14ac:dyDescent="0.3">
      <c r="A451" t="s">
        <v>600</v>
      </c>
      <c r="B451" s="34">
        <v>45881</v>
      </c>
      <c r="C451" t="s">
        <v>32</v>
      </c>
      <c r="D451">
        <v>23.64</v>
      </c>
      <c r="E451">
        <v>20.86</v>
      </c>
      <c r="F451">
        <v>2025</v>
      </c>
    </row>
    <row r="452" spans="1:6" ht="15" customHeight="1" x14ac:dyDescent="0.3">
      <c r="A452" t="s">
        <v>603</v>
      </c>
      <c r="B452" s="34">
        <v>45897</v>
      </c>
      <c r="C452" t="s">
        <v>32</v>
      </c>
      <c r="D452">
        <v>21.75</v>
      </c>
      <c r="E452">
        <v>21.76</v>
      </c>
      <c r="F452">
        <v>2025</v>
      </c>
    </row>
  </sheetData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89"/>
  <sheetViews>
    <sheetView workbookViewId="0">
      <pane ySplit="1" topLeftCell="A467" activePane="bottomLeft" state="frozen"/>
      <selection pane="bottomLeft" activeCell="F481" sqref="F481:F489"/>
    </sheetView>
  </sheetViews>
  <sheetFormatPr defaultRowHeight="15" customHeight="1" x14ac:dyDescent="0.3"/>
  <cols>
    <col min="1" max="1" width="10.44140625" bestFit="1" customWidth="1"/>
    <col min="2" max="2" width="10.6640625" bestFit="1" customWidth="1"/>
    <col min="3" max="3" width="13.109375" bestFit="1" customWidth="1"/>
    <col min="4" max="5" width="7.5546875" bestFit="1" customWidth="1"/>
    <col min="8" max="8" width="12.5546875" bestFit="1" customWidth="1"/>
    <col min="9" max="9" width="16.88671875" bestFit="1" customWidth="1"/>
    <col min="10" max="10" width="17" bestFit="1" customWidth="1"/>
    <col min="11" max="11" width="20.44140625" bestFit="1" customWidth="1"/>
  </cols>
  <sheetData>
    <row r="1" spans="1:16" ht="15" customHeight="1" x14ac:dyDescent="0.3">
      <c r="A1" s="41" t="s">
        <v>1</v>
      </c>
      <c r="B1" s="41" t="s">
        <v>3</v>
      </c>
      <c r="C1" s="41" t="s">
        <v>2</v>
      </c>
      <c r="D1" s="41" t="s">
        <v>4</v>
      </c>
      <c r="E1" s="41" t="s">
        <v>5</v>
      </c>
      <c r="F1" s="48" t="s">
        <v>480</v>
      </c>
      <c r="H1" s="47" t="s">
        <v>515</v>
      </c>
      <c r="I1" t="s">
        <v>519</v>
      </c>
      <c r="J1" t="s">
        <v>518</v>
      </c>
      <c r="K1" t="s">
        <v>520</v>
      </c>
      <c r="M1" t="s">
        <v>515</v>
      </c>
      <c r="N1" t="s">
        <v>519</v>
      </c>
      <c r="O1" t="s">
        <v>518</v>
      </c>
      <c r="P1" t="s">
        <v>520</v>
      </c>
    </row>
    <row r="2" spans="1:16" ht="15" customHeight="1" x14ac:dyDescent="0.3">
      <c r="A2" s="42" t="s">
        <v>492</v>
      </c>
      <c r="B2" s="43">
        <v>33268</v>
      </c>
      <c r="C2" s="42" t="s">
        <v>33</v>
      </c>
      <c r="D2" s="44">
        <v>3.3001999999999998</v>
      </c>
      <c r="E2" s="46">
        <v>3.3653</v>
      </c>
      <c r="F2">
        <v>1991</v>
      </c>
      <c r="H2" s="9">
        <v>1991</v>
      </c>
      <c r="I2">
        <v>14.057355555555553</v>
      </c>
      <c r="J2">
        <v>11.743128571428571</v>
      </c>
      <c r="K2">
        <v>11</v>
      </c>
      <c r="M2">
        <v>1991</v>
      </c>
      <c r="N2">
        <v>14.057355555555553</v>
      </c>
      <c r="O2">
        <v>11.743128571428571</v>
      </c>
      <c r="P2">
        <v>11</v>
      </c>
    </row>
    <row r="3" spans="1:16" ht="15" customHeight="1" x14ac:dyDescent="0.3">
      <c r="A3" s="42" t="s">
        <v>43</v>
      </c>
      <c r="B3" s="43">
        <v>33289</v>
      </c>
      <c r="C3" s="42" t="s">
        <v>33</v>
      </c>
      <c r="D3" s="44">
        <v>2.8835000000000002</v>
      </c>
      <c r="E3" s="44">
        <v>2.8714</v>
      </c>
      <c r="F3">
        <v>1991</v>
      </c>
      <c r="H3" s="9">
        <v>1992</v>
      </c>
      <c r="I3">
        <v>13.577516666666668</v>
      </c>
      <c r="J3">
        <v>11.102311111111112</v>
      </c>
      <c r="K3">
        <v>10</v>
      </c>
      <c r="M3">
        <v>1992</v>
      </c>
      <c r="N3">
        <v>13.577516666666668</v>
      </c>
      <c r="O3">
        <v>11.102311111111112</v>
      </c>
      <c r="P3">
        <v>10</v>
      </c>
    </row>
    <row r="4" spans="1:16" ht="15" customHeight="1" x14ac:dyDescent="0.3">
      <c r="A4" s="42" t="s">
        <v>44</v>
      </c>
      <c r="B4" s="43">
        <v>33322</v>
      </c>
      <c r="C4" s="42" t="s">
        <v>33</v>
      </c>
      <c r="D4" s="44">
        <v>4.3220000000000001</v>
      </c>
      <c r="E4" s="45"/>
      <c r="F4">
        <v>1991</v>
      </c>
      <c r="H4" s="9">
        <v>1993</v>
      </c>
      <c r="I4">
        <v>15.444425000000001</v>
      </c>
      <c r="J4">
        <v>10.981400000000001</v>
      </c>
      <c r="K4">
        <v>11</v>
      </c>
      <c r="M4">
        <v>1993</v>
      </c>
      <c r="N4">
        <v>15.444425000000001</v>
      </c>
      <c r="O4">
        <v>10.981400000000001</v>
      </c>
      <c r="P4">
        <v>11</v>
      </c>
    </row>
    <row r="5" spans="1:16" ht="15" customHeight="1" x14ac:dyDescent="0.3">
      <c r="A5" s="42" t="s">
        <v>45</v>
      </c>
      <c r="B5" s="43">
        <v>33330</v>
      </c>
      <c r="C5" s="42" t="s">
        <v>33</v>
      </c>
      <c r="D5" s="45"/>
      <c r="E5" s="44">
        <v>4.4436999999999998</v>
      </c>
      <c r="F5">
        <v>1991</v>
      </c>
      <c r="H5" s="9">
        <v>1994</v>
      </c>
      <c r="I5">
        <v>13.642000000000001</v>
      </c>
      <c r="J5">
        <v>9.9341666666666661</v>
      </c>
      <c r="K5">
        <v>15</v>
      </c>
      <c r="M5">
        <v>1994</v>
      </c>
      <c r="N5">
        <v>13.642000000000001</v>
      </c>
      <c r="O5">
        <v>9.9341666666666661</v>
      </c>
      <c r="P5">
        <v>15</v>
      </c>
    </row>
    <row r="6" spans="1:16" ht="15" customHeight="1" x14ac:dyDescent="0.3">
      <c r="A6" s="42" t="s">
        <v>46</v>
      </c>
      <c r="B6" s="43">
        <v>33359</v>
      </c>
      <c r="C6" s="42" t="s">
        <v>33</v>
      </c>
      <c r="D6" s="45"/>
      <c r="E6" s="45"/>
      <c r="F6">
        <v>1991</v>
      </c>
      <c r="H6" s="9">
        <v>1995</v>
      </c>
      <c r="I6">
        <v>13.48076923076923</v>
      </c>
      <c r="J6">
        <v>12.159128571428571</v>
      </c>
      <c r="K6">
        <v>14</v>
      </c>
      <c r="M6">
        <v>1995</v>
      </c>
      <c r="N6">
        <v>13.48076923076923</v>
      </c>
      <c r="O6">
        <v>12.159128571428571</v>
      </c>
      <c r="P6">
        <v>14</v>
      </c>
    </row>
    <row r="7" spans="1:16" ht="15" customHeight="1" x14ac:dyDescent="0.3">
      <c r="A7" s="42" t="s">
        <v>47</v>
      </c>
      <c r="B7" s="43">
        <v>33393</v>
      </c>
      <c r="C7" s="42" t="s">
        <v>33</v>
      </c>
      <c r="D7" s="44">
        <v>17.448599999999999</v>
      </c>
      <c r="E7" s="45"/>
      <c r="F7">
        <v>1991</v>
      </c>
      <c r="H7" s="9">
        <v>1996</v>
      </c>
      <c r="I7">
        <v>13.948571428571427</v>
      </c>
      <c r="J7">
        <v>12.926153846153849</v>
      </c>
      <c r="K7">
        <v>14</v>
      </c>
      <c r="M7">
        <v>1996</v>
      </c>
      <c r="N7">
        <v>13.948571428571427</v>
      </c>
      <c r="O7">
        <v>12.926153846153849</v>
      </c>
      <c r="P7">
        <v>14</v>
      </c>
    </row>
    <row r="8" spans="1:16" ht="15" customHeight="1" x14ac:dyDescent="0.3">
      <c r="A8" s="42" t="s">
        <v>48</v>
      </c>
      <c r="B8" s="43">
        <v>33427</v>
      </c>
      <c r="C8" s="42" t="s">
        <v>33</v>
      </c>
      <c r="D8" s="44">
        <v>21.180099999999999</v>
      </c>
      <c r="E8" s="44">
        <v>16.7302</v>
      </c>
      <c r="F8">
        <v>1991</v>
      </c>
      <c r="H8" s="9">
        <v>1997</v>
      </c>
      <c r="I8">
        <v>13.644615384615385</v>
      </c>
      <c r="J8">
        <v>11.706363636363635</v>
      </c>
      <c r="K8">
        <v>13</v>
      </c>
      <c r="M8">
        <v>1997</v>
      </c>
      <c r="N8">
        <v>13.644615384615385</v>
      </c>
      <c r="O8">
        <v>11.706363636363635</v>
      </c>
      <c r="P8">
        <v>13</v>
      </c>
    </row>
    <row r="9" spans="1:16" ht="15" customHeight="1" x14ac:dyDescent="0.3">
      <c r="A9" s="42" t="s">
        <v>49</v>
      </c>
      <c r="B9" s="43">
        <v>33463</v>
      </c>
      <c r="C9" s="42" t="s">
        <v>33</v>
      </c>
      <c r="D9" s="44">
        <v>22.715499999999999</v>
      </c>
      <c r="E9" s="45"/>
      <c r="F9">
        <v>1991</v>
      </c>
      <c r="H9" s="9">
        <v>1998</v>
      </c>
      <c r="I9">
        <v>14.975333333333333</v>
      </c>
      <c r="J9">
        <v>12.922666666666666</v>
      </c>
      <c r="K9">
        <v>15</v>
      </c>
      <c r="M9">
        <v>1998</v>
      </c>
      <c r="N9">
        <v>14.975333333333333</v>
      </c>
      <c r="O9">
        <v>12.922666666666666</v>
      </c>
      <c r="P9">
        <v>15</v>
      </c>
    </row>
    <row r="10" spans="1:16" ht="15" customHeight="1" x14ac:dyDescent="0.3">
      <c r="A10" s="42" t="s">
        <v>50</v>
      </c>
      <c r="B10" s="43">
        <v>33486</v>
      </c>
      <c r="C10" s="42" t="s">
        <v>33</v>
      </c>
      <c r="D10" s="44">
        <v>22.2285</v>
      </c>
      <c r="E10" s="44">
        <v>22.208200000000001</v>
      </c>
      <c r="F10">
        <v>1991</v>
      </c>
      <c r="H10" s="9">
        <v>1999</v>
      </c>
      <c r="I10">
        <v>15.108666666666666</v>
      </c>
      <c r="J10">
        <v>13.196</v>
      </c>
      <c r="K10">
        <v>15</v>
      </c>
      <c r="M10">
        <v>1999</v>
      </c>
      <c r="N10">
        <v>15.108666666666666</v>
      </c>
      <c r="O10">
        <v>13.196</v>
      </c>
      <c r="P10">
        <v>15</v>
      </c>
    </row>
    <row r="11" spans="1:16" ht="15" customHeight="1" x14ac:dyDescent="0.3">
      <c r="A11" s="42" t="s">
        <v>51</v>
      </c>
      <c r="B11" s="43">
        <v>33512</v>
      </c>
      <c r="C11" s="42" t="s">
        <v>33</v>
      </c>
      <c r="D11" s="44">
        <v>19.942399999999999</v>
      </c>
      <c r="E11" s="44">
        <v>19.8765</v>
      </c>
      <c r="F11">
        <v>1991</v>
      </c>
      <c r="H11" s="9">
        <v>2000</v>
      </c>
      <c r="I11">
        <v>13.598666666666668</v>
      </c>
      <c r="J11">
        <v>12.176</v>
      </c>
      <c r="K11">
        <v>15</v>
      </c>
      <c r="M11">
        <v>2000</v>
      </c>
      <c r="N11">
        <v>13.598666666666668</v>
      </c>
      <c r="O11">
        <v>12.176</v>
      </c>
      <c r="P11">
        <v>15</v>
      </c>
    </row>
    <row r="12" spans="1:16" ht="15" customHeight="1" x14ac:dyDescent="0.3">
      <c r="A12" s="42" t="s">
        <v>52</v>
      </c>
      <c r="B12" s="43">
        <v>33556</v>
      </c>
      <c r="C12" s="42" t="s">
        <v>33</v>
      </c>
      <c r="D12" s="44">
        <v>12.4954</v>
      </c>
      <c r="E12" s="44">
        <v>12.7066</v>
      </c>
      <c r="F12">
        <v>1991</v>
      </c>
      <c r="H12" s="9">
        <v>2001</v>
      </c>
      <c r="I12">
        <v>13.987142857142857</v>
      </c>
      <c r="J12">
        <v>12.445000000000004</v>
      </c>
      <c r="K12">
        <v>15</v>
      </c>
      <c r="M12">
        <v>2001</v>
      </c>
      <c r="N12">
        <v>13.987142857142857</v>
      </c>
      <c r="O12">
        <v>12.445000000000004</v>
      </c>
      <c r="P12">
        <v>15</v>
      </c>
    </row>
    <row r="13" spans="1:16" ht="15" customHeight="1" x14ac:dyDescent="0.3">
      <c r="A13" s="42" t="s">
        <v>53</v>
      </c>
      <c r="B13" s="43">
        <v>33612</v>
      </c>
      <c r="C13" s="42" t="s">
        <v>33</v>
      </c>
      <c r="D13" s="46">
        <v>5.1069000000000004</v>
      </c>
      <c r="E13" s="44">
        <v>5.4112</v>
      </c>
      <c r="F13">
        <v>1992</v>
      </c>
      <c r="H13" s="9">
        <v>2002</v>
      </c>
      <c r="I13">
        <v>14.215000000000002</v>
      </c>
      <c r="J13">
        <v>12.883571428571427</v>
      </c>
      <c r="K13">
        <v>14</v>
      </c>
      <c r="M13">
        <v>2002</v>
      </c>
      <c r="N13">
        <v>14.215000000000002</v>
      </c>
      <c r="O13">
        <v>12.883571428571427</v>
      </c>
      <c r="P13">
        <v>14</v>
      </c>
    </row>
    <row r="14" spans="1:16" ht="15" customHeight="1" x14ac:dyDescent="0.3">
      <c r="A14" s="42" t="s">
        <v>54</v>
      </c>
      <c r="B14" s="43">
        <v>33638</v>
      </c>
      <c r="C14" s="42" t="s">
        <v>33</v>
      </c>
      <c r="D14" s="44">
        <v>2.3388</v>
      </c>
      <c r="E14" s="44">
        <v>2.2604000000000002</v>
      </c>
      <c r="F14">
        <v>1992</v>
      </c>
      <c r="H14" s="9">
        <v>2003</v>
      </c>
      <c r="I14">
        <v>13.58</v>
      </c>
      <c r="J14">
        <v>11.386428571428571</v>
      </c>
      <c r="K14">
        <v>14</v>
      </c>
      <c r="M14">
        <v>2003</v>
      </c>
      <c r="N14">
        <v>13.58</v>
      </c>
      <c r="O14">
        <v>11.386428571428571</v>
      </c>
      <c r="P14">
        <v>14</v>
      </c>
    </row>
    <row r="15" spans="1:16" ht="15" customHeight="1" x14ac:dyDescent="0.3">
      <c r="A15" s="42" t="s">
        <v>55</v>
      </c>
      <c r="B15" s="43">
        <v>33729</v>
      </c>
      <c r="C15" s="42" t="s">
        <v>33</v>
      </c>
      <c r="D15" s="45"/>
      <c r="E15" s="44">
        <v>5.7537000000000003</v>
      </c>
      <c r="F15">
        <v>1992</v>
      </c>
      <c r="H15" s="9">
        <v>2004</v>
      </c>
      <c r="I15">
        <v>13.815384615384614</v>
      </c>
      <c r="J15">
        <v>11.619230769230768</v>
      </c>
      <c r="K15">
        <v>13</v>
      </c>
      <c r="M15">
        <v>2004</v>
      </c>
      <c r="N15">
        <v>13.815384615384614</v>
      </c>
      <c r="O15">
        <v>11.619230769230768</v>
      </c>
      <c r="P15">
        <v>13</v>
      </c>
    </row>
    <row r="16" spans="1:16" ht="15" customHeight="1" x14ac:dyDescent="0.3">
      <c r="A16" s="42" t="s">
        <v>56</v>
      </c>
      <c r="B16" s="43">
        <v>33757</v>
      </c>
      <c r="C16" s="42" t="s">
        <v>33</v>
      </c>
      <c r="D16" s="45"/>
      <c r="E16" s="44">
        <v>9.5611999999999995</v>
      </c>
      <c r="F16">
        <v>1992</v>
      </c>
      <c r="H16" s="9">
        <v>2005</v>
      </c>
      <c r="I16">
        <v>13.967142857142859</v>
      </c>
      <c r="J16">
        <v>11.560714285714283</v>
      </c>
      <c r="K16">
        <v>14</v>
      </c>
      <c r="M16">
        <v>2005</v>
      </c>
      <c r="N16">
        <v>13.967142857142859</v>
      </c>
      <c r="O16">
        <v>11.560714285714283</v>
      </c>
      <c r="P16">
        <v>14</v>
      </c>
    </row>
    <row r="17" spans="1:16" ht="15" customHeight="1" x14ac:dyDescent="0.3">
      <c r="A17" s="42" t="s">
        <v>57</v>
      </c>
      <c r="B17" s="43">
        <v>33793</v>
      </c>
      <c r="C17" s="42" t="s">
        <v>33</v>
      </c>
      <c r="D17" s="45"/>
      <c r="E17" s="44">
        <v>15.5999</v>
      </c>
      <c r="F17">
        <v>1992</v>
      </c>
      <c r="H17" s="9">
        <v>2006</v>
      </c>
      <c r="I17">
        <v>15.724615384615383</v>
      </c>
      <c r="J17">
        <v>13.56307692307692</v>
      </c>
      <c r="K17">
        <v>13</v>
      </c>
      <c r="M17">
        <v>2006</v>
      </c>
      <c r="N17">
        <v>15.724615384615383</v>
      </c>
      <c r="O17">
        <v>13.56307692307692</v>
      </c>
      <c r="P17">
        <v>13</v>
      </c>
    </row>
    <row r="18" spans="1:16" ht="15" customHeight="1" x14ac:dyDescent="0.3">
      <c r="A18" s="42" t="s">
        <v>58</v>
      </c>
      <c r="B18" s="43">
        <v>33821</v>
      </c>
      <c r="C18" s="42" t="s">
        <v>33</v>
      </c>
      <c r="D18" s="44">
        <v>20.853400000000001</v>
      </c>
      <c r="E18" s="45"/>
      <c r="F18">
        <v>1992</v>
      </c>
      <c r="H18" s="9">
        <v>2007</v>
      </c>
      <c r="I18">
        <v>14.091999999999997</v>
      </c>
      <c r="J18">
        <v>11.981333333333334</v>
      </c>
      <c r="K18">
        <v>15</v>
      </c>
      <c r="M18">
        <v>2007</v>
      </c>
      <c r="N18">
        <v>14.091999999999997</v>
      </c>
      <c r="O18">
        <v>11.981333333333334</v>
      </c>
      <c r="P18">
        <v>15</v>
      </c>
    </row>
    <row r="19" spans="1:16" ht="15" customHeight="1" x14ac:dyDescent="0.3">
      <c r="A19" s="42" t="s">
        <v>59</v>
      </c>
      <c r="B19" s="43">
        <v>33848</v>
      </c>
      <c r="C19" s="42" t="s">
        <v>33</v>
      </c>
      <c r="D19" s="44">
        <v>21.2118</v>
      </c>
      <c r="E19" s="44">
        <v>20.484999999999999</v>
      </c>
      <c r="F19">
        <v>1992</v>
      </c>
      <c r="H19" s="9">
        <v>2008</v>
      </c>
      <c r="I19">
        <v>14.198666666666666</v>
      </c>
      <c r="J19">
        <v>12.418000000000001</v>
      </c>
      <c r="K19">
        <v>15</v>
      </c>
      <c r="M19">
        <v>2008</v>
      </c>
      <c r="N19">
        <v>14.198666666666666</v>
      </c>
      <c r="O19">
        <v>12.418000000000001</v>
      </c>
      <c r="P19">
        <v>15</v>
      </c>
    </row>
    <row r="20" spans="1:16" ht="15" customHeight="1" x14ac:dyDescent="0.3">
      <c r="A20" s="42" t="s">
        <v>60</v>
      </c>
      <c r="B20" s="43">
        <v>33883</v>
      </c>
      <c r="C20" s="42" t="s">
        <v>33</v>
      </c>
      <c r="D20" s="44">
        <v>18.276399999999999</v>
      </c>
      <c r="E20" s="44">
        <v>18.206900000000001</v>
      </c>
      <c r="F20">
        <v>1992</v>
      </c>
      <c r="H20" s="9">
        <v>2009</v>
      </c>
      <c r="I20">
        <v>13.539333333333333</v>
      </c>
      <c r="J20">
        <v>11.574666666666667</v>
      </c>
      <c r="K20">
        <v>15</v>
      </c>
      <c r="M20">
        <v>2009</v>
      </c>
      <c r="N20">
        <v>13.539333333333333</v>
      </c>
      <c r="O20">
        <v>11.574666666666667</v>
      </c>
      <c r="P20">
        <v>15</v>
      </c>
    </row>
    <row r="21" spans="1:16" ht="15" customHeight="1" x14ac:dyDescent="0.3">
      <c r="A21" s="42" t="s">
        <v>61</v>
      </c>
      <c r="B21" s="43">
        <v>33912</v>
      </c>
      <c r="C21" s="42" t="s">
        <v>33</v>
      </c>
      <c r="D21" s="44">
        <v>13.6778</v>
      </c>
      <c r="E21" s="44">
        <v>13.9255</v>
      </c>
      <c r="F21">
        <v>1992</v>
      </c>
      <c r="H21" s="9">
        <v>2010</v>
      </c>
      <c r="I21">
        <v>14.680714285714284</v>
      </c>
      <c r="J21">
        <v>12.486428571428574</v>
      </c>
      <c r="K21">
        <v>15</v>
      </c>
      <c r="M21">
        <v>2010</v>
      </c>
      <c r="N21">
        <v>14.680714285714284</v>
      </c>
      <c r="O21">
        <v>12.486428571428574</v>
      </c>
      <c r="P21">
        <v>15</v>
      </c>
    </row>
    <row r="22" spans="1:16" ht="15" customHeight="1" x14ac:dyDescent="0.3">
      <c r="A22" s="42" t="s">
        <v>62</v>
      </c>
      <c r="B22" s="43">
        <v>33946</v>
      </c>
      <c r="C22" s="42" t="s">
        <v>33</v>
      </c>
      <c r="D22" s="45"/>
      <c r="E22" s="44">
        <v>8.7170000000000005</v>
      </c>
      <c r="F22">
        <v>1992</v>
      </c>
      <c r="H22" s="9">
        <v>2011</v>
      </c>
      <c r="I22">
        <v>14.495714285714282</v>
      </c>
      <c r="J22">
        <v>12.269285714285713</v>
      </c>
      <c r="K22">
        <v>14</v>
      </c>
      <c r="M22">
        <v>2011</v>
      </c>
      <c r="N22">
        <v>14.495714285714282</v>
      </c>
      <c r="O22">
        <v>12.269285714285713</v>
      </c>
      <c r="P22">
        <v>14</v>
      </c>
    </row>
    <row r="23" spans="1:16" ht="15" customHeight="1" x14ac:dyDescent="0.3">
      <c r="A23" s="42" t="s">
        <v>63</v>
      </c>
      <c r="B23" s="43">
        <v>33983</v>
      </c>
      <c r="C23" s="42" t="s">
        <v>33</v>
      </c>
      <c r="D23" s="44">
        <v>4.0494000000000003</v>
      </c>
      <c r="E23" s="44">
        <v>4.2202000000000002</v>
      </c>
      <c r="F23">
        <v>1993</v>
      </c>
      <c r="H23" s="9">
        <v>2012</v>
      </c>
      <c r="I23">
        <v>15.322666666666663</v>
      </c>
      <c r="J23">
        <v>13.650666666666668</v>
      </c>
      <c r="K23">
        <v>15</v>
      </c>
      <c r="M23">
        <v>2012</v>
      </c>
      <c r="N23">
        <v>15.322666666666663</v>
      </c>
      <c r="O23">
        <v>13.650666666666668</v>
      </c>
      <c r="P23">
        <v>15</v>
      </c>
    </row>
    <row r="24" spans="1:16" ht="15" customHeight="1" x14ac:dyDescent="0.3">
      <c r="A24" s="42" t="s">
        <v>64</v>
      </c>
      <c r="B24" s="43">
        <v>34008</v>
      </c>
      <c r="C24" s="42" t="s">
        <v>33</v>
      </c>
      <c r="D24" s="45"/>
      <c r="E24" s="44">
        <v>1.9651000000000001</v>
      </c>
      <c r="F24">
        <v>1993</v>
      </c>
      <c r="H24" s="9">
        <v>2013</v>
      </c>
      <c r="I24">
        <v>15</v>
      </c>
      <c r="J24">
        <v>13.054999999999998</v>
      </c>
      <c r="K24">
        <v>16</v>
      </c>
      <c r="M24">
        <v>2013</v>
      </c>
      <c r="N24">
        <v>15</v>
      </c>
      <c r="O24">
        <v>13.054999999999998</v>
      </c>
      <c r="P24">
        <v>16</v>
      </c>
    </row>
    <row r="25" spans="1:16" ht="15" customHeight="1" x14ac:dyDescent="0.3">
      <c r="A25" s="42" t="s">
        <v>65</v>
      </c>
      <c r="B25" s="43">
        <v>34036</v>
      </c>
      <c r="C25" s="42" t="s">
        <v>33</v>
      </c>
      <c r="D25" s="45"/>
      <c r="E25" s="44">
        <v>0.92259999999999998</v>
      </c>
      <c r="F25">
        <v>1993</v>
      </c>
      <c r="H25" s="9">
        <v>2014</v>
      </c>
      <c r="I25">
        <v>14.0725</v>
      </c>
      <c r="J25">
        <v>12.304375</v>
      </c>
      <c r="K25">
        <v>16</v>
      </c>
      <c r="M25">
        <v>2014</v>
      </c>
      <c r="N25">
        <v>14.0725</v>
      </c>
      <c r="O25">
        <v>12.304375</v>
      </c>
      <c r="P25">
        <v>16</v>
      </c>
    </row>
    <row r="26" spans="1:16" ht="15" customHeight="1" x14ac:dyDescent="0.3">
      <c r="A26" s="42" t="s">
        <v>66</v>
      </c>
      <c r="B26" s="43">
        <v>34094</v>
      </c>
      <c r="C26" s="42" t="s">
        <v>33</v>
      </c>
      <c r="D26" s="44">
        <v>9.8834</v>
      </c>
      <c r="E26" s="44">
        <v>5.6178999999999997</v>
      </c>
      <c r="F26">
        <v>1993</v>
      </c>
      <c r="H26" s="9">
        <v>2015</v>
      </c>
      <c r="I26">
        <v>14.207999999999998</v>
      </c>
      <c r="J26">
        <v>12.353333333333333</v>
      </c>
      <c r="K26">
        <v>15</v>
      </c>
      <c r="M26">
        <v>2015</v>
      </c>
      <c r="N26">
        <v>14.207999999999998</v>
      </c>
      <c r="O26">
        <v>12.353333333333333</v>
      </c>
      <c r="P26">
        <v>15</v>
      </c>
    </row>
    <row r="27" spans="1:16" ht="15" customHeight="1" x14ac:dyDescent="0.3">
      <c r="A27" s="42" t="s">
        <v>67</v>
      </c>
      <c r="B27" s="43">
        <v>34121</v>
      </c>
      <c r="C27" s="42" t="s">
        <v>33</v>
      </c>
      <c r="D27" s="45"/>
      <c r="E27" s="44">
        <v>10.1281</v>
      </c>
      <c r="F27">
        <v>1993</v>
      </c>
      <c r="H27" s="9">
        <v>2016</v>
      </c>
      <c r="I27">
        <v>15.670666666666664</v>
      </c>
      <c r="J27">
        <v>14.291333333333336</v>
      </c>
      <c r="K27">
        <v>15</v>
      </c>
      <c r="M27">
        <v>2016</v>
      </c>
      <c r="N27">
        <v>15.670666666666664</v>
      </c>
      <c r="O27">
        <v>14.291333333333336</v>
      </c>
      <c r="P27">
        <v>15</v>
      </c>
    </row>
    <row r="28" spans="1:16" ht="15" customHeight="1" x14ac:dyDescent="0.3">
      <c r="A28" s="42" t="s">
        <v>68</v>
      </c>
      <c r="B28" s="43">
        <v>34157</v>
      </c>
      <c r="C28" s="42" t="s">
        <v>33</v>
      </c>
      <c r="D28" s="44">
        <v>21.3416</v>
      </c>
      <c r="E28" s="44">
        <v>15.276400000000001</v>
      </c>
      <c r="F28">
        <v>1993</v>
      </c>
      <c r="H28" s="9">
        <v>2017</v>
      </c>
      <c r="I28">
        <v>14.705333333333336</v>
      </c>
      <c r="J28">
        <v>12.848000000000001</v>
      </c>
      <c r="K28">
        <v>15</v>
      </c>
      <c r="M28">
        <v>2017</v>
      </c>
      <c r="N28">
        <v>14.705333333333336</v>
      </c>
      <c r="O28">
        <v>12.848000000000001</v>
      </c>
      <c r="P28">
        <v>15</v>
      </c>
    </row>
    <row r="29" spans="1:16" ht="15" customHeight="1" x14ac:dyDescent="0.3">
      <c r="A29" s="42" t="s">
        <v>69</v>
      </c>
      <c r="B29" s="43">
        <v>34183</v>
      </c>
      <c r="C29" s="42" t="s">
        <v>33</v>
      </c>
      <c r="D29" s="44">
        <v>22.995999999999999</v>
      </c>
      <c r="E29" s="44">
        <v>18.832799999999999</v>
      </c>
      <c r="F29">
        <v>1993</v>
      </c>
      <c r="H29" s="9">
        <v>2018</v>
      </c>
      <c r="I29">
        <v>14.698125000000001</v>
      </c>
      <c r="J29">
        <v>12.423750000000004</v>
      </c>
      <c r="K29">
        <v>16</v>
      </c>
      <c r="M29">
        <v>2018</v>
      </c>
      <c r="N29">
        <v>14.698125000000001</v>
      </c>
      <c r="O29">
        <v>12.423750000000004</v>
      </c>
      <c r="P29">
        <v>16</v>
      </c>
    </row>
    <row r="30" spans="1:16" ht="15" customHeight="1" x14ac:dyDescent="0.3">
      <c r="A30" s="42" t="s">
        <v>70</v>
      </c>
      <c r="B30" s="43">
        <v>34219</v>
      </c>
      <c r="C30" s="42" t="s">
        <v>33</v>
      </c>
      <c r="D30" s="44">
        <v>23.427600000000002</v>
      </c>
      <c r="E30" s="44">
        <v>21.964300000000001</v>
      </c>
      <c r="F30">
        <v>1993</v>
      </c>
      <c r="H30" s="9">
        <v>2019</v>
      </c>
      <c r="I30">
        <v>14.021333333333333</v>
      </c>
      <c r="J30">
        <v>12.307999999999998</v>
      </c>
      <c r="K30">
        <v>15</v>
      </c>
      <c r="M30">
        <v>2019</v>
      </c>
      <c r="N30">
        <v>14.021333333333333</v>
      </c>
      <c r="O30">
        <v>12.307999999999998</v>
      </c>
      <c r="P30">
        <v>15</v>
      </c>
    </row>
    <row r="31" spans="1:16" ht="15" customHeight="1" x14ac:dyDescent="0.3">
      <c r="A31" s="42" t="s">
        <v>71</v>
      </c>
      <c r="B31" s="43">
        <v>34247</v>
      </c>
      <c r="C31" s="42" t="s">
        <v>33</v>
      </c>
      <c r="D31" s="44">
        <v>19.040400000000002</v>
      </c>
      <c r="E31" s="44">
        <v>19.002700000000001</v>
      </c>
      <c r="F31">
        <v>1993</v>
      </c>
      <c r="H31" s="9">
        <v>2020</v>
      </c>
      <c r="I31">
        <v>16.255000000000003</v>
      </c>
      <c r="J31">
        <v>14.641818181818183</v>
      </c>
      <c r="K31">
        <v>11</v>
      </c>
      <c r="M31">
        <v>2020</v>
      </c>
      <c r="N31">
        <v>16.255000000000003</v>
      </c>
      <c r="O31">
        <v>14.641818181818183</v>
      </c>
      <c r="P31">
        <v>11</v>
      </c>
    </row>
    <row r="32" spans="1:16" ht="15" customHeight="1" x14ac:dyDescent="0.3">
      <c r="A32" s="42" t="s">
        <v>494</v>
      </c>
      <c r="B32" s="43">
        <v>34275</v>
      </c>
      <c r="C32" s="42" t="s">
        <v>33</v>
      </c>
      <c r="D32" s="44">
        <v>14.4505</v>
      </c>
      <c r="E32" s="44">
        <v>14.464600000000001</v>
      </c>
      <c r="F32">
        <v>1993</v>
      </c>
      <c r="H32" s="9">
        <v>2021</v>
      </c>
      <c r="I32">
        <v>17.190714285714286</v>
      </c>
      <c r="J32">
        <v>14.847142857142856</v>
      </c>
      <c r="K32">
        <v>14</v>
      </c>
      <c r="M32">
        <v>2021</v>
      </c>
      <c r="N32">
        <v>17.190714285714286</v>
      </c>
      <c r="O32">
        <v>14.847142857142856</v>
      </c>
      <c r="P32">
        <v>14</v>
      </c>
    </row>
    <row r="33" spans="1:16" ht="15" customHeight="1" x14ac:dyDescent="0.3">
      <c r="A33" s="42" t="s">
        <v>72</v>
      </c>
      <c r="B33" s="43">
        <v>34318</v>
      </c>
      <c r="C33" s="42" t="s">
        <v>33</v>
      </c>
      <c r="D33" s="44">
        <v>8.3665000000000003</v>
      </c>
      <c r="E33" s="44">
        <v>8.4007000000000005</v>
      </c>
      <c r="F33">
        <v>1993</v>
      </c>
      <c r="H33" s="9">
        <v>2022</v>
      </c>
      <c r="I33">
        <v>15.31642857142857</v>
      </c>
      <c r="J33">
        <v>13.71142857142857</v>
      </c>
      <c r="K33">
        <v>14</v>
      </c>
      <c r="M33">
        <v>2022</v>
      </c>
      <c r="N33">
        <v>15.31642857142857</v>
      </c>
      <c r="O33">
        <v>13.71142857142857</v>
      </c>
      <c r="P33">
        <v>14</v>
      </c>
    </row>
    <row r="34" spans="1:16" ht="15" customHeight="1" x14ac:dyDescent="0.3">
      <c r="A34" s="42" t="s">
        <v>73</v>
      </c>
      <c r="B34" s="43">
        <v>34345</v>
      </c>
      <c r="C34" s="42" t="s">
        <v>33</v>
      </c>
      <c r="D34" s="44">
        <v>2.75</v>
      </c>
      <c r="E34" s="44">
        <v>2.83</v>
      </c>
      <c r="F34">
        <v>1994</v>
      </c>
      <c r="H34" s="9">
        <v>2023</v>
      </c>
      <c r="I34">
        <v>15.943076923076923</v>
      </c>
      <c r="J34">
        <v>13.83769230769231</v>
      </c>
      <c r="K34">
        <v>13</v>
      </c>
      <c r="M34" s="9">
        <v>2023</v>
      </c>
      <c r="N34">
        <v>15.943076923076923</v>
      </c>
      <c r="O34">
        <v>13.83769230769231</v>
      </c>
      <c r="P34">
        <v>13</v>
      </c>
    </row>
    <row r="35" spans="1:16" ht="15" customHeight="1" thickBot="1" x14ac:dyDescent="0.35">
      <c r="A35" s="42" t="s">
        <v>74</v>
      </c>
      <c r="B35" s="43">
        <v>34366</v>
      </c>
      <c r="C35" s="42" t="s">
        <v>33</v>
      </c>
      <c r="D35" s="44">
        <v>-0.05</v>
      </c>
      <c r="E35" s="44">
        <v>0.24</v>
      </c>
      <c r="F35">
        <v>1994</v>
      </c>
      <c r="H35" s="9">
        <v>2024</v>
      </c>
      <c r="I35">
        <v>15.66</v>
      </c>
      <c r="J35">
        <v>13.475384615384614</v>
      </c>
      <c r="K35">
        <v>13</v>
      </c>
      <c r="M35" s="122">
        <v>2024</v>
      </c>
      <c r="N35" s="115">
        <v>15.66</v>
      </c>
      <c r="O35" s="115">
        <v>13.475384615384614</v>
      </c>
      <c r="P35" s="115">
        <v>13</v>
      </c>
    </row>
    <row r="36" spans="1:16" ht="15" customHeight="1" x14ac:dyDescent="0.3">
      <c r="A36" s="42" t="s">
        <v>75</v>
      </c>
      <c r="B36" s="43">
        <v>34400</v>
      </c>
      <c r="C36" s="42" t="s">
        <v>33</v>
      </c>
      <c r="D36" s="44">
        <v>-0.25</v>
      </c>
      <c r="E36" s="44">
        <v>-0.63</v>
      </c>
      <c r="F36">
        <v>1994</v>
      </c>
      <c r="H36" s="9" t="s">
        <v>517</v>
      </c>
      <c r="I36">
        <v>14.575240215053757</v>
      </c>
      <c r="J36">
        <v>12.591948172043002</v>
      </c>
      <c r="K36">
        <v>478</v>
      </c>
      <c r="M36" t="s">
        <v>517</v>
      </c>
      <c r="N36">
        <v>14.575240215053757</v>
      </c>
      <c r="O36">
        <v>12.591948172043002</v>
      </c>
      <c r="P36">
        <v>478</v>
      </c>
    </row>
    <row r="37" spans="1:16" ht="15" customHeight="1" x14ac:dyDescent="0.3">
      <c r="A37" s="42" t="s">
        <v>76</v>
      </c>
      <c r="B37" s="43">
        <v>34429</v>
      </c>
      <c r="C37" s="42" t="s">
        <v>33</v>
      </c>
      <c r="D37" s="44">
        <v>4.2</v>
      </c>
      <c r="E37" s="44">
        <v>1.37</v>
      </c>
      <c r="F37">
        <v>1994</v>
      </c>
    </row>
    <row r="38" spans="1:16" ht="15" customHeight="1" x14ac:dyDescent="0.3">
      <c r="A38" s="42" t="s">
        <v>77</v>
      </c>
      <c r="B38" s="43">
        <v>34457</v>
      </c>
      <c r="C38" s="42" t="s">
        <v>33</v>
      </c>
      <c r="D38" s="44">
        <v>8.9</v>
      </c>
      <c r="E38" s="44">
        <v>5.3</v>
      </c>
      <c r="F38">
        <v>1994</v>
      </c>
    </row>
    <row r="39" spans="1:16" ht="15" customHeight="1" x14ac:dyDescent="0.3">
      <c r="A39" s="42" t="s">
        <v>78</v>
      </c>
      <c r="B39" s="43">
        <v>34486</v>
      </c>
      <c r="C39" s="42" t="s">
        <v>33</v>
      </c>
      <c r="D39" s="44">
        <v>13.2</v>
      </c>
      <c r="E39" s="44">
        <v>10.43</v>
      </c>
      <c r="F39">
        <v>1994</v>
      </c>
    </row>
    <row r="40" spans="1:16" ht="15" customHeight="1" x14ac:dyDescent="0.3">
      <c r="A40" s="42" t="s">
        <v>79</v>
      </c>
      <c r="B40" s="43">
        <v>34508</v>
      </c>
      <c r="C40" s="42" t="s">
        <v>33</v>
      </c>
      <c r="D40" s="44">
        <v>18.489999999999998</v>
      </c>
      <c r="E40" s="45"/>
      <c r="F40">
        <v>1994</v>
      </c>
    </row>
    <row r="41" spans="1:16" ht="15" customHeight="1" x14ac:dyDescent="0.3">
      <c r="A41" s="42" t="s">
        <v>80</v>
      </c>
      <c r="B41" s="43">
        <v>34522</v>
      </c>
      <c r="C41" s="42" t="s">
        <v>33</v>
      </c>
      <c r="D41" s="44">
        <v>22.06</v>
      </c>
      <c r="E41" s="44">
        <v>14.71</v>
      </c>
      <c r="F41">
        <v>1994</v>
      </c>
    </row>
    <row r="42" spans="1:16" ht="15" customHeight="1" x14ac:dyDescent="0.3">
      <c r="A42" s="42" t="s">
        <v>81</v>
      </c>
      <c r="B42" s="43">
        <v>34536</v>
      </c>
      <c r="C42" s="42" t="s">
        <v>33</v>
      </c>
      <c r="D42" s="44">
        <v>23.23</v>
      </c>
      <c r="E42" s="45"/>
      <c r="F42">
        <v>1994</v>
      </c>
    </row>
    <row r="43" spans="1:16" ht="15" customHeight="1" x14ac:dyDescent="0.3">
      <c r="A43" s="42" t="s">
        <v>82</v>
      </c>
      <c r="B43" s="43">
        <v>34547</v>
      </c>
      <c r="C43" s="42" t="s">
        <v>33</v>
      </c>
      <c r="D43" s="44">
        <v>24</v>
      </c>
      <c r="E43" s="44">
        <v>19.07</v>
      </c>
      <c r="F43">
        <v>1994</v>
      </c>
    </row>
    <row r="44" spans="1:16" ht="15" customHeight="1" x14ac:dyDescent="0.3">
      <c r="A44" s="42" t="s">
        <v>83</v>
      </c>
      <c r="B44" s="43">
        <v>34563</v>
      </c>
      <c r="C44" s="42" t="s">
        <v>33</v>
      </c>
      <c r="D44" s="44">
        <v>21.56</v>
      </c>
      <c r="F44">
        <v>1994</v>
      </c>
    </row>
    <row r="45" spans="1:16" ht="15" customHeight="1" x14ac:dyDescent="0.3">
      <c r="A45" s="42" t="s">
        <v>84</v>
      </c>
      <c r="B45" s="43">
        <v>34575</v>
      </c>
      <c r="C45" s="42" t="s">
        <v>33</v>
      </c>
      <c r="D45" s="44">
        <v>22.27</v>
      </c>
      <c r="E45" s="46">
        <v>21.73</v>
      </c>
      <c r="F45">
        <v>1994</v>
      </c>
    </row>
    <row r="46" spans="1:16" ht="15" customHeight="1" x14ac:dyDescent="0.3">
      <c r="A46" s="42" t="s">
        <v>86</v>
      </c>
      <c r="B46" s="43">
        <v>34611</v>
      </c>
      <c r="C46" s="42" t="s">
        <v>33</v>
      </c>
      <c r="D46" s="44">
        <v>18.809999999999999</v>
      </c>
      <c r="E46" s="44">
        <v>18.84</v>
      </c>
      <c r="F46">
        <v>1994</v>
      </c>
    </row>
    <row r="47" spans="1:16" ht="15" customHeight="1" x14ac:dyDescent="0.3">
      <c r="A47" s="42" t="s">
        <v>87</v>
      </c>
      <c r="B47" s="43">
        <v>34647</v>
      </c>
      <c r="C47" s="42" t="s">
        <v>33</v>
      </c>
      <c r="D47" s="44">
        <v>15.03</v>
      </c>
      <c r="E47" s="44">
        <v>14.91</v>
      </c>
      <c r="F47">
        <v>1994</v>
      </c>
    </row>
    <row r="48" spans="1:16" ht="15" customHeight="1" x14ac:dyDescent="0.3">
      <c r="A48" s="42" t="s">
        <v>88</v>
      </c>
      <c r="B48" s="43">
        <v>34675</v>
      </c>
      <c r="C48" s="42" t="s">
        <v>33</v>
      </c>
      <c r="D48" s="44">
        <v>10.43</v>
      </c>
      <c r="E48" s="44">
        <v>10.41</v>
      </c>
      <c r="F48">
        <v>1994</v>
      </c>
    </row>
    <row r="49" spans="1:6" ht="15" customHeight="1" x14ac:dyDescent="0.3">
      <c r="A49" s="42" t="s">
        <v>89</v>
      </c>
      <c r="B49" s="43">
        <v>34709</v>
      </c>
      <c r="C49" s="42" t="s">
        <v>33</v>
      </c>
      <c r="D49" s="44">
        <v>4.47</v>
      </c>
      <c r="E49" s="44">
        <v>5.3</v>
      </c>
      <c r="F49">
        <v>1995</v>
      </c>
    </row>
    <row r="50" spans="1:6" ht="15" customHeight="1" x14ac:dyDescent="0.3">
      <c r="A50" s="42" t="s">
        <v>90</v>
      </c>
      <c r="B50" s="43">
        <v>34745</v>
      </c>
      <c r="C50" s="42" t="s">
        <v>33</v>
      </c>
      <c r="D50" s="44">
        <v>1.0900000000000001</v>
      </c>
      <c r="E50" s="44">
        <v>1.52</v>
      </c>
      <c r="F50">
        <v>1995</v>
      </c>
    </row>
    <row r="51" spans="1:6" ht="15" customHeight="1" x14ac:dyDescent="0.3">
      <c r="A51" s="42" t="s">
        <v>91</v>
      </c>
      <c r="B51" s="43">
        <v>34765</v>
      </c>
      <c r="C51" s="42" t="s">
        <v>33</v>
      </c>
      <c r="D51" s="44">
        <v>2.13</v>
      </c>
      <c r="E51" s="44">
        <v>1.76</v>
      </c>
      <c r="F51">
        <v>1995</v>
      </c>
    </row>
    <row r="52" spans="1:6" ht="15" customHeight="1" x14ac:dyDescent="0.3">
      <c r="A52" s="42" t="s">
        <v>92</v>
      </c>
      <c r="B52" s="43">
        <v>34799</v>
      </c>
      <c r="C52" s="42" t="s">
        <v>33</v>
      </c>
      <c r="D52" s="44">
        <v>4.95</v>
      </c>
      <c r="E52" s="44">
        <v>4.2300000000000004</v>
      </c>
      <c r="F52">
        <v>1995</v>
      </c>
    </row>
    <row r="53" spans="1:6" ht="15" customHeight="1" x14ac:dyDescent="0.3">
      <c r="A53" s="42" t="s">
        <v>93</v>
      </c>
      <c r="B53" s="43">
        <v>34828</v>
      </c>
      <c r="C53" s="42" t="s">
        <v>33</v>
      </c>
      <c r="D53" s="44">
        <v>9.16</v>
      </c>
      <c r="E53" s="44">
        <v>7.51</v>
      </c>
      <c r="F53">
        <v>1995</v>
      </c>
    </row>
    <row r="54" spans="1:6" ht="15" customHeight="1" x14ac:dyDescent="0.3">
      <c r="A54" s="42" t="s">
        <v>94</v>
      </c>
      <c r="B54" s="43">
        <v>34855</v>
      </c>
      <c r="C54" s="42" t="s">
        <v>33</v>
      </c>
      <c r="D54" s="44">
        <v>16.239999999999998</v>
      </c>
      <c r="E54" s="44">
        <v>11.08</v>
      </c>
      <c r="F54">
        <v>1995</v>
      </c>
    </row>
    <row r="55" spans="1:6" ht="15" customHeight="1" x14ac:dyDescent="0.3">
      <c r="A55" s="42" t="s">
        <v>96</v>
      </c>
      <c r="B55" s="43">
        <v>34887</v>
      </c>
      <c r="C55" s="42" t="s">
        <v>33</v>
      </c>
      <c r="D55" s="44">
        <v>21.51</v>
      </c>
      <c r="E55" s="44">
        <v>14.4544</v>
      </c>
      <c r="F55">
        <v>1995</v>
      </c>
    </row>
    <row r="56" spans="1:6" ht="15" customHeight="1" x14ac:dyDescent="0.3">
      <c r="A56" s="42" t="s">
        <v>97</v>
      </c>
      <c r="B56" s="43">
        <v>34899</v>
      </c>
      <c r="C56" s="42" t="s">
        <v>33</v>
      </c>
      <c r="D56" s="44">
        <v>21.71</v>
      </c>
      <c r="E56" s="44">
        <v>17.230499999999999</v>
      </c>
      <c r="F56">
        <v>1995</v>
      </c>
    </row>
    <row r="57" spans="1:6" ht="15" customHeight="1" x14ac:dyDescent="0.3">
      <c r="A57" s="42" t="s">
        <v>98</v>
      </c>
      <c r="B57" s="43">
        <v>34913</v>
      </c>
      <c r="C57" s="42" t="s">
        <v>33</v>
      </c>
      <c r="D57" s="44">
        <v>24.01</v>
      </c>
      <c r="E57" s="44">
        <v>19.03</v>
      </c>
      <c r="F57">
        <v>1995</v>
      </c>
    </row>
    <row r="58" spans="1:6" ht="15" customHeight="1" x14ac:dyDescent="0.3">
      <c r="A58" s="42" t="s">
        <v>99</v>
      </c>
      <c r="B58" s="43">
        <v>34926</v>
      </c>
      <c r="C58" s="42" t="s">
        <v>33</v>
      </c>
      <c r="D58" s="44">
        <v>24.38</v>
      </c>
      <c r="E58" s="44">
        <v>20.43</v>
      </c>
      <c r="F58">
        <v>1995</v>
      </c>
    </row>
    <row r="59" spans="1:6" ht="15" customHeight="1" x14ac:dyDescent="0.3">
      <c r="A59" s="42" t="s">
        <v>100</v>
      </c>
      <c r="B59" s="43">
        <v>34953</v>
      </c>
      <c r="C59" s="42" t="s">
        <v>33</v>
      </c>
      <c r="D59" s="45"/>
      <c r="E59" s="44">
        <v>21.97</v>
      </c>
      <c r="F59">
        <v>1995</v>
      </c>
    </row>
    <row r="60" spans="1:6" ht="15" customHeight="1" x14ac:dyDescent="0.3">
      <c r="A60" s="42" t="s">
        <v>101</v>
      </c>
      <c r="B60" s="43">
        <v>34976</v>
      </c>
      <c r="C60" s="42" t="s">
        <v>33</v>
      </c>
      <c r="D60" s="44">
        <v>19.91</v>
      </c>
      <c r="E60" s="44">
        <v>19.8629</v>
      </c>
      <c r="F60">
        <v>1995</v>
      </c>
    </row>
    <row r="61" spans="1:6" ht="15" customHeight="1" x14ac:dyDescent="0.3">
      <c r="A61" s="42" t="s">
        <v>102</v>
      </c>
      <c r="B61" s="43">
        <v>35004</v>
      </c>
      <c r="C61" s="42" t="s">
        <v>33</v>
      </c>
      <c r="D61" s="44">
        <v>16.39</v>
      </c>
      <c r="E61" s="44">
        <v>16.5</v>
      </c>
      <c r="F61">
        <v>1995</v>
      </c>
    </row>
    <row r="62" spans="1:6" ht="15" customHeight="1" x14ac:dyDescent="0.3">
      <c r="A62" s="42" t="s">
        <v>103</v>
      </c>
      <c r="B62" s="43">
        <v>35039</v>
      </c>
      <c r="C62" s="42" t="s">
        <v>33</v>
      </c>
      <c r="D62" s="44">
        <v>9.3000000000000007</v>
      </c>
      <c r="E62" s="44">
        <v>9.35</v>
      </c>
      <c r="F62">
        <v>1995</v>
      </c>
    </row>
    <row r="63" spans="1:6" ht="15" customHeight="1" x14ac:dyDescent="0.3">
      <c r="A63" s="42" t="s">
        <v>104</v>
      </c>
      <c r="B63" s="43">
        <v>35104</v>
      </c>
      <c r="C63" s="42" t="s">
        <v>33</v>
      </c>
      <c r="D63" s="44">
        <v>0.39</v>
      </c>
      <c r="E63" s="45"/>
      <c r="F63">
        <v>1996</v>
      </c>
    </row>
    <row r="64" spans="1:6" ht="15" customHeight="1" x14ac:dyDescent="0.3">
      <c r="A64" s="42" t="s">
        <v>105</v>
      </c>
      <c r="B64" s="43">
        <v>35130</v>
      </c>
      <c r="C64" s="42" t="s">
        <v>33</v>
      </c>
      <c r="D64" s="44">
        <v>0.77</v>
      </c>
      <c r="E64" s="44">
        <v>0.75</v>
      </c>
      <c r="F64">
        <v>1996</v>
      </c>
    </row>
    <row r="65" spans="1:6" ht="15" customHeight="1" x14ac:dyDescent="0.3">
      <c r="A65" s="42" t="s">
        <v>106</v>
      </c>
      <c r="B65" s="43">
        <v>35158</v>
      </c>
      <c r="C65" s="42" t="s">
        <v>33</v>
      </c>
      <c r="D65" s="44">
        <v>3.15</v>
      </c>
      <c r="E65" s="44">
        <v>2.4700000000000002</v>
      </c>
      <c r="F65">
        <v>1996</v>
      </c>
    </row>
    <row r="66" spans="1:6" ht="15" customHeight="1" x14ac:dyDescent="0.3">
      <c r="A66" s="42" t="s">
        <v>107</v>
      </c>
      <c r="B66" s="43">
        <v>35198</v>
      </c>
      <c r="C66" s="42" t="s">
        <v>33</v>
      </c>
      <c r="D66" s="44">
        <v>9.75</v>
      </c>
      <c r="E66" s="44">
        <v>8.1199999999999992</v>
      </c>
      <c r="F66">
        <v>1996</v>
      </c>
    </row>
    <row r="67" spans="1:6" ht="15" customHeight="1" x14ac:dyDescent="0.3">
      <c r="A67" s="42" t="s">
        <v>108</v>
      </c>
      <c r="B67" s="43">
        <v>35219</v>
      </c>
      <c r="C67" s="42" t="s">
        <v>33</v>
      </c>
      <c r="D67" s="44">
        <v>13.84</v>
      </c>
      <c r="E67" s="44">
        <v>10</v>
      </c>
      <c r="F67">
        <v>1996</v>
      </c>
    </row>
    <row r="68" spans="1:6" ht="15" customHeight="1" x14ac:dyDescent="0.3">
      <c r="A68" s="42" t="s">
        <v>109</v>
      </c>
      <c r="B68" s="43">
        <v>35243</v>
      </c>
      <c r="C68" s="42" t="s">
        <v>33</v>
      </c>
      <c r="D68" s="44">
        <v>18.18</v>
      </c>
      <c r="E68" s="46">
        <v>12.39</v>
      </c>
      <c r="F68">
        <v>1996</v>
      </c>
    </row>
    <row r="69" spans="1:6" ht="15" customHeight="1" x14ac:dyDescent="0.3">
      <c r="A69" s="42" t="s">
        <v>110</v>
      </c>
      <c r="B69" s="43">
        <v>35255</v>
      </c>
      <c r="C69" s="42" t="s">
        <v>33</v>
      </c>
      <c r="D69" s="44">
        <v>19.399999999999999</v>
      </c>
      <c r="E69" s="44">
        <v>15.63</v>
      </c>
      <c r="F69">
        <v>1996</v>
      </c>
    </row>
    <row r="70" spans="1:6" ht="15" customHeight="1" x14ac:dyDescent="0.3">
      <c r="A70" s="42" t="s">
        <v>111</v>
      </c>
      <c r="B70" s="43">
        <v>35271</v>
      </c>
      <c r="C70" s="42" t="s">
        <v>33</v>
      </c>
      <c r="D70" s="44">
        <v>20.420000000000002</v>
      </c>
      <c r="E70" s="44">
        <v>18</v>
      </c>
      <c r="F70">
        <v>1996</v>
      </c>
    </row>
    <row r="71" spans="1:6" ht="15" customHeight="1" x14ac:dyDescent="0.3">
      <c r="A71" s="42" t="s">
        <v>112</v>
      </c>
      <c r="B71" s="43">
        <v>35285</v>
      </c>
      <c r="C71" s="42" t="s">
        <v>33</v>
      </c>
      <c r="D71" s="44">
        <v>22.95</v>
      </c>
      <c r="E71" s="46">
        <v>18.87</v>
      </c>
      <c r="F71">
        <v>1996</v>
      </c>
    </row>
    <row r="72" spans="1:6" ht="15" customHeight="1" x14ac:dyDescent="0.3">
      <c r="A72" s="42" t="s">
        <v>113</v>
      </c>
      <c r="B72" s="43">
        <v>35299</v>
      </c>
      <c r="C72" s="42" t="s">
        <v>33</v>
      </c>
      <c r="D72" s="44">
        <v>22.42</v>
      </c>
      <c r="E72" s="44">
        <v>19.54</v>
      </c>
      <c r="F72">
        <v>1996</v>
      </c>
    </row>
    <row r="73" spans="1:6" ht="15" customHeight="1" x14ac:dyDescent="0.3">
      <c r="A73" s="42" t="s">
        <v>114</v>
      </c>
      <c r="B73" s="43">
        <v>35314</v>
      </c>
      <c r="C73" s="42" t="s">
        <v>33</v>
      </c>
      <c r="D73" s="44">
        <v>22.84</v>
      </c>
      <c r="E73" s="46">
        <v>20.54</v>
      </c>
      <c r="F73">
        <v>1996</v>
      </c>
    </row>
    <row r="74" spans="1:6" ht="15" customHeight="1" x14ac:dyDescent="0.3">
      <c r="A74" s="42" t="s">
        <v>115</v>
      </c>
      <c r="B74" s="43">
        <v>35342</v>
      </c>
      <c r="C74" s="42" t="s">
        <v>33</v>
      </c>
      <c r="D74" s="44">
        <v>19.059999999999999</v>
      </c>
      <c r="E74" s="44">
        <v>19.05</v>
      </c>
      <c r="F74">
        <v>1996</v>
      </c>
    </row>
    <row r="75" spans="1:6" ht="15" customHeight="1" x14ac:dyDescent="0.3">
      <c r="A75" s="42" t="s">
        <v>116</v>
      </c>
      <c r="B75" s="43">
        <v>35374</v>
      </c>
      <c r="C75" s="42" t="s">
        <v>33</v>
      </c>
      <c r="D75" s="44">
        <v>14.11</v>
      </c>
      <c r="E75" s="44">
        <v>14.18</v>
      </c>
      <c r="F75">
        <v>1996</v>
      </c>
    </row>
    <row r="76" spans="1:6" ht="15" customHeight="1" x14ac:dyDescent="0.3">
      <c r="A76" s="42" t="s">
        <v>117</v>
      </c>
      <c r="B76" s="43">
        <v>35409</v>
      </c>
      <c r="C76" s="42" t="s">
        <v>33</v>
      </c>
      <c r="D76" s="44">
        <v>8</v>
      </c>
      <c r="E76" s="44">
        <v>8.5</v>
      </c>
      <c r="F76">
        <v>1996</v>
      </c>
    </row>
    <row r="77" spans="1:6" ht="15" customHeight="1" x14ac:dyDescent="0.3">
      <c r="A77" s="42" t="s">
        <v>118</v>
      </c>
      <c r="B77" s="43">
        <v>35465</v>
      </c>
      <c r="C77" s="42" t="s">
        <v>33</v>
      </c>
      <c r="D77" s="44">
        <v>2.16</v>
      </c>
      <c r="E77" s="44">
        <v>2.34</v>
      </c>
      <c r="F77">
        <v>1997</v>
      </c>
    </row>
    <row r="78" spans="1:6" ht="15" customHeight="1" x14ac:dyDescent="0.3">
      <c r="A78" s="42" t="s">
        <v>119</v>
      </c>
      <c r="B78" s="43">
        <v>35493</v>
      </c>
      <c r="C78" s="42" t="s">
        <v>33</v>
      </c>
      <c r="D78" s="44">
        <v>3.12</v>
      </c>
      <c r="E78" s="44">
        <v>3.09</v>
      </c>
      <c r="F78">
        <v>1997</v>
      </c>
    </row>
    <row r="79" spans="1:6" ht="15" customHeight="1" x14ac:dyDescent="0.3">
      <c r="A79" s="42" t="s">
        <v>120</v>
      </c>
      <c r="B79" s="43">
        <v>35522</v>
      </c>
      <c r="C79" s="42" t="s">
        <v>33</v>
      </c>
      <c r="D79" s="44">
        <v>4.7300000000000004</v>
      </c>
      <c r="E79" s="44">
        <v>4.24</v>
      </c>
      <c r="F79">
        <v>1997</v>
      </c>
    </row>
    <row r="80" spans="1:6" ht="15" customHeight="1" x14ac:dyDescent="0.3">
      <c r="A80" s="42" t="s">
        <v>121</v>
      </c>
      <c r="B80" s="43">
        <v>35559</v>
      </c>
      <c r="C80" s="42" t="s">
        <v>33</v>
      </c>
      <c r="D80" s="44">
        <v>9.43</v>
      </c>
      <c r="E80" s="44">
        <v>8.52</v>
      </c>
      <c r="F80">
        <v>1997</v>
      </c>
    </row>
    <row r="81" spans="1:6" ht="15" customHeight="1" x14ac:dyDescent="0.3">
      <c r="A81" s="42" t="s">
        <v>122</v>
      </c>
      <c r="B81" s="43">
        <v>35586</v>
      </c>
      <c r="C81" s="42" t="s">
        <v>33</v>
      </c>
      <c r="D81" s="44">
        <v>13.06</v>
      </c>
      <c r="E81" s="44">
        <v>11.05</v>
      </c>
      <c r="F81">
        <v>1997</v>
      </c>
    </row>
    <row r="82" spans="1:6" ht="15" customHeight="1" x14ac:dyDescent="0.3">
      <c r="A82" s="42" t="s">
        <v>123</v>
      </c>
      <c r="B82" s="43">
        <v>35611</v>
      </c>
      <c r="C82" s="42" t="s">
        <v>33</v>
      </c>
      <c r="D82" s="44">
        <v>20.2</v>
      </c>
      <c r="E82" s="45"/>
      <c r="F82">
        <v>1997</v>
      </c>
    </row>
    <row r="83" spans="1:6" ht="15" customHeight="1" x14ac:dyDescent="0.3">
      <c r="A83" s="42" t="s">
        <v>124</v>
      </c>
      <c r="B83" s="43">
        <v>35634</v>
      </c>
      <c r="C83" s="42" t="s">
        <v>33</v>
      </c>
      <c r="D83" s="44">
        <v>19.8</v>
      </c>
      <c r="E83" s="45"/>
      <c r="F83">
        <v>1997</v>
      </c>
    </row>
    <row r="84" spans="1:6" ht="15" customHeight="1" x14ac:dyDescent="0.3">
      <c r="A84" s="42" t="s">
        <v>125</v>
      </c>
      <c r="B84" s="43">
        <v>35646</v>
      </c>
      <c r="C84" s="42" t="s">
        <v>33</v>
      </c>
      <c r="D84" s="44">
        <v>20.87</v>
      </c>
      <c r="E84" s="44">
        <v>16.45</v>
      </c>
      <c r="F84">
        <v>1997</v>
      </c>
    </row>
    <row r="85" spans="1:6" ht="15" customHeight="1" x14ac:dyDescent="0.3">
      <c r="A85" s="42" t="s">
        <v>126</v>
      </c>
      <c r="B85" s="43">
        <v>35664</v>
      </c>
      <c r="C85" s="42" t="s">
        <v>33</v>
      </c>
      <c r="D85" s="44">
        <v>21.32</v>
      </c>
      <c r="E85" s="44">
        <v>20.28</v>
      </c>
      <c r="F85">
        <v>1997</v>
      </c>
    </row>
    <row r="86" spans="1:6" ht="15" customHeight="1" x14ac:dyDescent="0.3">
      <c r="A86" s="42" t="s">
        <v>127</v>
      </c>
      <c r="B86" s="43">
        <v>35678</v>
      </c>
      <c r="C86" s="42" t="s">
        <v>33</v>
      </c>
      <c r="D86" s="44">
        <v>21.08</v>
      </c>
      <c r="E86" s="44">
        <v>21.03</v>
      </c>
      <c r="F86">
        <v>1997</v>
      </c>
    </row>
    <row r="87" spans="1:6" ht="15" customHeight="1" x14ac:dyDescent="0.3">
      <c r="A87" s="42" t="s">
        <v>128</v>
      </c>
      <c r="B87" s="43">
        <v>35710</v>
      </c>
      <c r="C87" s="42" t="s">
        <v>33</v>
      </c>
      <c r="D87" s="44">
        <v>19.11</v>
      </c>
      <c r="E87" s="46">
        <v>19</v>
      </c>
      <c r="F87">
        <v>1997</v>
      </c>
    </row>
    <row r="88" spans="1:6" ht="15" customHeight="1" x14ac:dyDescent="0.3">
      <c r="A88" s="42" t="s">
        <v>129</v>
      </c>
      <c r="B88" s="43">
        <v>35738</v>
      </c>
      <c r="C88" s="42" t="s">
        <v>33</v>
      </c>
      <c r="D88" s="44">
        <v>14.79</v>
      </c>
      <c r="E88" s="44">
        <v>14.88</v>
      </c>
      <c r="F88">
        <v>1997</v>
      </c>
    </row>
    <row r="89" spans="1:6" ht="15" customHeight="1" x14ac:dyDescent="0.3">
      <c r="A89" s="42" t="s">
        <v>130</v>
      </c>
      <c r="B89" s="43">
        <v>35773</v>
      </c>
      <c r="C89" s="42" t="s">
        <v>33</v>
      </c>
      <c r="D89" s="44">
        <v>7.71</v>
      </c>
      <c r="E89" s="44">
        <v>7.89</v>
      </c>
      <c r="F89">
        <v>1997</v>
      </c>
    </row>
    <row r="90" spans="1:6" ht="15" customHeight="1" x14ac:dyDescent="0.3">
      <c r="A90" s="42" t="s">
        <v>131</v>
      </c>
      <c r="B90" s="43">
        <v>35803</v>
      </c>
      <c r="C90" s="42" t="s">
        <v>33</v>
      </c>
      <c r="D90" s="44">
        <v>4.87</v>
      </c>
      <c r="E90" s="44">
        <v>5.09</v>
      </c>
      <c r="F90">
        <v>1998</v>
      </c>
    </row>
    <row r="91" spans="1:6" ht="15" customHeight="1" x14ac:dyDescent="0.3">
      <c r="A91" s="42" t="s">
        <v>132</v>
      </c>
      <c r="B91" s="43">
        <v>35828</v>
      </c>
      <c r="C91" s="42" t="s">
        <v>33</v>
      </c>
      <c r="D91" s="44">
        <v>3.85</v>
      </c>
      <c r="E91" s="44">
        <v>3.68</v>
      </c>
      <c r="F91">
        <v>1998</v>
      </c>
    </row>
    <row r="92" spans="1:6" ht="15" customHeight="1" x14ac:dyDescent="0.3">
      <c r="A92" s="42" t="s">
        <v>134</v>
      </c>
      <c r="B92" s="43">
        <v>35857</v>
      </c>
      <c r="C92" s="42" t="s">
        <v>33</v>
      </c>
      <c r="D92" s="44">
        <v>4.2300000000000004</v>
      </c>
      <c r="E92" s="44">
        <v>3.94</v>
      </c>
      <c r="F92">
        <v>1998</v>
      </c>
    </row>
    <row r="93" spans="1:6" ht="15" customHeight="1" x14ac:dyDescent="0.3">
      <c r="A93" s="42" t="s">
        <v>136</v>
      </c>
      <c r="B93" s="43">
        <v>35900</v>
      </c>
      <c r="C93" s="42" t="s">
        <v>33</v>
      </c>
      <c r="D93" s="44">
        <v>7.6</v>
      </c>
      <c r="E93" s="44">
        <v>6.14</v>
      </c>
      <c r="F93">
        <v>1998</v>
      </c>
    </row>
    <row r="94" spans="1:6" ht="15" customHeight="1" x14ac:dyDescent="0.3">
      <c r="A94" s="42" t="s">
        <v>137</v>
      </c>
      <c r="B94" s="43">
        <v>35923</v>
      </c>
      <c r="C94" s="42" t="s">
        <v>33</v>
      </c>
      <c r="D94" s="44">
        <v>11.77</v>
      </c>
      <c r="E94" s="44">
        <v>8.3699999999999992</v>
      </c>
      <c r="F94">
        <v>1998</v>
      </c>
    </row>
    <row r="95" spans="1:6" ht="15" customHeight="1" x14ac:dyDescent="0.3">
      <c r="A95" s="42" t="s">
        <v>138</v>
      </c>
      <c r="B95" s="43">
        <v>35947</v>
      </c>
      <c r="C95" s="42" t="s">
        <v>33</v>
      </c>
      <c r="D95" s="44">
        <v>15.9</v>
      </c>
      <c r="E95" s="46">
        <v>12.05</v>
      </c>
      <c r="F95">
        <v>1998</v>
      </c>
    </row>
    <row r="96" spans="1:6" ht="15" customHeight="1" x14ac:dyDescent="0.3">
      <c r="A96" s="42" t="s">
        <v>139</v>
      </c>
      <c r="B96" s="43">
        <v>35972</v>
      </c>
      <c r="C96" s="42" t="s">
        <v>33</v>
      </c>
      <c r="D96" s="44">
        <v>21.4</v>
      </c>
      <c r="E96" s="44">
        <v>14.84</v>
      </c>
      <c r="F96">
        <v>1998</v>
      </c>
    </row>
    <row r="97" spans="1:6" ht="15" customHeight="1" x14ac:dyDescent="0.3">
      <c r="A97" s="42" t="s">
        <v>140</v>
      </c>
      <c r="B97" s="43">
        <v>35985</v>
      </c>
      <c r="C97" s="42" t="s">
        <v>33</v>
      </c>
      <c r="D97" s="44">
        <v>20.05</v>
      </c>
      <c r="E97" s="44">
        <v>15.53</v>
      </c>
      <c r="F97">
        <v>1998</v>
      </c>
    </row>
    <row r="98" spans="1:6" ht="15" customHeight="1" x14ac:dyDescent="0.3">
      <c r="A98" s="42" t="s">
        <v>141</v>
      </c>
      <c r="B98" s="43">
        <v>35999</v>
      </c>
      <c r="C98" s="42" t="s">
        <v>33</v>
      </c>
      <c r="D98" s="44">
        <v>21.35</v>
      </c>
      <c r="E98" s="44">
        <v>18.22</v>
      </c>
      <c r="F98">
        <v>1998</v>
      </c>
    </row>
    <row r="99" spans="1:6" ht="15" customHeight="1" x14ac:dyDescent="0.3">
      <c r="A99" s="42" t="s">
        <v>142</v>
      </c>
      <c r="B99" s="43">
        <v>36011</v>
      </c>
      <c r="C99" s="42" t="s">
        <v>33</v>
      </c>
      <c r="D99" s="44">
        <v>22.65</v>
      </c>
      <c r="E99" s="44">
        <v>19.57</v>
      </c>
      <c r="F99">
        <v>1998</v>
      </c>
    </row>
    <row r="100" spans="1:6" ht="15" customHeight="1" x14ac:dyDescent="0.3">
      <c r="A100" s="42" t="s">
        <v>143</v>
      </c>
      <c r="B100" s="43">
        <v>36025</v>
      </c>
      <c r="C100" s="42" t="s">
        <v>33</v>
      </c>
      <c r="D100" s="44">
        <v>23.11</v>
      </c>
      <c r="E100" s="44">
        <v>20.260000000000002</v>
      </c>
      <c r="F100">
        <v>1998</v>
      </c>
    </row>
    <row r="101" spans="1:6" ht="15" customHeight="1" x14ac:dyDescent="0.3">
      <c r="A101" s="42" t="s">
        <v>144</v>
      </c>
      <c r="B101" s="43">
        <v>36041</v>
      </c>
      <c r="C101" s="42" t="s">
        <v>33</v>
      </c>
      <c r="D101" s="44">
        <v>23.33</v>
      </c>
      <c r="E101" s="44">
        <v>21.48</v>
      </c>
      <c r="F101">
        <v>1998</v>
      </c>
    </row>
    <row r="102" spans="1:6" ht="15" customHeight="1" x14ac:dyDescent="0.3">
      <c r="A102" s="42" t="s">
        <v>146</v>
      </c>
      <c r="B102" s="43">
        <v>36075</v>
      </c>
      <c r="C102" s="42" t="s">
        <v>33</v>
      </c>
      <c r="D102" s="44">
        <v>19.350000000000001</v>
      </c>
      <c r="E102" s="44">
        <v>19.45</v>
      </c>
      <c r="F102">
        <v>1998</v>
      </c>
    </row>
    <row r="103" spans="1:6" ht="15" customHeight="1" x14ac:dyDescent="0.3">
      <c r="A103" s="42" t="s">
        <v>147</v>
      </c>
      <c r="B103" s="43">
        <v>36105</v>
      </c>
      <c r="C103" s="42" t="s">
        <v>33</v>
      </c>
      <c r="D103" s="44">
        <v>14.54</v>
      </c>
      <c r="E103" s="44">
        <v>14.55</v>
      </c>
      <c r="F103">
        <v>1998</v>
      </c>
    </row>
    <row r="104" spans="1:6" ht="15" customHeight="1" x14ac:dyDescent="0.3">
      <c r="A104" s="42" t="s">
        <v>148</v>
      </c>
      <c r="B104" s="43">
        <v>36132</v>
      </c>
      <c r="C104" s="42" t="s">
        <v>33</v>
      </c>
      <c r="D104" s="44">
        <v>10.63</v>
      </c>
      <c r="E104" s="44">
        <v>10.67</v>
      </c>
      <c r="F104">
        <v>1998</v>
      </c>
    </row>
    <row r="105" spans="1:6" ht="15" customHeight="1" x14ac:dyDescent="0.3">
      <c r="A105" s="42" t="s">
        <v>149</v>
      </c>
      <c r="B105" s="43">
        <v>36168</v>
      </c>
      <c r="C105" s="42" t="s">
        <v>33</v>
      </c>
      <c r="D105" s="44">
        <v>4.9000000000000004</v>
      </c>
      <c r="E105" s="44">
        <v>5.23</v>
      </c>
      <c r="F105">
        <v>1999</v>
      </c>
    </row>
    <row r="106" spans="1:6" ht="15" customHeight="1" x14ac:dyDescent="0.3">
      <c r="A106" s="42" t="s">
        <v>150</v>
      </c>
      <c r="B106" s="43">
        <v>36194</v>
      </c>
      <c r="C106" s="42" t="s">
        <v>33</v>
      </c>
      <c r="D106" s="44">
        <v>3.47</v>
      </c>
      <c r="E106" s="44">
        <v>3.38</v>
      </c>
      <c r="F106">
        <v>1999</v>
      </c>
    </row>
    <row r="107" spans="1:6" ht="15" customHeight="1" x14ac:dyDescent="0.3">
      <c r="A107" s="42" t="s">
        <v>152</v>
      </c>
      <c r="B107" s="43">
        <v>36224</v>
      </c>
      <c r="C107" s="42" t="s">
        <v>33</v>
      </c>
      <c r="D107" s="44">
        <v>3.27</v>
      </c>
      <c r="E107" s="44">
        <v>3.12</v>
      </c>
      <c r="F107">
        <v>1999</v>
      </c>
    </row>
    <row r="108" spans="1:6" ht="15" customHeight="1" x14ac:dyDescent="0.3">
      <c r="A108" s="42" t="s">
        <v>154</v>
      </c>
      <c r="B108" s="43">
        <v>36258</v>
      </c>
      <c r="C108" s="42" t="s">
        <v>33</v>
      </c>
      <c r="D108" s="44">
        <v>6.67</v>
      </c>
      <c r="E108" s="44">
        <v>4.5199999999999996</v>
      </c>
      <c r="F108">
        <v>1999</v>
      </c>
    </row>
    <row r="109" spans="1:6" ht="15" customHeight="1" x14ac:dyDescent="0.3">
      <c r="A109" s="42" t="s">
        <v>155</v>
      </c>
      <c r="B109" s="43">
        <v>36287</v>
      </c>
      <c r="C109" s="42" t="s">
        <v>33</v>
      </c>
      <c r="D109" s="44">
        <v>10.74</v>
      </c>
      <c r="E109" s="44">
        <v>7.79</v>
      </c>
      <c r="F109">
        <v>1999</v>
      </c>
    </row>
    <row r="110" spans="1:6" ht="15" customHeight="1" x14ac:dyDescent="0.3">
      <c r="A110" s="42" t="s">
        <v>156</v>
      </c>
      <c r="B110" s="43">
        <v>36312</v>
      </c>
      <c r="C110" s="42" t="s">
        <v>33</v>
      </c>
      <c r="D110" s="44">
        <v>15.82</v>
      </c>
      <c r="E110" s="44">
        <v>11.02</v>
      </c>
      <c r="F110">
        <v>1999</v>
      </c>
    </row>
    <row r="111" spans="1:6" ht="15" customHeight="1" x14ac:dyDescent="0.3">
      <c r="A111" s="42" t="s">
        <v>157</v>
      </c>
      <c r="B111" s="43">
        <v>36336</v>
      </c>
      <c r="C111" s="42" t="s">
        <v>33</v>
      </c>
      <c r="D111" s="44">
        <v>19.82</v>
      </c>
      <c r="E111" s="44">
        <v>15.34</v>
      </c>
      <c r="F111">
        <v>1999</v>
      </c>
    </row>
    <row r="112" spans="1:6" ht="15" customHeight="1" x14ac:dyDescent="0.3">
      <c r="A112" s="42" t="s">
        <v>158</v>
      </c>
      <c r="B112" s="43">
        <v>36349</v>
      </c>
      <c r="C112" s="42" t="s">
        <v>33</v>
      </c>
      <c r="D112" s="44">
        <v>23.03</v>
      </c>
      <c r="E112" s="44">
        <v>17.52</v>
      </c>
      <c r="F112">
        <v>1999</v>
      </c>
    </row>
    <row r="113" spans="1:6" ht="15" customHeight="1" x14ac:dyDescent="0.3">
      <c r="A113" s="42" t="s">
        <v>159</v>
      </c>
      <c r="B113" s="43">
        <v>36363</v>
      </c>
      <c r="C113" s="42" t="s">
        <v>33</v>
      </c>
      <c r="D113" s="44">
        <v>22.75</v>
      </c>
      <c r="E113" s="44">
        <v>19.41</v>
      </c>
      <c r="F113">
        <v>1999</v>
      </c>
    </row>
    <row r="114" spans="1:6" ht="15" customHeight="1" x14ac:dyDescent="0.3">
      <c r="A114" s="42" t="s">
        <v>160</v>
      </c>
      <c r="B114" s="43">
        <v>36377</v>
      </c>
      <c r="C114" s="42" t="s">
        <v>33</v>
      </c>
      <c r="D114" s="44">
        <v>24.11</v>
      </c>
      <c r="E114" s="44">
        <v>20.28</v>
      </c>
      <c r="F114">
        <v>1999</v>
      </c>
    </row>
    <row r="115" spans="1:6" ht="15" customHeight="1" x14ac:dyDescent="0.3">
      <c r="A115" s="42" t="s">
        <v>161</v>
      </c>
      <c r="B115" s="43">
        <v>36391</v>
      </c>
      <c r="C115" s="42" t="s">
        <v>33</v>
      </c>
      <c r="D115" s="44">
        <v>23.11</v>
      </c>
      <c r="E115" s="44">
        <v>21.53</v>
      </c>
      <c r="F115">
        <v>1999</v>
      </c>
    </row>
    <row r="116" spans="1:6" ht="15" customHeight="1" x14ac:dyDescent="0.3">
      <c r="A116" s="42" t="s">
        <v>162</v>
      </c>
      <c r="B116" s="43">
        <v>36405</v>
      </c>
      <c r="C116" s="42" t="s">
        <v>33</v>
      </c>
      <c r="D116" s="44">
        <v>21.89</v>
      </c>
      <c r="E116" s="44">
        <v>21.87</v>
      </c>
      <c r="F116">
        <v>1999</v>
      </c>
    </row>
    <row r="117" spans="1:6" ht="15" customHeight="1" x14ac:dyDescent="0.3">
      <c r="A117" s="42" t="s">
        <v>163</v>
      </c>
      <c r="B117" s="43">
        <v>36432</v>
      </c>
      <c r="C117" s="42" t="s">
        <v>33</v>
      </c>
      <c r="D117" s="46">
        <v>20.92</v>
      </c>
      <c r="E117" s="46">
        <v>20.78</v>
      </c>
      <c r="F117">
        <v>1999</v>
      </c>
    </row>
    <row r="118" spans="1:6" ht="15" customHeight="1" x14ac:dyDescent="0.3">
      <c r="A118" s="42" t="s">
        <v>164</v>
      </c>
      <c r="B118" s="43">
        <v>36466</v>
      </c>
      <c r="C118" s="42" t="s">
        <v>33</v>
      </c>
      <c r="D118" s="44">
        <v>15.98</v>
      </c>
      <c r="E118" s="44">
        <v>16.010000000000002</v>
      </c>
      <c r="F118">
        <v>1999</v>
      </c>
    </row>
    <row r="119" spans="1:6" ht="15" customHeight="1" x14ac:dyDescent="0.3">
      <c r="A119" s="42" t="s">
        <v>165</v>
      </c>
      <c r="B119" s="43">
        <v>36502</v>
      </c>
      <c r="C119" s="42" t="s">
        <v>33</v>
      </c>
      <c r="D119" s="44">
        <v>10.15</v>
      </c>
      <c r="E119" s="44">
        <v>10.14</v>
      </c>
      <c r="F119">
        <v>1999</v>
      </c>
    </row>
    <row r="120" spans="1:6" ht="15" customHeight="1" x14ac:dyDescent="0.3">
      <c r="A120" s="42" t="s">
        <v>166</v>
      </c>
      <c r="B120" s="43">
        <v>36532</v>
      </c>
      <c r="C120" s="42" t="s">
        <v>33</v>
      </c>
      <c r="D120" s="44">
        <v>5.97</v>
      </c>
      <c r="E120" s="44">
        <v>6.2</v>
      </c>
      <c r="F120">
        <v>2000</v>
      </c>
    </row>
    <row r="121" spans="1:6" ht="15" customHeight="1" x14ac:dyDescent="0.3">
      <c r="A121" s="42" t="s">
        <v>167</v>
      </c>
      <c r="B121" s="43">
        <v>36560</v>
      </c>
      <c r="C121" s="42" t="s">
        <v>33</v>
      </c>
      <c r="D121" s="44">
        <v>1</v>
      </c>
      <c r="E121" s="44">
        <v>1.07</v>
      </c>
      <c r="F121">
        <v>2000</v>
      </c>
    </row>
    <row r="122" spans="1:6" ht="15" customHeight="1" x14ac:dyDescent="0.3">
      <c r="A122" s="42" t="s">
        <v>169</v>
      </c>
      <c r="B122" s="43">
        <v>36600</v>
      </c>
      <c r="C122" s="42" t="s">
        <v>33</v>
      </c>
      <c r="D122" s="44">
        <v>3.64</v>
      </c>
      <c r="E122" s="44">
        <v>2.8</v>
      </c>
      <c r="F122">
        <v>2000</v>
      </c>
    </row>
    <row r="123" spans="1:6" ht="15" customHeight="1" x14ac:dyDescent="0.3">
      <c r="A123" s="42" t="s">
        <v>171</v>
      </c>
      <c r="B123" s="43">
        <v>36623</v>
      </c>
      <c r="C123" s="42" t="s">
        <v>33</v>
      </c>
      <c r="D123" s="44">
        <v>6.13</v>
      </c>
      <c r="E123" s="44">
        <v>5.24</v>
      </c>
      <c r="F123">
        <v>2000</v>
      </c>
    </row>
    <row r="124" spans="1:6" ht="15" customHeight="1" x14ac:dyDescent="0.3">
      <c r="A124" s="42" t="s">
        <v>172</v>
      </c>
      <c r="B124" s="43">
        <v>36648</v>
      </c>
      <c r="C124" s="42" t="s">
        <v>33</v>
      </c>
      <c r="D124" s="44">
        <v>9.18</v>
      </c>
      <c r="E124" s="44">
        <v>7.32</v>
      </c>
      <c r="F124">
        <v>2000</v>
      </c>
    </row>
    <row r="125" spans="1:6" ht="15" customHeight="1" x14ac:dyDescent="0.3">
      <c r="A125" s="42" t="s">
        <v>173</v>
      </c>
      <c r="B125" s="43">
        <v>36679</v>
      </c>
      <c r="C125" s="42" t="s">
        <v>33</v>
      </c>
      <c r="D125" s="44">
        <v>14.59</v>
      </c>
      <c r="E125" s="44">
        <v>11.14</v>
      </c>
      <c r="F125">
        <v>2000</v>
      </c>
    </row>
    <row r="126" spans="1:6" ht="15" customHeight="1" x14ac:dyDescent="0.3">
      <c r="A126" s="42" t="s">
        <v>174</v>
      </c>
      <c r="B126" s="43">
        <v>36700</v>
      </c>
      <c r="C126" s="42" t="s">
        <v>33</v>
      </c>
      <c r="D126" s="44">
        <v>18.45</v>
      </c>
      <c r="E126" s="44">
        <v>13.84</v>
      </c>
      <c r="F126">
        <v>2000</v>
      </c>
    </row>
    <row r="127" spans="1:6" ht="15" customHeight="1" x14ac:dyDescent="0.3">
      <c r="A127" s="42" t="s">
        <v>175</v>
      </c>
      <c r="B127" s="43">
        <v>36714</v>
      </c>
      <c r="C127" s="42" t="s">
        <v>33</v>
      </c>
      <c r="D127" s="44">
        <v>19.059999999999999</v>
      </c>
      <c r="E127" s="44">
        <v>16.190000000000001</v>
      </c>
      <c r="F127">
        <v>2000</v>
      </c>
    </row>
    <row r="128" spans="1:6" ht="15" customHeight="1" x14ac:dyDescent="0.3">
      <c r="A128" s="42" t="s">
        <v>176</v>
      </c>
      <c r="B128" s="43">
        <v>36727</v>
      </c>
      <c r="C128" s="42" t="s">
        <v>33</v>
      </c>
      <c r="D128" s="44">
        <v>20.14</v>
      </c>
      <c r="E128" s="44">
        <v>16.96</v>
      </c>
      <c r="F128">
        <v>2000</v>
      </c>
    </row>
    <row r="129" spans="1:6" ht="15" customHeight="1" x14ac:dyDescent="0.3">
      <c r="A129" s="42" t="s">
        <v>177</v>
      </c>
      <c r="B129" s="43">
        <v>36741</v>
      </c>
      <c r="C129" s="42" t="s">
        <v>33</v>
      </c>
      <c r="D129" s="44">
        <v>20.83</v>
      </c>
      <c r="E129" s="44">
        <v>19.010000000000002</v>
      </c>
      <c r="F129">
        <v>2000</v>
      </c>
    </row>
    <row r="130" spans="1:6" ht="15" customHeight="1" x14ac:dyDescent="0.3">
      <c r="A130" s="42" t="s">
        <v>178</v>
      </c>
      <c r="B130" s="43">
        <v>36755</v>
      </c>
      <c r="C130" s="42" t="s">
        <v>33</v>
      </c>
      <c r="D130" s="44">
        <v>21.23</v>
      </c>
      <c r="E130" s="44">
        <v>20.09</v>
      </c>
      <c r="F130">
        <v>2000</v>
      </c>
    </row>
    <row r="131" spans="1:6" ht="15" customHeight="1" x14ac:dyDescent="0.3">
      <c r="A131" s="42" t="s">
        <v>179</v>
      </c>
      <c r="B131" s="43">
        <v>36770</v>
      </c>
      <c r="C131" s="42" t="s">
        <v>33</v>
      </c>
      <c r="D131" s="44">
        <v>22.3</v>
      </c>
      <c r="E131" s="44">
        <v>20.94</v>
      </c>
      <c r="F131">
        <v>2000</v>
      </c>
    </row>
    <row r="132" spans="1:6" ht="15" customHeight="1" x14ac:dyDescent="0.3">
      <c r="A132" s="42" t="s">
        <v>180</v>
      </c>
      <c r="B132" s="43">
        <v>36801</v>
      </c>
      <c r="C132" s="42" t="s">
        <v>33</v>
      </c>
      <c r="D132" s="44">
        <v>19.61</v>
      </c>
      <c r="E132" s="44">
        <v>19.670000000000002</v>
      </c>
      <c r="F132">
        <v>2000</v>
      </c>
    </row>
    <row r="133" spans="1:6" ht="15" customHeight="1" x14ac:dyDescent="0.3">
      <c r="A133" s="42" t="s">
        <v>181</v>
      </c>
      <c r="B133" s="43">
        <v>36843</v>
      </c>
      <c r="C133" s="42" t="s">
        <v>33</v>
      </c>
      <c r="D133" s="44">
        <v>13.3</v>
      </c>
      <c r="E133" s="44">
        <v>13.38</v>
      </c>
      <c r="F133">
        <v>2000</v>
      </c>
    </row>
    <row r="134" spans="1:6" ht="15" customHeight="1" x14ac:dyDescent="0.3">
      <c r="A134" s="42" t="s">
        <v>182</v>
      </c>
      <c r="B134" s="43">
        <v>36865</v>
      </c>
      <c r="C134" s="42" t="s">
        <v>33</v>
      </c>
      <c r="D134" s="44">
        <v>8.5500000000000007</v>
      </c>
      <c r="E134" s="44">
        <v>8.7899999999999991</v>
      </c>
      <c r="F134">
        <v>2000</v>
      </c>
    </row>
    <row r="135" spans="1:6" ht="15" customHeight="1" x14ac:dyDescent="0.3">
      <c r="A135" s="42" t="s">
        <v>183</v>
      </c>
      <c r="B135" s="43">
        <v>36903</v>
      </c>
      <c r="C135" s="42" t="s">
        <v>33</v>
      </c>
      <c r="D135" s="44">
        <v>2.27</v>
      </c>
      <c r="E135" s="44">
        <v>2.31</v>
      </c>
      <c r="F135">
        <v>2001</v>
      </c>
    </row>
    <row r="136" spans="1:6" ht="15" customHeight="1" x14ac:dyDescent="0.3">
      <c r="A136" s="42" t="s">
        <v>184</v>
      </c>
      <c r="B136" s="43">
        <v>36930</v>
      </c>
      <c r="C136" s="42" t="s">
        <v>33</v>
      </c>
      <c r="D136" s="44">
        <v>1.92</v>
      </c>
      <c r="E136" s="44">
        <v>1.87</v>
      </c>
      <c r="F136">
        <v>2001</v>
      </c>
    </row>
    <row r="137" spans="1:6" ht="15" customHeight="1" x14ac:dyDescent="0.3">
      <c r="A137" s="42" t="s">
        <v>186</v>
      </c>
      <c r="B137" s="43">
        <v>36952</v>
      </c>
      <c r="C137" s="42" t="s">
        <v>33</v>
      </c>
      <c r="D137" s="44">
        <v>1.76</v>
      </c>
      <c r="E137" s="44">
        <v>1.83</v>
      </c>
      <c r="F137">
        <v>2001</v>
      </c>
    </row>
    <row r="138" spans="1:6" ht="15" customHeight="1" x14ac:dyDescent="0.3">
      <c r="A138" s="42" t="s">
        <v>187</v>
      </c>
      <c r="B138" s="43">
        <v>36986</v>
      </c>
      <c r="C138" s="42" t="s">
        <v>33</v>
      </c>
      <c r="D138" s="44">
        <v>4.5599999999999996</v>
      </c>
      <c r="E138" s="44">
        <v>3.26</v>
      </c>
      <c r="F138">
        <v>2001</v>
      </c>
    </row>
    <row r="139" spans="1:6" ht="15" customHeight="1" x14ac:dyDescent="0.3">
      <c r="A139" s="42" t="s">
        <v>188</v>
      </c>
      <c r="B139" s="43">
        <v>37013</v>
      </c>
      <c r="C139" s="42" t="s">
        <v>33</v>
      </c>
      <c r="D139" s="45"/>
      <c r="E139" s="45"/>
      <c r="F139">
        <v>2001</v>
      </c>
    </row>
    <row r="140" spans="1:6" ht="15" customHeight="1" x14ac:dyDescent="0.3">
      <c r="A140" s="42" t="s">
        <v>189</v>
      </c>
      <c r="B140" s="43">
        <v>37047</v>
      </c>
      <c r="C140" s="42" t="s">
        <v>33</v>
      </c>
      <c r="D140" s="44">
        <v>13.55</v>
      </c>
      <c r="E140" s="44">
        <v>11.28</v>
      </c>
      <c r="F140">
        <v>2001</v>
      </c>
    </row>
    <row r="141" spans="1:6" ht="15" customHeight="1" x14ac:dyDescent="0.3">
      <c r="A141" s="42" t="s">
        <v>190</v>
      </c>
      <c r="B141" s="43">
        <v>37064</v>
      </c>
      <c r="C141" s="42" t="s">
        <v>33</v>
      </c>
      <c r="D141" s="44">
        <v>18.04</v>
      </c>
      <c r="E141" s="44">
        <v>12.93</v>
      </c>
      <c r="F141">
        <v>2001</v>
      </c>
    </row>
    <row r="142" spans="1:6" ht="15" customHeight="1" x14ac:dyDescent="0.3">
      <c r="A142" s="42" t="s">
        <v>191</v>
      </c>
      <c r="B142" s="43">
        <v>37083</v>
      </c>
      <c r="C142" s="42" t="s">
        <v>33</v>
      </c>
      <c r="D142" s="44">
        <v>19.739999999999998</v>
      </c>
      <c r="E142" s="44">
        <v>15.86</v>
      </c>
      <c r="F142">
        <v>2001</v>
      </c>
    </row>
    <row r="143" spans="1:6" ht="15" customHeight="1" x14ac:dyDescent="0.3">
      <c r="A143" s="42" t="s">
        <v>192</v>
      </c>
      <c r="B143" s="43">
        <v>37098</v>
      </c>
      <c r="C143" s="42" t="s">
        <v>33</v>
      </c>
      <c r="D143" s="44">
        <v>20.98</v>
      </c>
      <c r="E143" s="44">
        <v>18.78</v>
      </c>
      <c r="F143">
        <v>2001</v>
      </c>
    </row>
    <row r="144" spans="1:6" ht="15" customHeight="1" x14ac:dyDescent="0.3">
      <c r="A144" s="42" t="s">
        <v>193</v>
      </c>
      <c r="B144" s="43">
        <v>37109</v>
      </c>
      <c r="C144" s="42" t="s">
        <v>33</v>
      </c>
      <c r="D144" s="44">
        <v>22.64</v>
      </c>
      <c r="E144" s="44">
        <v>19.21</v>
      </c>
      <c r="F144">
        <v>2001</v>
      </c>
    </row>
    <row r="145" spans="1:6" ht="15" customHeight="1" x14ac:dyDescent="0.3">
      <c r="A145" s="42" t="s">
        <v>194</v>
      </c>
      <c r="B145" s="43">
        <v>37123</v>
      </c>
      <c r="C145" s="42" t="s">
        <v>33</v>
      </c>
      <c r="D145" s="44">
        <v>22.58</v>
      </c>
      <c r="E145" s="44">
        <v>20.9</v>
      </c>
      <c r="F145">
        <v>2001</v>
      </c>
    </row>
    <row r="146" spans="1:6" ht="15" customHeight="1" x14ac:dyDescent="0.3">
      <c r="A146" s="42" t="s">
        <v>196</v>
      </c>
      <c r="B146" s="43">
        <v>37139</v>
      </c>
      <c r="C146" s="42" t="s">
        <v>33</v>
      </c>
      <c r="D146" s="44">
        <v>22.74</v>
      </c>
      <c r="E146" s="44">
        <v>21.46</v>
      </c>
      <c r="F146">
        <v>2001</v>
      </c>
    </row>
    <row r="147" spans="1:6" ht="15" customHeight="1" x14ac:dyDescent="0.3">
      <c r="A147" s="42" t="s">
        <v>198</v>
      </c>
      <c r="B147" s="43">
        <v>37167</v>
      </c>
      <c r="C147" s="42" t="s">
        <v>33</v>
      </c>
      <c r="D147" s="44">
        <v>19.63</v>
      </c>
      <c r="E147" s="44">
        <v>19.39</v>
      </c>
      <c r="F147">
        <v>2001</v>
      </c>
    </row>
    <row r="148" spans="1:6" ht="15" customHeight="1" x14ac:dyDescent="0.3">
      <c r="A148" s="42" t="s">
        <v>199</v>
      </c>
      <c r="B148" s="43">
        <v>37209</v>
      </c>
      <c r="C148" s="42" t="s">
        <v>33</v>
      </c>
      <c r="D148" s="44">
        <v>13.31</v>
      </c>
      <c r="E148" s="44">
        <v>13.3</v>
      </c>
      <c r="F148">
        <v>2001</v>
      </c>
    </row>
    <row r="149" spans="1:6" ht="15" customHeight="1" x14ac:dyDescent="0.3">
      <c r="A149" s="42" t="s">
        <v>200</v>
      </c>
      <c r="B149" s="43">
        <v>37231</v>
      </c>
      <c r="C149" s="42" t="s">
        <v>33</v>
      </c>
      <c r="D149" s="44">
        <v>12.1</v>
      </c>
      <c r="E149" s="44">
        <v>11.85</v>
      </c>
      <c r="F149">
        <v>2001</v>
      </c>
    </row>
    <row r="150" spans="1:6" ht="15" customHeight="1" x14ac:dyDescent="0.3">
      <c r="A150" s="42" t="s">
        <v>201</v>
      </c>
      <c r="B150" s="43">
        <v>37270</v>
      </c>
      <c r="C150" s="42" t="s">
        <v>33</v>
      </c>
      <c r="D150" s="44">
        <v>5.57</v>
      </c>
      <c r="E150" s="44">
        <v>5.56</v>
      </c>
      <c r="F150">
        <v>2002</v>
      </c>
    </row>
    <row r="151" spans="1:6" ht="15" customHeight="1" x14ac:dyDescent="0.3">
      <c r="A151" s="42" t="s">
        <v>202</v>
      </c>
      <c r="B151" s="43">
        <v>37294</v>
      </c>
      <c r="C151" s="42" t="s">
        <v>33</v>
      </c>
      <c r="D151" s="44">
        <v>4.34</v>
      </c>
      <c r="E151" s="44">
        <v>4.3600000000000003</v>
      </c>
      <c r="F151">
        <v>2002</v>
      </c>
    </row>
    <row r="152" spans="1:6" ht="15" customHeight="1" x14ac:dyDescent="0.3">
      <c r="A152" s="42" t="s">
        <v>204</v>
      </c>
      <c r="B152" s="43">
        <v>37316</v>
      </c>
      <c r="C152" s="42" t="s">
        <v>33</v>
      </c>
      <c r="D152" s="44">
        <v>4.4000000000000004</v>
      </c>
      <c r="E152" s="44">
        <v>4.42</v>
      </c>
      <c r="F152">
        <v>2002</v>
      </c>
    </row>
    <row r="153" spans="1:6" ht="15" customHeight="1" x14ac:dyDescent="0.3">
      <c r="A153" s="42" t="s">
        <v>206</v>
      </c>
      <c r="B153" s="43">
        <v>37351</v>
      </c>
      <c r="C153" s="42" t="s">
        <v>33</v>
      </c>
      <c r="D153" s="44">
        <v>6.44</v>
      </c>
      <c r="E153" s="44">
        <v>5.61</v>
      </c>
      <c r="F153">
        <v>2002</v>
      </c>
    </row>
    <row r="154" spans="1:6" ht="15" customHeight="1" x14ac:dyDescent="0.3">
      <c r="A154" s="42" t="s">
        <v>207</v>
      </c>
      <c r="B154" s="43">
        <v>37385</v>
      </c>
      <c r="C154" s="42" t="s">
        <v>33</v>
      </c>
      <c r="D154" s="44">
        <v>11.45</v>
      </c>
      <c r="E154" s="44">
        <v>9.0500000000000007</v>
      </c>
      <c r="F154">
        <v>2002</v>
      </c>
    </row>
    <row r="155" spans="1:6" ht="15" customHeight="1" x14ac:dyDescent="0.3">
      <c r="A155" s="42" t="s">
        <v>208</v>
      </c>
      <c r="B155" s="43">
        <v>37417</v>
      </c>
      <c r="C155" s="42" t="s">
        <v>33</v>
      </c>
      <c r="D155" s="44">
        <v>16.73</v>
      </c>
      <c r="E155" s="44">
        <v>12.35</v>
      </c>
      <c r="F155">
        <v>2002</v>
      </c>
    </row>
    <row r="156" spans="1:6" ht="15" customHeight="1" x14ac:dyDescent="0.3">
      <c r="A156" s="42" t="s">
        <v>210</v>
      </c>
      <c r="B156" s="43">
        <v>37447</v>
      </c>
      <c r="C156" s="42" t="s">
        <v>33</v>
      </c>
      <c r="D156" s="44">
        <v>21.08</v>
      </c>
      <c r="E156" s="44">
        <v>15.86</v>
      </c>
      <c r="F156">
        <v>2002</v>
      </c>
    </row>
    <row r="157" spans="1:6" ht="15" customHeight="1" x14ac:dyDescent="0.3">
      <c r="A157" s="42" t="s">
        <v>211</v>
      </c>
      <c r="B157" s="43">
        <v>37462</v>
      </c>
      <c r="C157" s="42" t="s">
        <v>33</v>
      </c>
      <c r="D157" s="44">
        <v>20.51</v>
      </c>
      <c r="E157" s="44">
        <v>18.7</v>
      </c>
      <c r="F157">
        <v>2002</v>
      </c>
    </row>
    <row r="158" spans="1:6" ht="15" customHeight="1" x14ac:dyDescent="0.3">
      <c r="A158" s="42" t="s">
        <v>212</v>
      </c>
      <c r="B158" s="43">
        <v>37476</v>
      </c>
      <c r="C158" s="42" t="s">
        <v>33</v>
      </c>
      <c r="D158" s="44">
        <v>23.2</v>
      </c>
      <c r="E158" s="44">
        <v>20.170000000000002</v>
      </c>
      <c r="F158">
        <v>2002</v>
      </c>
    </row>
    <row r="159" spans="1:6" ht="15" customHeight="1" x14ac:dyDescent="0.3">
      <c r="A159" s="42" t="s">
        <v>213</v>
      </c>
      <c r="B159" s="43">
        <v>37491</v>
      </c>
      <c r="C159" s="42" t="s">
        <v>33</v>
      </c>
      <c r="D159" s="44">
        <v>23.41</v>
      </c>
      <c r="E159" s="44">
        <v>21.99</v>
      </c>
      <c r="F159">
        <v>2002</v>
      </c>
    </row>
    <row r="160" spans="1:6" ht="15" customHeight="1" x14ac:dyDescent="0.3">
      <c r="A160" s="42" t="s">
        <v>214</v>
      </c>
      <c r="B160" s="43">
        <v>37512</v>
      </c>
      <c r="C160" s="42" t="s">
        <v>33</v>
      </c>
      <c r="D160" s="44">
        <v>21.7</v>
      </c>
      <c r="E160" s="44">
        <v>21.75</v>
      </c>
      <c r="F160">
        <v>2002</v>
      </c>
    </row>
    <row r="161" spans="1:6" ht="15" customHeight="1" x14ac:dyDescent="0.3">
      <c r="A161" s="42" t="s">
        <v>215</v>
      </c>
      <c r="B161" s="43">
        <v>37539</v>
      </c>
      <c r="C161" s="42" t="s">
        <v>33</v>
      </c>
      <c r="D161" s="44">
        <v>20.399999999999999</v>
      </c>
      <c r="E161" s="44">
        <v>20.51</v>
      </c>
      <c r="F161">
        <v>2002</v>
      </c>
    </row>
    <row r="162" spans="1:6" ht="15" customHeight="1" x14ac:dyDescent="0.3">
      <c r="A162" s="42" t="s">
        <v>216</v>
      </c>
      <c r="B162" s="43">
        <v>37574</v>
      </c>
      <c r="C162" s="42" t="s">
        <v>33</v>
      </c>
      <c r="D162" s="44">
        <v>12.99</v>
      </c>
      <c r="E162" s="44">
        <v>13.29</v>
      </c>
      <c r="F162">
        <v>2002</v>
      </c>
    </row>
    <row r="163" spans="1:6" ht="15" customHeight="1" x14ac:dyDescent="0.3">
      <c r="A163" s="42" t="s">
        <v>217</v>
      </c>
      <c r="B163" s="43">
        <v>37603</v>
      </c>
      <c r="C163" s="42" t="s">
        <v>33</v>
      </c>
      <c r="D163" s="44">
        <v>6.79</v>
      </c>
      <c r="E163" s="44">
        <v>6.75</v>
      </c>
      <c r="F163">
        <v>2002</v>
      </c>
    </row>
    <row r="164" spans="1:6" ht="15" customHeight="1" x14ac:dyDescent="0.3">
      <c r="A164" s="42" t="s">
        <v>218</v>
      </c>
      <c r="B164" s="43">
        <v>37658</v>
      </c>
      <c r="C164" s="42" t="s">
        <v>33</v>
      </c>
      <c r="D164" s="44">
        <v>0.65</v>
      </c>
      <c r="E164" s="44">
        <v>0.56999999999999995</v>
      </c>
      <c r="F164">
        <v>2003</v>
      </c>
    </row>
    <row r="165" spans="1:6" ht="15" customHeight="1" x14ac:dyDescent="0.3">
      <c r="A165" s="42" t="s">
        <v>219</v>
      </c>
      <c r="B165" s="43">
        <v>37691</v>
      </c>
      <c r="C165" s="42" t="s">
        <v>33</v>
      </c>
      <c r="D165" s="44">
        <v>-0.13</v>
      </c>
      <c r="E165" s="44">
        <v>-0.11</v>
      </c>
      <c r="F165">
        <v>2003</v>
      </c>
    </row>
    <row r="166" spans="1:6" ht="15" customHeight="1" x14ac:dyDescent="0.3">
      <c r="A166" s="42" t="s">
        <v>221</v>
      </c>
      <c r="B166" s="43">
        <v>37713</v>
      </c>
      <c r="C166" s="42" t="s">
        <v>33</v>
      </c>
      <c r="D166" s="44">
        <v>3.15</v>
      </c>
      <c r="E166" s="44">
        <v>2.0699999999999998</v>
      </c>
      <c r="F166">
        <v>2003</v>
      </c>
    </row>
    <row r="167" spans="1:6" ht="15" customHeight="1" x14ac:dyDescent="0.3">
      <c r="A167" s="42" t="s">
        <v>222</v>
      </c>
      <c r="B167" s="43">
        <v>37748</v>
      </c>
      <c r="C167" s="42" t="s">
        <v>33</v>
      </c>
      <c r="D167" s="44">
        <v>9.52</v>
      </c>
      <c r="E167" s="44">
        <v>5.96</v>
      </c>
      <c r="F167">
        <v>2003</v>
      </c>
    </row>
    <row r="168" spans="1:6" ht="15" customHeight="1" x14ac:dyDescent="0.3">
      <c r="A168" s="42" t="s">
        <v>223</v>
      </c>
      <c r="B168" s="43">
        <v>37776</v>
      </c>
      <c r="C168" s="42" t="s">
        <v>33</v>
      </c>
      <c r="D168" s="44">
        <v>13.26</v>
      </c>
      <c r="E168" s="44">
        <v>9.07</v>
      </c>
      <c r="F168">
        <v>2003</v>
      </c>
    </row>
    <row r="169" spans="1:6" ht="15" customHeight="1" x14ac:dyDescent="0.3">
      <c r="A169" s="42" t="s">
        <v>224</v>
      </c>
      <c r="B169" s="43">
        <v>37791</v>
      </c>
      <c r="C169" s="42" t="s">
        <v>33</v>
      </c>
      <c r="D169" s="44">
        <v>14.87</v>
      </c>
      <c r="E169" s="44">
        <v>11.47</v>
      </c>
      <c r="F169">
        <v>2003</v>
      </c>
    </row>
    <row r="170" spans="1:6" ht="15" customHeight="1" x14ac:dyDescent="0.3">
      <c r="A170" s="42" t="s">
        <v>225</v>
      </c>
      <c r="B170" s="43">
        <v>37811</v>
      </c>
      <c r="C170" s="42" t="s">
        <v>33</v>
      </c>
      <c r="D170" s="44">
        <v>21.98</v>
      </c>
      <c r="E170" s="44">
        <v>13.55</v>
      </c>
      <c r="F170">
        <v>2003</v>
      </c>
    </row>
    <row r="171" spans="1:6" ht="15" customHeight="1" x14ac:dyDescent="0.3">
      <c r="A171" s="42" t="s">
        <v>226</v>
      </c>
      <c r="B171" s="43">
        <v>37827</v>
      </c>
      <c r="C171" s="42" t="s">
        <v>33</v>
      </c>
      <c r="D171" s="44">
        <v>20.100000000000001</v>
      </c>
      <c r="E171" s="44">
        <v>16.510000000000002</v>
      </c>
      <c r="F171">
        <v>2003</v>
      </c>
    </row>
    <row r="172" spans="1:6" ht="15" customHeight="1" x14ac:dyDescent="0.3">
      <c r="A172" s="42" t="s">
        <v>227</v>
      </c>
      <c r="B172" s="43">
        <v>37838</v>
      </c>
      <c r="C172" s="42" t="s">
        <v>33</v>
      </c>
      <c r="D172" s="44">
        <v>21.14</v>
      </c>
      <c r="E172" s="44">
        <v>18.350000000000001</v>
      </c>
      <c r="F172">
        <v>2003</v>
      </c>
    </row>
    <row r="173" spans="1:6" ht="15" customHeight="1" x14ac:dyDescent="0.3">
      <c r="A173" s="42" t="s">
        <v>228</v>
      </c>
      <c r="B173" s="43">
        <v>37854</v>
      </c>
      <c r="C173" s="42" t="s">
        <v>33</v>
      </c>
      <c r="D173" s="44">
        <v>23.17</v>
      </c>
      <c r="E173" s="44">
        <v>19.41</v>
      </c>
      <c r="F173">
        <v>2003</v>
      </c>
    </row>
    <row r="174" spans="1:6" ht="15" customHeight="1" x14ac:dyDescent="0.3">
      <c r="A174" s="42" t="s">
        <v>229</v>
      </c>
      <c r="B174" s="43">
        <v>37872</v>
      </c>
      <c r="C174" s="42" t="s">
        <v>33</v>
      </c>
      <c r="D174" s="44">
        <v>21.1</v>
      </c>
      <c r="E174" s="44">
        <v>20.54</v>
      </c>
      <c r="F174">
        <v>2003</v>
      </c>
    </row>
    <row r="175" spans="1:6" ht="15" customHeight="1" x14ac:dyDescent="0.3">
      <c r="A175" s="42" t="s">
        <v>230</v>
      </c>
      <c r="B175" s="43">
        <v>37901</v>
      </c>
      <c r="C175" s="42" t="s">
        <v>33</v>
      </c>
      <c r="D175" s="44">
        <v>18.82</v>
      </c>
      <c r="E175" s="44">
        <v>18.97</v>
      </c>
      <c r="F175">
        <v>2003</v>
      </c>
    </row>
    <row r="176" spans="1:6" ht="15" customHeight="1" x14ac:dyDescent="0.3">
      <c r="A176" s="42" t="s">
        <v>231</v>
      </c>
      <c r="B176" s="43">
        <v>37931</v>
      </c>
      <c r="C176" s="42" t="s">
        <v>33</v>
      </c>
      <c r="D176" s="44">
        <v>15.05</v>
      </c>
      <c r="E176" s="44">
        <v>15.21</v>
      </c>
      <c r="F176">
        <v>2003</v>
      </c>
    </row>
    <row r="177" spans="1:6" ht="15" customHeight="1" x14ac:dyDescent="0.3">
      <c r="A177" s="42" t="s">
        <v>232</v>
      </c>
      <c r="B177" s="43">
        <v>37965</v>
      </c>
      <c r="C177" s="42" t="s">
        <v>33</v>
      </c>
      <c r="D177" s="44">
        <v>7.44</v>
      </c>
      <c r="E177" s="44">
        <v>7.84</v>
      </c>
      <c r="F177">
        <v>2003</v>
      </c>
    </row>
    <row r="178" spans="1:6" ht="15" customHeight="1" x14ac:dyDescent="0.3">
      <c r="A178" s="42" t="s">
        <v>497</v>
      </c>
      <c r="B178" s="43">
        <v>37999</v>
      </c>
      <c r="C178" s="42" t="s">
        <v>33</v>
      </c>
      <c r="D178" s="44">
        <v>3.31</v>
      </c>
      <c r="E178" s="44">
        <v>3.56</v>
      </c>
      <c r="F178">
        <v>2004</v>
      </c>
    </row>
    <row r="179" spans="1:6" ht="15" customHeight="1" x14ac:dyDescent="0.3">
      <c r="A179" s="42" t="s">
        <v>233</v>
      </c>
      <c r="B179" s="43">
        <v>38020</v>
      </c>
      <c r="C179" s="42" t="s">
        <v>33</v>
      </c>
      <c r="D179" s="44">
        <v>-0.68</v>
      </c>
      <c r="E179" s="44">
        <v>-0.64</v>
      </c>
      <c r="F179">
        <v>2004</v>
      </c>
    </row>
    <row r="180" spans="1:6" ht="15" customHeight="1" x14ac:dyDescent="0.3">
      <c r="A180" s="42" t="s">
        <v>235</v>
      </c>
      <c r="B180" s="43">
        <v>38048</v>
      </c>
      <c r="C180" s="42" t="s">
        <v>33</v>
      </c>
      <c r="D180" s="44">
        <v>1.48</v>
      </c>
      <c r="E180" s="44">
        <v>0.57999999999999996</v>
      </c>
      <c r="F180">
        <v>2004</v>
      </c>
    </row>
    <row r="181" spans="1:6" ht="15" customHeight="1" x14ac:dyDescent="0.3">
      <c r="A181" s="42" t="s">
        <v>237</v>
      </c>
      <c r="B181" s="43">
        <v>38089</v>
      </c>
      <c r="C181" s="42" t="s">
        <v>33</v>
      </c>
      <c r="D181" s="44">
        <v>5.27</v>
      </c>
      <c r="E181" s="44">
        <v>3.56</v>
      </c>
      <c r="F181">
        <v>2004</v>
      </c>
    </row>
    <row r="182" spans="1:6" ht="15" customHeight="1" x14ac:dyDescent="0.3">
      <c r="A182" s="42" t="s">
        <v>238</v>
      </c>
      <c r="B182" s="43">
        <v>38114</v>
      </c>
      <c r="C182" s="42" t="s">
        <v>33</v>
      </c>
      <c r="D182" s="44">
        <v>10.66</v>
      </c>
      <c r="E182" s="44">
        <v>6.74</v>
      </c>
      <c r="F182">
        <v>2004</v>
      </c>
    </row>
    <row r="183" spans="1:6" ht="15" customHeight="1" x14ac:dyDescent="0.3">
      <c r="A183" s="42" t="s">
        <v>239</v>
      </c>
      <c r="B183" s="43">
        <v>38141</v>
      </c>
      <c r="C183" s="42" t="s">
        <v>33</v>
      </c>
      <c r="D183" s="44">
        <v>13.49</v>
      </c>
      <c r="E183" s="44">
        <v>9.99</v>
      </c>
      <c r="F183">
        <v>2004</v>
      </c>
    </row>
    <row r="184" spans="1:6" ht="15" customHeight="1" x14ac:dyDescent="0.3">
      <c r="A184" s="42" t="s">
        <v>240</v>
      </c>
      <c r="B184" s="43">
        <v>38166</v>
      </c>
      <c r="C184" s="42" t="s">
        <v>33</v>
      </c>
      <c r="D184" s="44">
        <v>19.11</v>
      </c>
      <c r="E184" s="44">
        <v>14.5</v>
      </c>
      <c r="F184">
        <v>2004</v>
      </c>
    </row>
    <row r="185" spans="1:6" ht="15" customHeight="1" x14ac:dyDescent="0.3">
      <c r="A185" s="42" t="s">
        <v>241</v>
      </c>
      <c r="B185" s="43">
        <v>38175</v>
      </c>
      <c r="C185" s="42" t="s">
        <v>33</v>
      </c>
      <c r="D185" s="44">
        <v>19.600000000000001</v>
      </c>
      <c r="E185" s="44">
        <v>15.73</v>
      </c>
      <c r="F185">
        <v>2004</v>
      </c>
    </row>
    <row r="186" spans="1:6" ht="15" customHeight="1" x14ac:dyDescent="0.3">
      <c r="A186" s="42" t="s">
        <v>242</v>
      </c>
      <c r="B186" s="43">
        <v>38189</v>
      </c>
      <c r="C186" s="42" t="s">
        <v>33</v>
      </c>
      <c r="D186" s="44">
        <v>20.79</v>
      </c>
      <c r="E186" s="44">
        <v>16.760000000000002</v>
      </c>
      <c r="F186">
        <v>2004</v>
      </c>
    </row>
    <row r="187" spans="1:6" ht="15" customHeight="1" x14ac:dyDescent="0.3">
      <c r="A187" s="42" t="s">
        <v>243</v>
      </c>
      <c r="B187" s="43">
        <v>38205</v>
      </c>
      <c r="C187" s="42" t="s">
        <v>33</v>
      </c>
      <c r="D187" s="44">
        <v>20.5</v>
      </c>
      <c r="E187" s="44">
        <v>18.84</v>
      </c>
      <c r="F187">
        <v>2004</v>
      </c>
    </row>
    <row r="188" spans="1:6" ht="15" customHeight="1" x14ac:dyDescent="0.3">
      <c r="A188" s="42" t="s">
        <v>244</v>
      </c>
      <c r="B188" s="43">
        <v>38219</v>
      </c>
      <c r="C188" s="42" t="s">
        <v>33</v>
      </c>
      <c r="D188" s="44">
        <v>23.84</v>
      </c>
      <c r="E188" s="44">
        <v>20.29</v>
      </c>
      <c r="F188">
        <v>2004</v>
      </c>
    </row>
    <row r="189" spans="1:6" ht="15" customHeight="1" x14ac:dyDescent="0.3">
      <c r="A189" s="42" t="s">
        <v>245</v>
      </c>
      <c r="B189" s="43">
        <v>38231</v>
      </c>
      <c r="C189" s="42" t="s">
        <v>33</v>
      </c>
      <c r="D189" s="44">
        <v>22.51</v>
      </c>
      <c r="E189" s="44">
        <v>20.98</v>
      </c>
      <c r="F189">
        <v>2004</v>
      </c>
    </row>
    <row r="190" spans="1:6" ht="15" customHeight="1" x14ac:dyDescent="0.3">
      <c r="A190" s="42" t="s">
        <v>246</v>
      </c>
      <c r="B190" s="43">
        <v>38268</v>
      </c>
      <c r="C190" s="42" t="s">
        <v>33</v>
      </c>
      <c r="D190" s="44">
        <v>19.72</v>
      </c>
      <c r="E190" s="44">
        <v>20.16</v>
      </c>
      <c r="F190">
        <v>2004</v>
      </c>
    </row>
    <row r="191" spans="1:6" ht="15" customHeight="1" x14ac:dyDescent="0.3">
      <c r="A191" s="42" t="s">
        <v>248</v>
      </c>
      <c r="B191" s="43">
        <v>38363</v>
      </c>
      <c r="C191" s="42" t="s">
        <v>33</v>
      </c>
      <c r="D191" s="44">
        <v>4.8099999999999996</v>
      </c>
      <c r="E191" s="44">
        <v>5.09</v>
      </c>
      <c r="F191">
        <v>2005</v>
      </c>
    </row>
    <row r="192" spans="1:6" ht="15" customHeight="1" x14ac:dyDescent="0.3">
      <c r="A192" s="42" t="s">
        <v>249</v>
      </c>
      <c r="B192" s="43">
        <v>38384</v>
      </c>
      <c r="C192" s="42" t="s">
        <v>33</v>
      </c>
      <c r="D192" s="44">
        <v>0.71</v>
      </c>
      <c r="E192" s="44">
        <v>1.52</v>
      </c>
      <c r="F192">
        <v>2005</v>
      </c>
    </row>
    <row r="193" spans="1:6" ht="15" customHeight="1" x14ac:dyDescent="0.3">
      <c r="A193" s="42" t="s">
        <v>250</v>
      </c>
      <c r="B193" s="43">
        <v>38422</v>
      </c>
      <c r="C193" s="42" t="s">
        <v>33</v>
      </c>
      <c r="D193" s="44">
        <v>0.93</v>
      </c>
      <c r="E193" s="44">
        <v>1.07</v>
      </c>
      <c r="F193">
        <v>2005</v>
      </c>
    </row>
    <row r="194" spans="1:6" ht="15" customHeight="1" x14ac:dyDescent="0.3">
      <c r="A194" s="42" t="s">
        <v>251</v>
      </c>
      <c r="B194" s="43">
        <v>38450</v>
      </c>
      <c r="C194" s="42" t="s">
        <v>33</v>
      </c>
      <c r="D194" s="44">
        <v>4.93</v>
      </c>
      <c r="E194" s="44">
        <v>2.71</v>
      </c>
      <c r="F194">
        <v>2005</v>
      </c>
    </row>
    <row r="195" spans="1:6" ht="15" customHeight="1" x14ac:dyDescent="0.3">
      <c r="A195" s="42" t="s">
        <v>252</v>
      </c>
      <c r="B195" s="43">
        <v>38478</v>
      </c>
      <c r="C195" s="42" t="s">
        <v>33</v>
      </c>
      <c r="D195" s="44">
        <v>9.3000000000000007</v>
      </c>
      <c r="E195" s="44">
        <v>6.5</v>
      </c>
      <c r="F195">
        <v>2005</v>
      </c>
    </row>
    <row r="196" spans="1:6" ht="15" customHeight="1" x14ac:dyDescent="0.3">
      <c r="A196" s="42" t="s">
        <v>253</v>
      </c>
      <c r="B196" s="43">
        <v>38511</v>
      </c>
      <c r="C196" s="42" t="s">
        <v>33</v>
      </c>
      <c r="D196" s="44">
        <v>18.36</v>
      </c>
      <c r="E196" s="44">
        <v>10.95</v>
      </c>
      <c r="F196">
        <v>2005</v>
      </c>
    </row>
    <row r="197" spans="1:6" ht="15" customHeight="1" x14ac:dyDescent="0.3">
      <c r="A197" s="42" t="s">
        <v>255</v>
      </c>
      <c r="B197" s="43">
        <v>38545</v>
      </c>
      <c r="C197" s="42" t="s">
        <v>33</v>
      </c>
      <c r="D197" s="44">
        <v>21.42</v>
      </c>
      <c r="E197" s="44">
        <v>14.88</v>
      </c>
      <c r="F197">
        <v>2005</v>
      </c>
    </row>
    <row r="198" spans="1:6" ht="15" customHeight="1" x14ac:dyDescent="0.3">
      <c r="A198" s="42" t="s">
        <v>256</v>
      </c>
      <c r="B198" s="43">
        <v>38552</v>
      </c>
      <c r="C198" s="42" t="s">
        <v>33</v>
      </c>
      <c r="D198" s="44">
        <v>21.48</v>
      </c>
      <c r="E198" s="44">
        <v>15.47</v>
      </c>
      <c r="F198">
        <v>2005</v>
      </c>
    </row>
    <row r="199" spans="1:6" ht="15" customHeight="1" x14ac:dyDescent="0.3">
      <c r="A199" s="42" t="s">
        <v>257</v>
      </c>
      <c r="B199" s="43">
        <v>38568</v>
      </c>
      <c r="C199" s="42" t="s">
        <v>33</v>
      </c>
      <c r="D199" s="44">
        <v>24.7</v>
      </c>
      <c r="E199" s="44">
        <v>18.739999999999998</v>
      </c>
      <c r="F199">
        <v>2005</v>
      </c>
    </row>
    <row r="200" spans="1:6" ht="15" customHeight="1" x14ac:dyDescent="0.3">
      <c r="A200" s="42" t="s">
        <v>258</v>
      </c>
      <c r="B200" s="43">
        <v>38583</v>
      </c>
      <c r="C200" s="42" t="s">
        <v>33</v>
      </c>
      <c r="D200" s="44">
        <v>22.66</v>
      </c>
      <c r="E200" s="44">
        <v>20.65</v>
      </c>
      <c r="F200">
        <v>2005</v>
      </c>
    </row>
    <row r="201" spans="1:6" ht="15" customHeight="1" x14ac:dyDescent="0.3">
      <c r="A201" s="42" t="s">
        <v>259</v>
      </c>
      <c r="B201" s="43">
        <v>38597</v>
      </c>
      <c r="C201" s="42" t="s">
        <v>33</v>
      </c>
      <c r="D201" s="44">
        <v>23.52</v>
      </c>
      <c r="E201" s="44">
        <v>21.04</v>
      </c>
      <c r="F201">
        <v>2005</v>
      </c>
    </row>
    <row r="202" spans="1:6" ht="15" customHeight="1" x14ac:dyDescent="0.3">
      <c r="A202" s="42" t="s">
        <v>261</v>
      </c>
      <c r="B202" s="43">
        <v>38636</v>
      </c>
      <c r="C202" s="42" t="s">
        <v>33</v>
      </c>
      <c r="D202" s="44">
        <v>20.72</v>
      </c>
      <c r="E202" s="44">
        <v>21</v>
      </c>
      <c r="F202">
        <v>2005</v>
      </c>
    </row>
    <row r="203" spans="1:6" ht="15" customHeight="1" x14ac:dyDescent="0.3">
      <c r="A203" s="42" t="s">
        <v>262</v>
      </c>
      <c r="B203" s="43">
        <v>38671</v>
      </c>
      <c r="C203" s="42" t="s">
        <v>33</v>
      </c>
      <c r="D203" s="44">
        <v>13.44</v>
      </c>
      <c r="E203" s="44">
        <v>13.57</v>
      </c>
      <c r="F203">
        <v>2005</v>
      </c>
    </row>
    <row r="204" spans="1:6" ht="15" customHeight="1" x14ac:dyDescent="0.3">
      <c r="A204" s="42" t="s">
        <v>263</v>
      </c>
      <c r="B204" s="43">
        <v>38694</v>
      </c>
      <c r="C204" s="42" t="s">
        <v>33</v>
      </c>
      <c r="D204" s="44">
        <v>8.56</v>
      </c>
      <c r="E204" s="44">
        <v>8.66</v>
      </c>
      <c r="F204">
        <v>2005</v>
      </c>
    </row>
    <row r="205" spans="1:6" ht="15" customHeight="1" x14ac:dyDescent="0.3">
      <c r="A205" s="42" t="s">
        <v>264</v>
      </c>
      <c r="B205" s="43">
        <v>38783</v>
      </c>
      <c r="C205" s="42" t="s">
        <v>33</v>
      </c>
      <c r="D205" s="44">
        <v>2.4900000000000002</v>
      </c>
      <c r="E205" s="44">
        <v>2.39</v>
      </c>
      <c r="F205">
        <v>2006</v>
      </c>
    </row>
    <row r="206" spans="1:6" ht="15" customHeight="1" x14ac:dyDescent="0.3">
      <c r="A206" s="42" t="s">
        <v>498</v>
      </c>
      <c r="B206" s="43">
        <v>38819</v>
      </c>
      <c r="C206" s="42" t="s">
        <v>33</v>
      </c>
      <c r="D206" s="44">
        <v>5.91</v>
      </c>
      <c r="E206" s="44">
        <v>5.0599999999999996</v>
      </c>
      <c r="F206">
        <v>2006</v>
      </c>
    </row>
    <row r="207" spans="1:6" ht="15" customHeight="1" x14ac:dyDescent="0.3">
      <c r="A207" s="42" t="s">
        <v>265</v>
      </c>
      <c r="B207" s="43">
        <v>38841</v>
      </c>
      <c r="C207" s="42" t="s">
        <v>33</v>
      </c>
      <c r="D207" s="44">
        <v>11.2</v>
      </c>
      <c r="E207" s="44">
        <v>7.31</v>
      </c>
      <c r="F207">
        <v>2006</v>
      </c>
    </row>
    <row r="208" spans="1:6" ht="15" customHeight="1" x14ac:dyDescent="0.3">
      <c r="A208" s="42" t="s">
        <v>266</v>
      </c>
      <c r="B208" s="43">
        <v>38877</v>
      </c>
      <c r="C208" s="42" t="s">
        <v>33</v>
      </c>
      <c r="D208" s="44">
        <v>16.37</v>
      </c>
      <c r="E208" s="44">
        <v>11.99</v>
      </c>
      <c r="F208">
        <v>2006</v>
      </c>
    </row>
    <row r="209" spans="1:6" ht="15" customHeight="1" x14ac:dyDescent="0.3">
      <c r="A209" s="42" t="s">
        <v>267</v>
      </c>
      <c r="B209" s="43">
        <v>38891</v>
      </c>
      <c r="C209" s="42" t="s">
        <v>33</v>
      </c>
      <c r="D209" s="44">
        <v>18.489999999999998</v>
      </c>
      <c r="E209" s="44">
        <v>14.05</v>
      </c>
      <c r="F209">
        <v>2006</v>
      </c>
    </row>
    <row r="210" spans="1:6" ht="15" customHeight="1" x14ac:dyDescent="0.3">
      <c r="A210" s="42" t="s">
        <v>268</v>
      </c>
      <c r="B210" s="43">
        <v>38905</v>
      </c>
      <c r="C210" s="42" t="s">
        <v>33</v>
      </c>
      <c r="D210" s="44">
        <v>17.98</v>
      </c>
      <c r="E210" s="44">
        <v>15.64</v>
      </c>
      <c r="F210">
        <v>2006</v>
      </c>
    </row>
    <row r="211" spans="1:6" ht="15" customHeight="1" x14ac:dyDescent="0.3">
      <c r="A211" s="42" t="s">
        <v>269</v>
      </c>
      <c r="B211" s="43">
        <v>38917</v>
      </c>
      <c r="C211" s="42" t="s">
        <v>33</v>
      </c>
      <c r="D211" s="44">
        <v>20.7</v>
      </c>
      <c r="E211" s="44">
        <v>17.22</v>
      </c>
      <c r="F211">
        <v>2006</v>
      </c>
    </row>
    <row r="212" spans="1:6" ht="15" customHeight="1" x14ac:dyDescent="0.3">
      <c r="A212" s="42" t="s">
        <v>270</v>
      </c>
      <c r="B212" s="43">
        <v>38932</v>
      </c>
      <c r="C212" s="42" t="s">
        <v>33</v>
      </c>
      <c r="D212" s="44">
        <v>25.61</v>
      </c>
      <c r="E212" s="44">
        <v>18.989999999999998</v>
      </c>
      <c r="F212">
        <v>2006</v>
      </c>
    </row>
    <row r="213" spans="1:6" ht="15" customHeight="1" x14ac:dyDescent="0.3">
      <c r="A213" s="42" t="s">
        <v>271</v>
      </c>
      <c r="B213" s="43">
        <v>38947</v>
      </c>
      <c r="C213" s="42" t="s">
        <v>33</v>
      </c>
      <c r="D213" s="44">
        <v>23</v>
      </c>
      <c r="E213" s="44">
        <v>20.94</v>
      </c>
      <c r="F213">
        <v>2006</v>
      </c>
    </row>
    <row r="214" spans="1:6" ht="15" customHeight="1" x14ac:dyDescent="0.3">
      <c r="A214" s="42" t="s">
        <v>272</v>
      </c>
      <c r="B214" s="43">
        <v>38959</v>
      </c>
      <c r="C214" s="42" t="s">
        <v>33</v>
      </c>
      <c r="D214" s="44">
        <v>21.76</v>
      </c>
      <c r="E214" s="44">
        <v>21.42</v>
      </c>
      <c r="F214">
        <v>2006</v>
      </c>
    </row>
    <row r="215" spans="1:6" ht="15" customHeight="1" x14ac:dyDescent="0.3">
      <c r="A215" s="42" t="s">
        <v>273</v>
      </c>
      <c r="B215" s="43">
        <v>39007</v>
      </c>
      <c r="C215" s="42" t="s">
        <v>33</v>
      </c>
      <c r="D215" s="44">
        <v>17.77</v>
      </c>
      <c r="E215" s="44">
        <v>17.82</v>
      </c>
      <c r="F215">
        <v>2006</v>
      </c>
    </row>
    <row r="216" spans="1:6" ht="15" customHeight="1" x14ac:dyDescent="0.3">
      <c r="A216" s="42" t="s">
        <v>274</v>
      </c>
      <c r="B216" s="43">
        <v>39028</v>
      </c>
      <c r="C216" s="42" t="s">
        <v>33</v>
      </c>
      <c r="D216" s="44">
        <v>13.61</v>
      </c>
      <c r="E216" s="44">
        <v>13.67</v>
      </c>
      <c r="F216">
        <v>2006</v>
      </c>
    </row>
    <row r="217" spans="1:6" ht="15" customHeight="1" x14ac:dyDescent="0.3">
      <c r="A217" s="42" t="s">
        <v>275</v>
      </c>
      <c r="B217" s="43">
        <v>39062</v>
      </c>
      <c r="C217" s="42" t="s">
        <v>33</v>
      </c>
      <c r="D217" s="44">
        <v>9.5299999999999994</v>
      </c>
      <c r="E217" s="44">
        <v>9.82</v>
      </c>
      <c r="F217">
        <v>2006</v>
      </c>
    </row>
    <row r="218" spans="1:6" ht="15" customHeight="1" x14ac:dyDescent="0.3">
      <c r="A218" s="42" t="s">
        <v>276</v>
      </c>
      <c r="B218" s="43">
        <v>39100</v>
      </c>
      <c r="C218" s="42" t="s">
        <v>33</v>
      </c>
      <c r="D218" s="44">
        <v>6.21</v>
      </c>
      <c r="E218" s="44">
        <v>6.75</v>
      </c>
      <c r="F218">
        <v>2007</v>
      </c>
    </row>
    <row r="219" spans="1:6" ht="15" customHeight="1" x14ac:dyDescent="0.3">
      <c r="A219" s="42" t="s">
        <v>277</v>
      </c>
      <c r="B219" s="43">
        <v>39126</v>
      </c>
      <c r="C219" s="42" t="s">
        <v>33</v>
      </c>
      <c r="D219" s="44">
        <v>1.71</v>
      </c>
      <c r="E219" s="44">
        <v>1.83</v>
      </c>
      <c r="F219">
        <v>2007</v>
      </c>
    </row>
    <row r="220" spans="1:6" ht="15" customHeight="1" x14ac:dyDescent="0.3">
      <c r="A220" s="42" t="s">
        <v>278</v>
      </c>
      <c r="B220" s="43">
        <v>39154</v>
      </c>
      <c r="C220" s="42" t="s">
        <v>33</v>
      </c>
      <c r="D220" s="44">
        <v>1.1299999999999999</v>
      </c>
      <c r="E220" s="44">
        <v>0.92</v>
      </c>
      <c r="F220">
        <v>2007</v>
      </c>
    </row>
    <row r="221" spans="1:6" ht="15" customHeight="1" x14ac:dyDescent="0.3">
      <c r="A221" s="42" t="s">
        <v>280</v>
      </c>
      <c r="B221" s="43">
        <v>39176</v>
      </c>
      <c r="C221" s="42" t="s">
        <v>33</v>
      </c>
      <c r="D221" s="44">
        <v>3.8</v>
      </c>
      <c r="E221" s="44">
        <v>2.4700000000000002</v>
      </c>
      <c r="F221">
        <v>2007</v>
      </c>
    </row>
    <row r="222" spans="1:6" ht="15" customHeight="1" x14ac:dyDescent="0.3">
      <c r="A222" s="42" t="s">
        <v>281</v>
      </c>
      <c r="B222" s="43">
        <v>39211</v>
      </c>
      <c r="C222" s="42" t="s">
        <v>33</v>
      </c>
      <c r="D222" s="44">
        <v>10.83</v>
      </c>
      <c r="E222" s="44">
        <v>5.86</v>
      </c>
      <c r="F222">
        <v>2007</v>
      </c>
    </row>
    <row r="223" spans="1:6" ht="15" customHeight="1" x14ac:dyDescent="0.3">
      <c r="A223" s="42" t="s">
        <v>282</v>
      </c>
      <c r="B223" s="43">
        <v>39240</v>
      </c>
      <c r="C223" s="42" t="s">
        <v>33</v>
      </c>
      <c r="D223" s="44">
        <v>14.9</v>
      </c>
      <c r="E223" s="44">
        <v>11.02</v>
      </c>
      <c r="F223">
        <v>2007</v>
      </c>
    </row>
    <row r="224" spans="1:6" ht="15" customHeight="1" x14ac:dyDescent="0.3">
      <c r="A224" s="42" t="s">
        <v>283</v>
      </c>
      <c r="B224" s="43">
        <v>39254</v>
      </c>
      <c r="C224" s="42" t="s">
        <v>33</v>
      </c>
      <c r="D224" s="44">
        <v>18.399999999999999</v>
      </c>
      <c r="E224" s="44">
        <v>12.41</v>
      </c>
      <c r="F224">
        <v>2007</v>
      </c>
    </row>
    <row r="225" spans="1:6" ht="15" customHeight="1" x14ac:dyDescent="0.3">
      <c r="A225" s="42" t="s">
        <v>284</v>
      </c>
      <c r="B225" s="43">
        <v>39274</v>
      </c>
      <c r="C225" s="42" t="s">
        <v>33</v>
      </c>
      <c r="D225" s="44">
        <v>20.88</v>
      </c>
      <c r="E225" s="44">
        <v>16.510000000000002</v>
      </c>
      <c r="F225">
        <v>2007</v>
      </c>
    </row>
    <row r="226" spans="1:6" ht="15" customHeight="1" x14ac:dyDescent="0.3">
      <c r="A226" s="42" t="s">
        <v>285</v>
      </c>
      <c r="B226" s="43">
        <v>39283</v>
      </c>
      <c r="C226" s="42" t="s">
        <v>33</v>
      </c>
      <c r="D226" s="44">
        <v>21.42</v>
      </c>
      <c r="E226" s="44">
        <v>17.64</v>
      </c>
      <c r="F226">
        <v>2007</v>
      </c>
    </row>
    <row r="227" spans="1:6" ht="15" customHeight="1" x14ac:dyDescent="0.3">
      <c r="A227" s="42" t="s">
        <v>286</v>
      </c>
      <c r="B227" s="43">
        <v>39294</v>
      </c>
      <c r="C227" s="42" t="s">
        <v>33</v>
      </c>
      <c r="D227" s="44">
        <v>22.9</v>
      </c>
      <c r="E227" s="44">
        <v>18.27</v>
      </c>
      <c r="F227">
        <v>2007</v>
      </c>
    </row>
    <row r="228" spans="1:6" ht="15" customHeight="1" x14ac:dyDescent="0.3">
      <c r="A228" s="42" t="s">
        <v>287</v>
      </c>
      <c r="B228" s="43">
        <v>39309</v>
      </c>
      <c r="C228" s="42" t="s">
        <v>33</v>
      </c>
      <c r="D228" s="44">
        <v>22.46</v>
      </c>
      <c r="E228" s="44">
        <v>19.87</v>
      </c>
      <c r="F228">
        <v>2007</v>
      </c>
    </row>
    <row r="229" spans="1:6" ht="15" customHeight="1" x14ac:dyDescent="0.3">
      <c r="A229" s="42" t="s">
        <v>288</v>
      </c>
      <c r="B229" s="43">
        <v>39324</v>
      </c>
      <c r="C229" s="42" t="s">
        <v>33</v>
      </c>
      <c r="D229" s="44">
        <v>22.36</v>
      </c>
      <c r="E229" s="44">
        <v>21.29</v>
      </c>
      <c r="F229">
        <v>2007</v>
      </c>
    </row>
    <row r="230" spans="1:6" ht="15" customHeight="1" x14ac:dyDescent="0.3">
      <c r="A230" s="42" t="s">
        <v>290</v>
      </c>
      <c r="B230" s="43">
        <v>39359</v>
      </c>
      <c r="C230" s="42" t="s">
        <v>33</v>
      </c>
      <c r="D230" s="44">
        <v>21.08</v>
      </c>
      <c r="E230" s="44">
        <v>20.78</v>
      </c>
      <c r="F230">
        <v>2007</v>
      </c>
    </row>
    <row r="231" spans="1:6" ht="15" customHeight="1" x14ac:dyDescent="0.3">
      <c r="A231" s="42" t="s">
        <v>291</v>
      </c>
      <c r="B231" s="43">
        <v>39395</v>
      </c>
      <c r="C231" s="42" t="s">
        <v>33</v>
      </c>
      <c r="D231" s="44">
        <v>15.29</v>
      </c>
      <c r="E231" s="44">
        <v>15.42</v>
      </c>
      <c r="F231">
        <v>2007</v>
      </c>
    </row>
    <row r="232" spans="1:6" ht="15" customHeight="1" x14ac:dyDescent="0.3">
      <c r="A232" s="42" t="s">
        <v>292</v>
      </c>
      <c r="B232" s="43">
        <v>39426</v>
      </c>
      <c r="C232" s="42" t="s">
        <v>33</v>
      </c>
      <c r="D232" s="44">
        <v>8.01</v>
      </c>
      <c r="E232" s="44">
        <v>8.68</v>
      </c>
      <c r="F232">
        <v>2007</v>
      </c>
    </row>
    <row r="233" spans="1:6" ht="15" customHeight="1" x14ac:dyDescent="0.3">
      <c r="A233" s="42" t="s">
        <v>293</v>
      </c>
      <c r="B233" s="43">
        <v>39455</v>
      </c>
      <c r="C233" s="42" t="s">
        <v>33</v>
      </c>
      <c r="D233" s="44">
        <v>4.57</v>
      </c>
      <c r="E233" s="44">
        <v>5.03</v>
      </c>
      <c r="F233">
        <v>2008</v>
      </c>
    </row>
    <row r="234" spans="1:6" ht="15" customHeight="1" x14ac:dyDescent="0.3">
      <c r="A234" s="42" t="s">
        <v>294</v>
      </c>
      <c r="B234" s="43">
        <v>39485</v>
      </c>
      <c r="C234" s="42" t="s">
        <v>33</v>
      </c>
      <c r="D234" s="44">
        <v>3.36</v>
      </c>
      <c r="E234" s="44">
        <v>3.22</v>
      </c>
      <c r="F234">
        <v>2008</v>
      </c>
    </row>
    <row r="235" spans="1:6" ht="15" customHeight="1" x14ac:dyDescent="0.3">
      <c r="A235" s="42" t="s">
        <v>296</v>
      </c>
      <c r="B235" s="43">
        <v>39513</v>
      </c>
      <c r="C235" s="42" t="s">
        <v>33</v>
      </c>
      <c r="D235" s="44">
        <v>2.99</v>
      </c>
      <c r="E235" s="44">
        <v>2.78</v>
      </c>
      <c r="F235">
        <v>2008</v>
      </c>
    </row>
    <row r="236" spans="1:6" ht="15" customHeight="1" x14ac:dyDescent="0.3">
      <c r="A236" s="42" t="s">
        <v>298</v>
      </c>
      <c r="B236" s="43">
        <v>39547</v>
      </c>
      <c r="C236" s="42" t="s">
        <v>33</v>
      </c>
      <c r="D236" s="44">
        <v>5.85</v>
      </c>
      <c r="E236" s="44">
        <v>4.83</v>
      </c>
      <c r="F236">
        <v>2008</v>
      </c>
    </row>
    <row r="237" spans="1:6" ht="15" customHeight="1" x14ac:dyDescent="0.3">
      <c r="A237" s="42" t="s">
        <v>299</v>
      </c>
      <c r="B237" s="43">
        <v>39574</v>
      </c>
      <c r="C237" s="42" t="s">
        <v>33</v>
      </c>
      <c r="D237" s="44">
        <v>11.43</v>
      </c>
      <c r="E237" s="44">
        <v>8.75</v>
      </c>
      <c r="F237">
        <v>2008</v>
      </c>
    </row>
    <row r="238" spans="1:6" ht="15" customHeight="1" x14ac:dyDescent="0.3">
      <c r="A238" s="42" t="s">
        <v>300</v>
      </c>
      <c r="B238" s="43">
        <v>39604</v>
      </c>
      <c r="C238" s="42" t="s">
        <v>33</v>
      </c>
      <c r="D238" s="44">
        <v>15.26</v>
      </c>
      <c r="E238" s="44">
        <v>11.39</v>
      </c>
      <c r="F238">
        <v>2008</v>
      </c>
    </row>
    <row r="239" spans="1:6" ht="15" customHeight="1" x14ac:dyDescent="0.3">
      <c r="A239" s="42" t="s">
        <v>301</v>
      </c>
      <c r="B239" s="43">
        <v>39616</v>
      </c>
      <c r="C239" s="42" t="s">
        <v>33</v>
      </c>
      <c r="D239" s="44">
        <v>18.670000000000002</v>
      </c>
      <c r="E239" s="44">
        <v>12.39</v>
      </c>
      <c r="F239">
        <v>2008</v>
      </c>
    </row>
    <row r="240" spans="1:6" ht="15" customHeight="1" x14ac:dyDescent="0.3">
      <c r="A240" s="42" t="s">
        <v>302</v>
      </c>
      <c r="B240" s="43">
        <v>39631</v>
      </c>
      <c r="C240" s="42" t="s">
        <v>33</v>
      </c>
      <c r="D240" s="44">
        <v>20.56</v>
      </c>
      <c r="E240" s="44">
        <v>14.63</v>
      </c>
      <c r="F240">
        <v>2008</v>
      </c>
    </row>
    <row r="241" spans="1:6" ht="15" customHeight="1" x14ac:dyDescent="0.3">
      <c r="A241" s="42" t="s">
        <v>304</v>
      </c>
      <c r="B241" s="43">
        <v>39665</v>
      </c>
      <c r="C241" s="42" t="s">
        <v>33</v>
      </c>
      <c r="D241" s="44">
        <v>22.77</v>
      </c>
      <c r="E241" s="44">
        <v>19.97</v>
      </c>
      <c r="F241">
        <v>2008</v>
      </c>
    </row>
    <row r="242" spans="1:6" ht="15" customHeight="1" x14ac:dyDescent="0.3">
      <c r="A242" s="42" t="s">
        <v>305</v>
      </c>
      <c r="B242" s="43">
        <v>39682</v>
      </c>
      <c r="C242" s="42" t="s">
        <v>33</v>
      </c>
      <c r="D242" s="44">
        <v>22.71</v>
      </c>
      <c r="E242" s="44">
        <v>20.39</v>
      </c>
      <c r="F242">
        <v>2008</v>
      </c>
    </row>
    <row r="243" spans="1:6" ht="15" customHeight="1" x14ac:dyDescent="0.3">
      <c r="A243" s="42" t="s">
        <v>306</v>
      </c>
      <c r="B243" s="43">
        <v>39694</v>
      </c>
      <c r="C243" s="42" t="s">
        <v>33</v>
      </c>
      <c r="D243" s="44">
        <v>22.49</v>
      </c>
      <c r="E243" s="44">
        <v>21.26</v>
      </c>
      <c r="F243">
        <v>2008</v>
      </c>
    </row>
    <row r="244" spans="1:6" ht="15" customHeight="1" x14ac:dyDescent="0.3">
      <c r="A244" s="42" t="s">
        <v>307</v>
      </c>
      <c r="B244" s="43">
        <v>39707</v>
      </c>
      <c r="C244" s="42" t="s">
        <v>33</v>
      </c>
      <c r="D244" s="44">
        <v>22.11</v>
      </c>
      <c r="E244" s="44">
        <v>21.06</v>
      </c>
      <c r="F244">
        <v>2008</v>
      </c>
    </row>
    <row r="245" spans="1:6" ht="15" customHeight="1" x14ac:dyDescent="0.3">
      <c r="A245" s="42" t="s">
        <v>308</v>
      </c>
      <c r="B245" s="43">
        <v>39729</v>
      </c>
      <c r="C245" s="42" t="s">
        <v>33</v>
      </c>
      <c r="D245" s="44">
        <v>19.260000000000002</v>
      </c>
      <c r="E245" s="44">
        <v>19.149999999999999</v>
      </c>
      <c r="F245">
        <v>2008</v>
      </c>
    </row>
    <row r="246" spans="1:6" ht="15" customHeight="1" x14ac:dyDescent="0.3">
      <c r="A246" s="42" t="s">
        <v>309</v>
      </c>
      <c r="B246" s="43">
        <v>39764</v>
      </c>
      <c r="C246" s="42" t="s">
        <v>33</v>
      </c>
      <c r="D246" s="44">
        <v>13.74</v>
      </c>
      <c r="E246" s="44">
        <v>13.66</v>
      </c>
      <c r="F246">
        <v>2008</v>
      </c>
    </row>
    <row r="247" spans="1:6" ht="15" customHeight="1" x14ac:dyDescent="0.3">
      <c r="A247" s="42" t="s">
        <v>310</v>
      </c>
      <c r="B247" s="43">
        <v>39800</v>
      </c>
      <c r="C247" s="42" t="s">
        <v>33</v>
      </c>
      <c r="D247" s="44">
        <v>7.21</v>
      </c>
      <c r="E247" s="44">
        <v>7.76</v>
      </c>
      <c r="F247">
        <v>2008</v>
      </c>
    </row>
    <row r="248" spans="1:6" ht="15" customHeight="1" x14ac:dyDescent="0.3">
      <c r="A248" s="42" t="s">
        <v>311</v>
      </c>
      <c r="B248" s="43">
        <v>39826</v>
      </c>
      <c r="C248" s="42" t="s">
        <v>33</v>
      </c>
      <c r="D248" s="44">
        <v>3.16</v>
      </c>
      <c r="E248" s="44">
        <v>3.33</v>
      </c>
      <c r="F248">
        <v>2009</v>
      </c>
    </row>
    <row r="249" spans="1:6" ht="15" customHeight="1" x14ac:dyDescent="0.3">
      <c r="A249" s="42" t="s">
        <v>312</v>
      </c>
      <c r="B249" s="43">
        <v>39850</v>
      </c>
      <c r="C249" s="42" t="s">
        <v>33</v>
      </c>
      <c r="D249" s="44">
        <v>0.72</v>
      </c>
      <c r="E249" s="44">
        <v>1.07</v>
      </c>
      <c r="F249">
        <v>2009</v>
      </c>
    </row>
    <row r="250" spans="1:6" ht="15" customHeight="1" x14ac:dyDescent="0.3">
      <c r="A250" s="42" t="s">
        <v>314</v>
      </c>
      <c r="B250" s="43">
        <v>39878</v>
      </c>
      <c r="C250" s="42" t="s">
        <v>33</v>
      </c>
      <c r="D250" s="46">
        <v>1.37</v>
      </c>
      <c r="E250" s="44">
        <v>1.45</v>
      </c>
      <c r="F250">
        <v>2009</v>
      </c>
    </row>
    <row r="251" spans="1:6" ht="15" customHeight="1" x14ac:dyDescent="0.3">
      <c r="A251" s="42" t="s">
        <v>316</v>
      </c>
      <c r="B251" s="43">
        <v>39905</v>
      </c>
      <c r="C251" s="42" t="s">
        <v>33</v>
      </c>
      <c r="D251" s="44">
        <v>4.62</v>
      </c>
      <c r="E251" s="44">
        <v>3.39</v>
      </c>
      <c r="F251">
        <v>2009</v>
      </c>
    </row>
    <row r="252" spans="1:6" ht="15" customHeight="1" x14ac:dyDescent="0.3">
      <c r="A252" s="42" t="s">
        <v>317</v>
      </c>
      <c r="B252" s="43">
        <v>39933</v>
      </c>
      <c r="C252" s="42" t="s">
        <v>33</v>
      </c>
      <c r="D252" s="44">
        <v>9.5299999999999994</v>
      </c>
      <c r="E252" s="44">
        <v>6.72</v>
      </c>
      <c r="F252">
        <v>2009</v>
      </c>
    </row>
    <row r="253" spans="1:6" ht="15" customHeight="1" x14ac:dyDescent="0.3">
      <c r="A253" s="42" t="s">
        <v>318</v>
      </c>
      <c r="B253" s="43">
        <v>39972</v>
      </c>
      <c r="C253" s="42" t="s">
        <v>33</v>
      </c>
      <c r="D253" s="46">
        <v>15.75</v>
      </c>
      <c r="E253" s="44">
        <v>11.36</v>
      </c>
      <c r="F253">
        <v>2009</v>
      </c>
    </row>
    <row r="254" spans="1:6" ht="15" customHeight="1" x14ac:dyDescent="0.3">
      <c r="A254" s="42" t="s">
        <v>319</v>
      </c>
      <c r="B254" s="43">
        <v>39987</v>
      </c>
      <c r="C254" s="42" t="s">
        <v>33</v>
      </c>
      <c r="D254" s="44">
        <v>16.88</v>
      </c>
      <c r="E254" s="44">
        <v>13.08</v>
      </c>
      <c r="F254">
        <v>2009</v>
      </c>
    </row>
    <row r="255" spans="1:6" ht="15" customHeight="1" x14ac:dyDescent="0.3">
      <c r="A255" s="42" t="s">
        <v>320</v>
      </c>
      <c r="B255" s="43">
        <v>40003</v>
      </c>
      <c r="C255" s="42" t="s">
        <v>33</v>
      </c>
      <c r="D255" s="44">
        <v>19.350000000000001</v>
      </c>
      <c r="E255" s="44">
        <v>14.65</v>
      </c>
      <c r="F255">
        <v>2009</v>
      </c>
    </row>
    <row r="256" spans="1:6" ht="15" customHeight="1" x14ac:dyDescent="0.3">
      <c r="A256" s="42" t="s">
        <v>321</v>
      </c>
      <c r="B256" s="43">
        <v>40015</v>
      </c>
      <c r="C256" s="42" t="s">
        <v>33</v>
      </c>
      <c r="D256" s="44">
        <v>20.16</v>
      </c>
      <c r="E256" s="44">
        <v>16.13</v>
      </c>
      <c r="F256">
        <v>2009</v>
      </c>
    </row>
    <row r="257" spans="1:6" ht="15" customHeight="1" x14ac:dyDescent="0.3">
      <c r="A257" s="42" t="s">
        <v>322</v>
      </c>
      <c r="B257" s="43">
        <v>40029</v>
      </c>
      <c r="C257" s="42" t="s">
        <v>33</v>
      </c>
      <c r="D257" s="44">
        <v>22.41</v>
      </c>
      <c r="E257" s="44">
        <v>18.510000000000002</v>
      </c>
      <c r="F257">
        <v>2009</v>
      </c>
    </row>
    <row r="258" spans="1:6" ht="15" customHeight="1" x14ac:dyDescent="0.3">
      <c r="A258" s="42" t="s">
        <v>323</v>
      </c>
      <c r="B258" s="43">
        <v>40043</v>
      </c>
      <c r="C258" s="42" t="s">
        <v>33</v>
      </c>
      <c r="D258" s="44">
        <v>23.27</v>
      </c>
      <c r="E258" s="44">
        <v>19.309999999999999</v>
      </c>
      <c r="F258">
        <v>2009</v>
      </c>
    </row>
    <row r="259" spans="1:6" ht="15" customHeight="1" x14ac:dyDescent="0.3">
      <c r="A259" s="42" t="s">
        <v>324</v>
      </c>
      <c r="B259" s="43">
        <v>40058</v>
      </c>
      <c r="C259" s="42" t="s">
        <v>33</v>
      </c>
      <c r="D259" s="44">
        <v>22.46</v>
      </c>
      <c r="E259" s="44">
        <v>20.420000000000002</v>
      </c>
      <c r="F259">
        <v>2009</v>
      </c>
    </row>
    <row r="260" spans="1:6" ht="15" customHeight="1" x14ac:dyDescent="0.3">
      <c r="A260" s="42" t="s">
        <v>325</v>
      </c>
      <c r="B260" s="43">
        <v>40094</v>
      </c>
      <c r="C260" s="42" t="s">
        <v>33</v>
      </c>
      <c r="D260" s="44">
        <v>18.79</v>
      </c>
      <c r="E260" s="44">
        <v>18.82</v>
      </c>
      <c r="F260">
        <v>2009</v>
      </c>
    </row>
    <row r="261" spans="1:6" ht="15" customHeight="1" x14ac:dyDescent="0.3">
      <c r="A261" s="42" t="s">
        <v>326</v>
      </c>
      <c r="B261" s="43">
        <v>40122</v>
      </c>
      <c r="C261" s="42" t="s">
        <v>33</v>
      </c>
      <c r="D261" s="44">
        <v>14.16</v>
      </c>
      <c r="E261" s="44">
        <v>14.56</v>
      </c>
      <c r="F261">
        <v>2009</v>
      </c>
    </row>
    <row r="262" spans="1:6" ht="15" customHeight="1" x14ac:dyDescent="0.3">
      <c r="A262" s="42" t="s">
        <v>327</v>
      </c>
      <c r="B262" s="43">
        <v>40154</v>
      </c>
      <c r="C262" s="42" t="s">
        <v>33</v>
      </c>
      <c r="D262" s="44">
        <v>10.46</v>
      </c>
      <c r="E262" s="44">
        <v>10.82</v>
      </c>
      <c r="F262">
        <v>2009</v>
      </c>
    </row>
    <row r="263" spans="1:6" ht="15" customHeight="1" x14ac:dyDescent="0.3">
      <c r="A263" s="42" t="s">
        <v>328</v>
      </c>
      <c r="B263" s="43">
        <v>40186</v>
      </c>
      <c r="C263" s="42" t="s">
        <v>33</v>
      </c>
      <c r="D263" s="44">
        <v>3.09</v>
      </c>
      <c r="E263" s="44">
        <v>3.34</v>
      </c>
      <c r="F263">
        <v>2010</v>
      </c>
    </row>
    <row r="264" spans="1:6" ht="15" customHeight="1" x14ac:dyDescent="0.3">
      <c r="A264" s="42" t="s">
        <v>329</v>
      </c>
      <c r="B264" s="43">
        <v>40218</v>
      </c>
      <c r="C264" s="42" t="s">
        <v>33</v>
      </c>
      <c r="D264" s="44">
        <v>1.24</v>
      </c>
      <c r="E264" s="44">
        <v>1.5</v>
      </c>
      <c r="F264">
        <v>2010</v>
      </c>
    </row>
    <row r="265" spans="1:6" ht="15" customHeight="1" x14ac:dyDescent="0.3">
      <c r="A265" s="42" t="s">
        <v>330</v>
      </c>
      <c r="B265" s="43">
        <v>40242</v>
      </c>
      <c r="C265" s="42" t="s">
        <v>33</v>
      </c>
      <c r="D265" s="44">
        <v>2.19</v>
      </c>
      <c r="E265" s="44">
        <v>1.93</v>
      </c>
      <c r="F265">
        <v>2010</v>
      </c>
    </row>
    <row r="266" spans="1:6" ht="15" customHeight="1" x14ac:dyDescent="0.3">
      <c r="A266" s="42" t="s">
        <v>332</v>
      </c>
      <c r="B266" s="43">
        <v>40269</v>
      </c>
      <c r="C266" s="42" t="s">
        <v>33</v>
      </c>
      <c r="D266" s="44">
        <v>5.55</v>
      </c>
      <c r="E266" s="44">
        <v>4.5</v>
      </c>
      <c r="F266">
        <v>2010</v>
      </c>
    </row>
    <row r="267" spans="1:6" ht="15" customHeight="1" x14ac:dyDescent="0.3">
      <c r="A267" s="42" t="s">
        <v>333</v>
      </c>
      <c r="B267" s="43">
        <v>40303</v>
      </c>
      <c r="C267" s="42" t="s">
        <v>33</v>
      </c>
      <c r="D267" s="44">
        <v>12.28</v>
      </c>
      <c r="E267" s="44">
        <v>8.42</v>
      </c>
      <c r="F267">
        <v>2010</v>
      </c>
    </row>
    <row r="268" spans="1:6" ht="15" customHeight="1" x14ac:dyDescent="0.3">
      <c r="A268" s="42" t="s">
        <v>334</v>
      </c>
      <c r="B268" s="43">
        <v>40332</v>
      </c>
      <c r="C268" s="42" t="s">
        <v>33</v>
      </c>
      <c r="D268" s="44">
        <v>18.43</v>
      </c>
      <c r="E268" s="44">
        <v>11.16</v>
      </c>
      <c r="F268">
        <v>2010</v>
      </c>
    </row>
    <row r="269" spans="1:6" ht="15" customHeight="1" x14ac:dyDescent="0.3">
      <c r="A269" s="42" t="s">
        <v>335</v>
      </c>
      <c r="B269" s="43">
        <v>40347</v>
      </c>
      <c r="C269" s="42" t="s">
        <v>33</v>
      </c>
      <c r="D269" s="45"/>
      <c r="E269" s="45"/>
      <c r="F269">
        <v>2010</v>
      </c>
    </row>
    <row r="270" spans="1:6" ht="15" customHeight="1" x14ac:dyDescent="0.3">
      <c r="A270" s="42" t="s">
        <v>336</v>
      </c>
      <c r="B270" s="43">
        <v>40368</v>
      </c>
      <c r="C270" s="42" t="s">
        <v>33</v>
      </c>
      <c r="D270" s="44">
        <v>23.35</v>
      </c>
      <c r="E270" s="44">
        <v>15.86</v>
      </c>
      <c r="F270">
        <v>2010</v>
      </c>
    </row>
    <row r="271" spans="1:6" ht="15" customHeight="1" x14ac:dyDescent="0.3">
      <c r="A271" s="42" t="s">
        <v>337</v>
      </c>
      <c r="B271" s="43">
        <v>40380</v>
      </c>
      <c r="C271" s="42" t="s">
        <v>33</v>
      </c>
      <c r="D271" s="44">
        <v>25.36</v>
      </c>
      <c r="E271" s="44">
        <v>19.010000000000002</v>
      </c>
      <c r="F271">
        <v>2010</v>
      </c>
    </row>
    <row r="272" spans="1:6" ht="15" customHeight="1" x14ac:dyDescent="0.3">
      <c r="A272" s="42" t="s">
        <v>338</v>
      </c>
      <c r="B272" s="43">
        <v>40394</v>
      </c>
      <c r="C272" s="42" t="s">
        <v>33</v>
      </c>
      <c r="D272" s="44">
        <v>23.24</v>
      </c>
      <c r="E272" s="44">
        <v>20.94</v>
      </c>
      <c r="F272">
        <v>2010</v>
      </c>
    </row>
    <row r="273" spans="1:6" ht="15" customHeight="1" x14ac:dyDescent="0.3">
      <c r="A273" s="42" t="s">
        <v>339</v>
      </c>
      <c r="B273" s="43">
        <v>40409</v>
      </c>
      <c r="C273" s="42" t="s">
        <v>33</v>
      </c>
      <c r="D273" s="44">
        <v>23.1</v>
      </c>
      <c r="E273" s="44">
        <v>21.68</v>
      </c>
      <c r="F273">
        <v>2010</v>
      </c>
    </row>
    <row r="274" spans="1:6" ht="15" customHeight="1" x14ac:dyDescent="0.3">
      <c r="A274" s="42" t="s">
        <v>340</v>
      </c>
      <c r="B274" s="43">
        <v>40422</v>
      </c>
      <c r="C274" s="42" t="s">
        <v>33</v>
      </c>
      <c r="D274" s="44">
        <v>23.84</v>
      </c>
      <c r="E274" s="44">
        <v>22.02</v>
      </c>
      <c r="F274">
        <v>2010</v>
      </c>
    </row>
    <row r="275" spans="1:6" ht="15" customHeight="1" x14ac:dyDescent="0.3">
      <c r="A275" s="42" t="s">
        <v>341</v>
      </c>
      <c r="B275" s="43">
        <v>40463</v>
      </c>
      <c r="C275" s="42" t="s">
        <v>33</v>
      </c>
      <c r="D275" s="44">
        <v>19.09</v>
      </c>
      <c r="E275" s="44">
        <v>19.02</v>
      </c>
      <c r="F275">
        <v>2010</v>
      </c>
    </row>
    <row r="276" spans="1:6" ht="15" customHeight="1" x14ac:dyDescent="0.3">
      <c r="A276" s="42" t="s">
        <v>342</v>
      </c>
      <c r="B276" s="43">
        <v>40487</v>
      </c>
      <c r="C276" s="42" t="s">
        <v>33</v>
      </c>
      <c r="D276" s="44">
        <v>14.67</v>
      </c>
      <c r="E276" s="44">
        <v>14.84</v>
      </c>
      <c r="F276">
        <v>2010</v>
      </c>
    </row>
    <row r="277" spans="1:6" ht="15" customHeight="1" x14ac:dyDescent="0.3">
      <c r="A277" s="42" t="s">
        <v>343</v>
      </c>
      <c r="B277" s="43">
        <v>40515</v>
      </c>
      <c r="C277" s="42" t="s">
        <v>33</v>
      </c>
      <c r="D277" s="44">
        <v>10.1</v>
      </c>
      <c r="E277" s="44">
        <v>10.59</v>
      </c>
      <c r="F277">
        <v>2010</v>
      </c>
    </row>
    <row r="278" spans="1:6" ht="15" customHeight="1" x14ac:dyDescent="0.3">
      <c r="A278" s="42" t="s">
        <v>344</v>
      </c>
      <c r="B278" s="43">
        <v>40547</v>
      </c>
      <c r="C278" s="42" t="s">
        <v>33</v>
      </c>
      <c r="D278" s="44">
        <v>3.34</v>
      </c>
      <c r="E278" s="44">
        <v>3.78</v>
      </c>
      <c r="F278">
        <v>2011</v>
      </c>
    </row>
    <row r="279" spans="1:6" ht="15" customHeight="1" x14ac:dyDescent="0.3">
      <c r="A279" s="42" t="s">
        <v>345</v>
      </c>
      <c r="B279" s="43">
        <v>40581</v>
      </c>
      <c r="C279" s="42" t="s">
        <v>33</v>
      </c>
      <c r="D279" s="44">
        <v>0.51</v>
      </c>
      <c r="E279" s="44">
        <v>0.97</v>
      </c>
      <c r="F279">
        <v>2011</v>
      </c>
    </row>
    <row r="280" spans="1:6" ht="15" customHeight="1" x14ac:dyDescent="0.3">
      <c r="A280" s="42" t="s">
        <v>347</v>
      </c>
      <c r="B280" s="43">
        <v>40617</v>
      </c>
      <c r="C280" s="42" t="s">
        <v>33</v>
      </c>
      <c r="D280" s="44">
        <v>3.24</v>
      </c>
      <c r="E280" s="44">
        <v>2.29</v>
      </c>
      <c r="F280">
        <v>2011</v>
      </c>
    </row>
    <row r="281" spans="1:6" ht="15" customHeight="1" x14ac:dyDescent="0.3">
      <c r="A281" s="42" t="s">
        <v>348</v>
      </c>
      <c r="B281" s="43">
        <v>40641</v>
      </c>
      <c r="C281" s="42" t="s">
        <v>33</v>
      </c>
      <c r="D281" s="44">
        <v>4.8600000000000003</v>
      </c>
      <c r="E281" s="44">
        <v>3.92</v>
      </c>
      <c r="F281">
        <v>2011</v>
      </c>
    </row>
    <row r="282" spans="1:6" ht="15" customHeight="1" x14ac:dyDescent="0.3">
      <c r="A282" s="42" t="s">
        <v>349</v>
      </c>
      <c r="B282" s="43">
        <v>40667</v>
      </c>
      <c r="C282" s="42" t="s">
        <v>33</v>
      </c>
      <c r="D282" s="44">
        <v>10.74</v>
      </c>
      <c r="E282" s="44">
        <v>6.88</v>
      </c>
      <c r="F282">
        <v>2011</v>
      </c>
    </row>
    <row r="283" spans="1:6" ht="15" customHeight="1" x14ac:dyDescent="0.3">
      <c r="A283" s="42" t="s">
        <v>350</v>
      </c>
      <c r="B283" s="43">
        <v>40700</v>
      </c>
      <c r="C283" s="42" t="s">
        <v>33</v>
      </c>
      <c r="D283" s="44">
        <v>16.8</v>
      </c>
      <c r="E283" s="44">
        <v>10.73</v>
      </c>
      <c r="F283">
        <v>2011</v>
      </c>
    </row>
    <row r="284" spans="1:6" ht="15" customHeight="1" x14ac:dyDescent="0.3">
      <c r="A284" s="42" t="s">
        <v>351</v>
      </c>
      <c r="B284" s="43">
        <v>40710</v>
      </c>
      <c r="C284" s="42" t="s">
        <v>33</v>
      </c>
      <c r="D284" s="44">
        <v>17.02</v>
      </c>
      <c r="E284" s="44">
        <v>12.7</v>
      </c>
      <c r="F284">
        <v>2011</v>
      </c>
    </row>
    <row r="285" spans="1:6" ht="15" customHeight="1" x14ac:dyDescent="0.3">
      <c r="A285" s="42" t="s">
        <v>352</v>
      </c>
      <c r="B285" s="43">
        <v>40731</v>
      </c>
      <c r="C285" s="42" t="s">
        <v>33</v>
      </c>
      <c r="D285" s="44">
        <v>21.82</v>
      </c>
      <c r="E285" s="44">
        <v>16.420000000000002</v>
      </c>
      <c r="F285">
        <v>2011</v>
      </c>
    </row>
    <row r="286" spans="1:6" ht="15" customHeight="1" x14ac:dyDescent="0.3">
      <c r="A286" s="42" t="s">
        <v>353</v>
      </c>
      <c r="B286" s="43">
        <v>40743</v>
      </c>
      <c r="C286" s="42" t="s">
        <v>33</v>
      </c>
      <c r="D286" s="44">
        <v>22.18</v>
      </c>
      <c r="E286" s="44">
        <v>17.420000000000002</v>
      </c>
      <c r="F286">
        <v>2011</v>
      </c>
    </row>
    <row r="287" spans="1:6" ht="15" customHeight="1" x14ac:dyDescent="0.3">
      <c r="A287" s="42" t="s">
        <v>354</v>
      </c>
      <c r="B287" s="43">
        <v>40757</v>
      </c>
      <c r="C287" s="42" t="s">
        <v>33</v>
      </c>
      <c r="D287" s="44">
        <v>23.67</v>
      </c>
      <c r="E287" s="44">
        <v>20.399999999999999</v>
      </c>
      <c r="F287">
        <v>2011</v>
      </c>
    </row>
    <row r="288" spans="1:6" ht="15" customHeight="1" x14ac:dyDescent="0.3">
      <c r="A288" s="42" t="s">
        <v>355</v>
      </c>
      <c r="B288" s="43">
        <v>40771</v>
      </c>
      <c r="C288" s="42" t="s">
        <v>33</v>
      </c>
      <c r="D288" s="44">
        <v>22.18</v>
      </c>
      <c r="E288" s="44">
        <v>20.43</v>
      </c>
      <c r="F288">
        <v>2011</v>
      </c>
    </row>
    <row r="289" spans="1:6" ht="15" customHeight="1" x14ac:dyDescent="0.3">
      <c r="A289" s="42" t="s">
        <v>356</v>
      </c>
      <c r="B289" s="43">
        <v>40787</v>
      </c>
      <c r="C289" s="42" t="s">
        <v>33</v>
      </c>
      <c r="D289" s="44">
        <v>23.11</v>
      </c>
      <c r="E289" s="44">
        <v>22.01</v>
      </c>
      <c r="F289">
        <v>2011</v>
      </c>
    </row>
    <row r="290" spans="1:6" ht="15" customHeight="1" x14ac:dyDescent="0.3">
      <c r="A290" s="42" t="s">
        <v>357</v>
      </c>
      <c r="B290" s="43">
        <v>40823</v>
      </c>
      <c r="C290" s="42" t="s">
        <v>33</v>
      </c>
      <c r="D290" s="44">
        <v>19.829999999999998</v>
      </c>
      <c r="E290" s="44">
        <v>20.22</v>
      </c>
      <c r="F290">
        <v>2011</v>
      </c>
    </row>
    <row r="291" spans="1:6" ht="15" customHeight="1" x14ac:dyDescent="0.3">
      <c r="A291" s="42" t="s">
        <v>358</v>
      </c>
      <c r="B291" s="43">
        <v>40861</v>
      </c>
      <c r="C291" s="42" t="s">
        <v>33</v>
      </c>
      <c r="D291" s="44">
        <v>13.64</v>
      </c>
      <c r="E291" s="44">
        <v>13.6</v>
      </c>
      <c r="F291">
        <v>2011</v>
      </c>
    </row>
    <row r="292" spans="1:6" ht="15" customHeight="1" x14ac:dyDescent="0.3">
      <c r="A292" s="42" t="s">
        <v>360</v>
      </c>
      <c r="B292" s="43">
        <v>40919</v>
      </c>
      <c r="C292" s="42" t="s">
        <v>33</v>
      </c>
      <c r="D292" s="44">
        <v>6.45</v>
      </c>
      <c r="E292" s="44">
        <v>7.08</v>
      </c>
      <c r="F292">
        <v>2012</v>
      </c>
    </row>
    <row r="293" spans="1:6" ht="15" customHeight="1" x14ac:dyDescent="0.3">
      <c r="A293" s="42" t="s">
        <v>361</v>
      </c>
      <c r="B293" s="43">
        <v>40946</v>
      </c>
      <c r="C293" s="42" t="s">
        <v>33</v>
      </c>
      <c r="D293" s="44">
        <v>4.6399999999999997</v>
      </c>
      <c r="E293" s="44">
        <v>5.35</v>
      </c>
      <c r="F293">
        <v>2012</v>
      </c>
    </row>
    <row r="294" spans="1:6" ht="15" customHeight="1" x14ac:dyDescent="0.3">
      <c r="A294" s="42" t="s">
        <v>363</v>
      </c>
      <c r="B294" s="43">
        <v>40974</v>
      </c>
      <c r="C294" s="42" t="s">
        <v>33</v>
      </c>
      <c r="D294" s="44">
        <v>4.59</v>
      </c>
      <c r="E294" s="44">
        <v>4.99</v>
      </c>
      <c r="F294">
        <v>2012</v>
      </c>
    </row>
    <row r="295" spans="1:6" ht="15" customHeight="1" x14ac:dyDescent="0.3">
      <c r="A295" s="42" t="s">
        <v>365</v>
      </c>
      <c r="B295" s="43">
        <v>41003</v>
      </c>
      <c r="C295" s="42" t="s">
        <v>33</v>
      </c>
      <c r="D295" s="44">
        <v>7.41</v>
      </c>
      <c r="E295" s="44">
        <v>6.91</v>
      </c>
      <c r="F295">
        <v>2012</v>
      </c>
    </row>
    <row r="296" spans="1:6" ht="15" customHeight="1" x14ac:dyDescent="0.3">
      <c r="A296" s="42" t="s">
        <v>366</v>
      </c>
      <c r="B296" s="43">
        <v>41032</v>
      </c>
      <c r="C296" s="42" t="s">
        <v>33</v>
      </c>
      <c r="D296" s="44">
        <v>10.96</v>
      </c>
      <c r="E296" s="44">
        <v>10.06</v>
      </c>
      <c r="F296">
        <v>2012</v>
      </c>
    </row>
    <row r="297" spans="1:6" ht="15" customHeight="1" x14ac:dyDescent="0.3">
      <c r="A297" s="42" t="s">
        <v>367</v>
      </c>
      <c r="B297" s="43">
        <v>41060</v>
      </c>
      <c r="C297" s="42" t="s">
        <v>33</v>
      </c>
      <c r="D297" s="44">
        <v>17.559999999999999</v>
      </c>
      <c r="E297" s="44">
        <v>12.28</v>
      </c>
      <c r="F297">
        <v>2012</v>
      </c>
    </row>
    <row r="298" spans="1:6" ht="15" customHeight="1" x14ac:dyDescent="0.3">
      <c r="A298" s="42" t="s">
        <v>368</v>
      </c>
      <c r="B298" s="43">
        <v>41072</v>
      </c>
      <c r="C298" s="42" t="s">
        <v>33</v>
      </c>
      <c r="D298" s="44">
        <v>18.899999999999999</v>
      </c>
      <c r="E298" s="44">
        <v>13.76</v>
      </c>
      <c r="F298">
        <v>2012</v>
      </c>
    </row>
    <row r="299" spans="1:6" ht="15" customHeight="1" x14ac:dyDescent="0.3">
      <c r="A299" s="42" t="s">
        <v>369</v>
      </c>
      <c r="B299" s="43">
        <v>41088</v>
      </c>
      <c r="C299" s="42" t="s">
        <v>33</v>
      </c>
      <c r="D299" s="44">
        <v>19.82</v>
      </c>
      <c r="E299" s="44">
        <v>15.52</v>
      </c>
      <c r="F299">
        <v>2012</v>
      </c>
    </row>
    <row r="300" spans="1:6" ht="15" customHeight="1" x14ac:dyDescent="0.3">
      <c r="A300" s="42" t="s">
        <v>370</v>
      </c>
      <c r="B300" s="43">
        <v>41107</v>
      </c>
      <c r="C300" s="42" t="s">
        <v>33</v>
      </c>
      <c r="D300" s="44">
        <v>24.67</v>
      </c>
      <c r="E300" s="44">
        <v>18.940000000000001</v>
      </c>
      <c r="F300">
        <v>2012</v>
      </c>
    </row>
    <row r="301" spans="1:6" ht="15" customHeight="1" x14ac:dyDescent="0.3">
      <c r="A301" s="42" t="s">
        <v>371</v>
      </c>
      <c r="B301" s="43">
        <v>41121</v>
      </c>
      <c r="C301" s="42" t="s">
        <v>33</v>
      </c>
      <c r="D301" s="44">
        <v>22.72</v>
      </c>
      <c r="E301" s="44">
        <v>20.94</v>
      </c>
      <c r="F301">
        <v>2012</v>
      </c>
    </row>
    <row r="302" spans="1:6" ht="15" customHeight="1" x14ac:dyDescent="0.3">
      <c r="A302" s="42" t="s">
        <v>372</v>
      </c>
      <c r="B302" s="43">
        <v>41136</v>
      </c>
      <c r="C302" s="42" t="s">
        <v>33</v>
      </c>
      <c r="D302" s="44">
        <v>24.58</v>
      </c>
      <c r="E302" s="44">
        <v>21.95</v>
      </c>
      <c r="F302">
        <v>2012</v>
      </c>
    </row>
    <row r="303" spans="1:6" ht="15" customHeight="1" x14ac:dyDescent="0.3">
      <c r="A303" s="42" t="s">
        <v>373</v>
      </c>
      <c r="B303" s="43">
        <v>41151</v>
      </c>
      <c r="C303" s="42" t="s">
        <v>33</v>
      </c>
      <c r="D303" s="44">
        <v>23.74</v>
      </c>
      <c r="E303" s="44">
        <v>22.84</v>
      </c>
      <c r="F303">
        <v>2012</v>
      </c>
    </row>
    <row r="304" spans="1:6" ht="15" customHeight="1" x14ac:dyDescent="0.3">
      <c r="A304" s="42" t="s">
        <v>375</v>
      </c>
      <c r="B304" s="43">
        <v>41184</v>
      </c>
      <c r="C304" s="42" t="s">
        <v>33</v>
      </c>
      <c r="D304" s="44">
        <v>21.07</v>
      </c>
      <c r="E304" s="44">
        <v>21.05</v>
      </c>
      <c r="F304">
        <v>2012</v>
      </c>
    </row>
    <row r="305" spans="1:6" ht="15" customHeight="1" x14ac:dyDescent="0.3">
      <c r="A305" s="42" t="s">
        <v>376</v>
      </c>
      <c r="B305" s="43">
        <v>41228</v>
      </c>
      <c r="C305" s="42" t="s">
        <v>33</v>
      </c>
      <c r="D305" s="44">
        <v>13.01</v>
      </c>
      <c r="E305" s="44">
        <v>13.02</v>
      </c>
      <c r="F305">
        <v>2012</v>
      </c>
    </row>
    <row r="306" spans="1:6" ht="15" customHeight="1" x14ac:dyDescent="0.3">
      <c r="A306" s="42" t="s">
        <v>377</v>
      </c>
      <c r="B306" s="43">
        <v>41248</v>
      </c>
      <c r="C306" s="42" t="s">
        <v>33</v>
      </c>
      <c r="D306" s="44">
        <v>9.7200000000000006</v>
      </c>
      <c r="E306" s="44">
        <v>10.07</v>
      </c>
      <c r="F306">
        <v>2012</v>
      </c>
    </row>
    <row r="307" spans="1:6" ht="15" customHeight="1" x14ac:dyDescent="0.3">
      <c r="A307" s="42" t="s">
        <v>378</v>
      </c>
      <c r="B307" s="43">
        <v>41285</v>
      </c>
      <c r="C307" s="42" t="s">
        <v>33</v>
      </c>
      <c r="D307" s="44">
        <v>5.0599999999999996</v>
      </c>
      <c r="E307" s="44">
        <v>5.25</v>
      </c>
      <c r="F307">
        <v>2013</v>
      </c>
    </row>
    <row r="308" spans="1:6" ht="15" customHeight="1" x14ac:dyDescent="0.3">
      <c r="A308" s="42" t="s">
        <v>379</v>
      </c>
      <c r="B308" s="43">
        <v>41310</v>
      </c>
      <c r="C308" s="42" t="s">
        <v>33</v>
      </c>
      <c r="D308" s="44">
        <v>2.6</v>
      </c>
      <c r="E308" s="44">
        <v>2.85</v>
      </c>
      <c r="F308">
        <v>2013</v>
      </c>
    </row>
    <row r="309" spans="1:6" ht="15" customHeight="1" x14ac:dyDescent="0.3">
      <c r="A309" s="42" t="s">
        <v>381</v>
      </c>
      <c r="B309" s="43">
        <v>41345</v>
      </c>
      <c r="C309" s="42" t="s">
        <v>33</v>
      </c>
      <c r="D309" s="44">
        <v>3.19</v>
      </c>
      <c r="E309" s="44">
        <v>2.64</v>
      </c>
      <c r="F309">
        <v>2013</v>
      </c>
    </row>
    <row r="310" spans="1:6" ht="15" customHeight="1" x14ac:dyDescent="0.3">
      <c r="A310" s="42" t="s">
        <v>382</v>
      </c>
      <c r="B310" s="43">
        <v>41369</v>
      </c>
      <c r="C310" s="42" t="s">
        <v>33</v>
      </c>
      <c r="D310" s="44">
        <v>4.3099999999999996</v>
      </c>
      <c r="E310" s="44">
        <v>4.0599999999999996</v>
      </c>
      <c r="F310">
        <v>2013</v>
      </c>
    </row>
    <row r="311" spans="1:6" ht="15" customHeight="1" x14ac:dyDescent="0.3">
      <c r="A311" s="42" t="s">
        <v>383</v>
      </c>
      <c r="B311" s="43">
        <v>41394</v>
      </c>
      <c r="C311" s="42" t="s">
        <v>33</v>
      </c>
      <c r="D311" s="44">
        <v>9.35</v>
      </c>
      <c r="E311" s="44">
        <v>7.74</v>
      </c>
      <c r="F311">
        <v>2013</v>
      </c>
    </row>
    <row r="312" spans="1:6" ht="15" customHeight="1" x14ac:dyDescent="0.3">
      <c r="A312" s="42" t="s">
        <v>384</v>
      </c>
      <c r="B312" s="43">
        <v>41429</v>
      </c>
      <c r="C312" s="42" t="s">
        <v>33</v>
      </c>
      <c r="D312" s="44">
        <v>15.09</v>
      </c>
      <c r="E312" s="44">
        <v>12.17</v>
      </c>
      <c r="F312">
        <v>2013</v>
      </c>
    </row>
    <row r="313" spans="1:6" ht="15" customHeight="1" x14ac:dyDescent="0.3">
      <c r="A313" s="42" t="s">
        <v>385</v>
      </c>
      <c r="B313" s="43">
        <v>41446</v>
      </c>
      <c r="C313" s="42" t="s">
        <v>33</v>
      </c>
      <c r="D313" s="44">
        <v>19.440000000000001</v>
      </c>
      <c r="E313" s="44">
        <v>13.81</v>
      </c>
      <c r="F313">
        <v>2013</v>
      </c>
    </row>
    <row r="314" spans="1:6" ht="15" customHeight="1" x14ac:dyDescent="0.3">
      <c r="A314" s="42" t="s">
        <v>386</v>
      </c>
      <c r="B314" s="43">
        <v>41458</v>
      </c>
      <c r="C314" s="42" t="s">
        <v>33</v>
      </c>
      <c r="D314" s="44">
        <v>21.26</v>
      </c>
      <c r="E314" s="44">
        <v>15.85</v>
      </c>
      <c r="F314">
        <v>2013</v>
      </c>
    </row>
    <row r="315" spans="1:6" ht="15" customHeight="1" x14ac:dyDescent="0.3">
      <c r="A315" s="42" t="s">
        <v>387</v>
      </c>
      <c r="B315" s="43">
        <v>41471</v>
      </c>
      <c r="C315" s="42" t="s">
        <v>33</v>
      </c>
      <c r="D315" s="44">
        <v>24.09</v>
      </c>
      <c r="E315" s="44">
        <v>16.97</v>
      </c>
      <c r="F315">
        <v>2013</v>
      </c>
    </row>
    <row r="316" spans="1:6" ht="15" customHeight="1" x14ac:dyDescent="0.3">
      <c r="A316" s="42" t="s">
        <v>388</v>
      </c>
      <c r="B316" s="43">
        <v>41485</v>
      </c>
      <c r="C316" s="42" t="s">
        <v>33</v>
      </c>
      <c r="D316" s="46">
        <v>23.34</v>
      </c>
      <c r="E316" s="46">
        <v>18.940000000000001</v>
      </c>
      <c r="F316">
        <v>2013</v>
      </c>
    </row>
    <row r="317" spans="1:6" ht="15" customHeight="1" x14ac:dyDescent="0.3">
      <c r="A317" s="42" t="s">
        <v>389</v>
      </c>
      <c r="B317" s="43">
        <v>41499</v>
      </c>
      <c r="C317" s="42" t="s">
        <v>33</v>
      </c>
      <c r="D317" s="44">
        <v>22.69</v>
      </c>
      <c r="E317" s="44">
        <v>21.31</v>
      </c>
      <c r="F317">
        <v>2013</v>
      </c>
    </row>
    <row r="318" spans="1:6" ht="15" customHeight="1" x14ac:dyDescent="0.3">
      <c r="A318" s="42" t="s">
        <v>390</v>
      </c>
      <c r="B318" s="43">
        <v>41515</v>
      </c>
      <c r="C318" s="42" t="s">
        <v>33</v>
      </c>
      <c r="D318" s="44">
        <v>22.79</v>
      </c>
      <c r="E318" s="44">
        <v>21.56</v>
      </c>
      <c r="F318">
        <v>2013</v>
      </c>
    </row>
    <row r="319" spans="1:6" ht="15" customHeight="1" x14ac:dyDescent="0.3">
      <c r="A319" s="42" t="s">
        <v>391</v>
      </c>
      <c r="B319" s="43">
        <v>41526</v>
      </c>
      <c r="C319" s="42" t="s">
        <v>33</v>
      </c>
      <c r="D319" s="44">
        <v>22.16</v>
      </c>
      <c r="E319" s="44">
        <v>21.54</v>
      </c>
      <c r="F319">
        <v>2013</v>
      </c>
    </row>
    <row r="320" spans="1:6" ht="15" customHeight="1" x14ac:dyDescent="0.3">
      <c r="A320" s="42" t="s">
        <v>392</v>
      </c>
      <c r="B320" s="43">
        <v>41550</v>
      </c>
      <c r="C320" s="42" t="s">
        <v>33</v>
      </c>
      <c r="D320" s="44">
        <v>20.28</v>
      </c>
      <c r="E320" s="44">
        <v>19.98</v>
      </c>
      <c r="F320">
        <v>2013</v>
      </c>
    </row>
    <row r="321" spans="1:6" ht="15" customHeight="1" x14ac:dyDescent="0.3">
      <c r="A321" s="42" t="s">
        <v>393</v>
      </c>
      <c r="B321" s="43">
        <v>41584</v>
      </c>
      <c r="C321" s="42" t="s">
        <v>33</v>
      </c>
      <c r="D321" s="44">
        <v>15.45</v>
      </c>
      <c r="E321" s="44">
        <v>15.29</v>
      </c>
      <c r="F321">
        <v>2013</v>
      </c>
    </row>
    <row r="322" spans="1:6" ht="15" customHeight="1" x14ac:dyDescent="0.3">
      <c r="A322" s="42" t="s">
        <v>394</v>
      </c>
      <c r="B322" s="43">
        <v>41617</v>
      </c>
      <c r="C322" s="42" t="s">
        <v>33</v>
      </c>
      <c r="D322" s="44">
        <v>8.9</v>
      </c>
      <c r="E322" s="44">
        <v>8.92</v>
      </c>
      <c r="F322">
        <v>2013</v>
      </c>
    </row>
    <row r="323" spans="1:6" ht="15" customHeight="1" x14ac:dyDescent="0.3">
      <c r="A323" s="42" t="s">
        <v>395</v>
      </c>
      <c r="B323" s="43">
        <v>41649</v>
      </c>
      <c r="C323" s="42" t="s">
        <v>33</v>
      </c>
      <c r="D323" s="44">
        <v>2.54</v>
      </c>
      <c r="E323" s="44">
        <v>3.1</v>
      </c>
      <c r="F323">
        <v>2014</v>
      </c>
    </row>
    <row r="324" spans="1:6" ht="15" customHeight="1" x14ac:dyDescent="0.3">
      <c r="A324" s="42" t="s">
        <v>396</v>
      </c>
      <c r="B324" s="43">
        <v>41674</v>
      </c>
      <c r="C324" s="42" t="s">
        <v>33</v>
      </c>
      <c r="D324" s="44">
        <v>0.73</v>
      </c>
      <c r="E324" s="44">
        <v>1.06</v>
      </c>
      <c r="F324">
        <v>2014</v>
      </c>
    </row>
    <row r="325" spans="1:6" ht="15" customHeight="1" x14ac:dyDescent="0.3">
      <c r="A325" s="42" t="s">
        <v>398</v>
      </c>
      <c r="B325" s="43">
        <v>41702</v>
      </c>
      <c r="C325" s="42" t="s">
        <v>33</v>
      </c>
      <c r="D325" s="44">
        <v>0.43</v>
      </c>
      <c r="E325" s="44">
        <v>0.28999999999999998</v>
      </c>
      <c r="F325">
        <v>2014</v>
      </c>
    </row>
    <row r="326" spans="1:6" ht="15" customHeight="1" x14ac:dyDescent="0.3">
      <c r="A326" s="42" t="s">
        <v>399</v>
      </c>
      <c r="B326" s="43">
        <v>41732</v>
      </c>
      <c r="C326" s="42" t="s">
        <v>33</v>
      </c>
      <c r="D326" s="44">
        <v>2.6</v>
      </c>
      <c r="E326" s="44">
        <v>1.93</v>
      </c>
      <c r="F326">
        <v>2014</v>
      </c>
    </row>
    <row r="327" spans="1:6" ht="15" customHeight="1" x14ac:dyDescent="0.3">
      <c r="A327" s="42" t="s">
        <v>400</v>
      </c>
      <c r="B327" s="43">
        <v>41767</v>
      </c>
      <c r="C327" s="42" t="s">
        <v>33</v>
      </c>
      <c r="D327" s="44">
        <v>9.9700000000000006</v>
      </c>
      <c r="E327" s="44">
        <v>6.81</v>
      </c>
      <c r="F327">
        <v>2014</v>
      </c>
    </row>
    <row r="328" spans="1:6" ht="15" customHeight="1" x14ac:dyDescent="0.3">
      <c r="A328" s="42" t="s">
        <v>401</v>
      </c>
      <c r="B328" s="43">
        <v>41794</v>
      </c>
      <c r="C328" s="42" t="s">
        <v>33</v>
      </c>
      <c r="D328" s="44">
        <v>16.690000000000001</v>
      </c>
      <c r="E328" s="44">
        <v>10.36</v>
      </c>
      <c r="F328">
        <v>2014</v>
      </c>
    </row>
    <row r="329" spans="1:6" ht="15" customHeight="1" x14ac:dyDescent="0.3">
      <c r="A329" s="42" t="s">
        <v>402</v>
      </c>
      <c r="B329" s="43">
        <v>41809</v>
      </c>
      <c r="C329" s="42" t="s">
        <v>33</v>
      </c>
      <c r="D329" s="44">
        <v>18.12</v>
      </c>
      <c r="E329" s="44">
        <v>12.75</v>
      </c>
      <c r="F329">
        <v>2014</v>
      </c>
    </row>
    <row r="330" spans="1:6" ht="15" customHeight="1" x14ac:dyDescent="0.3">
      <c r="A330" s="42" t="s">
        <v>403</v>
      </c>
      <c r="B330" s="43">
        <v>41821</v>
      </c>
      <c r="C330" s="42" t="s">
        <v>33</v>
      </c>
      <c r="D330" s="44">
        <v>20.48</v>
      </c>
      <c r="E330" s="44">
        <v>14.76</v>
      </c>
      <c r="F330">
        <v>2014</v>
      </c>
    </row>
    <row r="331" spans="1:6" ht="15" customHeight="1" x14ac:dyDescent="0.3">
      <c r="A331" s="42" t="s">
        <v>404</v>
      </c>
      <c r="B331" s="43">
        <v>41835</v>
      </c>
      <c r="C331" s="42" t="s">
        <v>33</v>
      </c>
      <c r="D331" s="44">
        <v>20.9</v>
      </c>
      <c r="E331" s="44">
        <v>18.48</v>
      </c>
      <c r="F331">
        <v>2014</v>
      </c>
    </row>
    <row r="332" spans="1:6" ht="15" customHeight="1" x14ac:dyDescent="0.3">
      <c r="A332" s="42" t="s">
        <v>405</v>
      </c>
      <c r="B332" s="43">
        <v>41856</v>
      </c>
      <c r="C332" s="42" t="s">
        <v>33</v>
      </c>
      <c r="D332" s="44">
        <v>22.86</v>
      </c>
      <c r="E332" s="44">
        <v>19.87</v>
      </c>
      <c r="F332">
        <v>2014</v>
      </c>
    </row>
    <row r="333" spans="1:6" ht="15" customHeight="1" x14ac:dyDescent="0.3">
      <c r="A333" s="42" t="s">
        <v>406</v>
      </c>
      <c r="B333" s="43">
        <v>41869</v>
      </c>
      <c r="C333" s="42" t="s">
        <v>33</v>
      </c>
      <c r="D333" s="44">
        <v>22.36</v>
      </c>
      <c r="E333" s="44">
        <v>20.98</v>
      </c>
      <c r="F333">
        <v>2014</v>
      </c>
    </row>
    <row r="334" spans="1:6" ht="15" customHeight="1" x14ac:dyDescent="0.3">
      <c r="A334" s="42" t="s">
        <v>407</v>
      </c>
      <c r="B334" s="43">
        <v>41885</v>
      </c>
      <c r="C334" s="42" t="s">
        <v>33</v>
      </c>
      <c r="D334" s="44">
        <v>23.45</v>
      </c>
      <c r="E334" s="44">
        <v>21.84</v>
      </c>
      <c r="F334">
        <v>2014</v>
      </c>
    </row>
    <row r="335" spans="1:6" ht="15" customHeight="1" x14ac:dyDescent="0.3">
      <c r="A335" s="42" t="s">
        <v>408</v>
      </c>
      <c r="B335" s="43">
        <v>41897</v>
      </c>
      <c r="C335" s="42" t="s">
        <v>33</v>
      </c>
      <c r="D335" s="44">
        <v>21.83</v>
      </c>
      <c r="E335" s="44">
        <v>22</v>
      </c>
      <c r="F335">
        <v>2014</v>
      </c>
    </row>
    <row r="336" spans="1:6" ht="15" customHeight="1" x14ac:dyDescent="0.3">
      <c r="A336" s="42" t="s">
        <v>409</v>
      </c>
      <c r="B336" s="43">
        <v>41915</v>
      </c>
      <c r="C336" s="42" t="s">
        <v>33</v>
      </c>
      <c r="D336" s="46">
        <v>20.52</v>
      </c>
      <c r="E336" s="44">
        <v>20.49</v>
      </c>
      <c r="F336">
        <v>2014</v>
      </c>
    </row>
    <row r="337" spans="1:6" ht="15" customHeight="1" x14ac:dyDescent="0.3">
      <c r="A337" s="42" t="s">
        <v>410</v>
      </c>
      <c r="B337" s="43">
        <v>41955</v>
      </c>
      <c r="C337" s="42" t="s">
        <v>33</v>
      </c>
      <c r="D337" s="44">
        <v>14.02</v>
      </c>
      <c r="E337" s="44">
        <v>14.15</v>
      </c>
      <c r="F337">
        <v>2014</v>
      </c>
    </row>
    <row r="338" spans="1:6" ht="15" customHeight="1" x14ac:dyDescent="0.3">
      <c r="A338" s="42" t="s">
        <v>411</v>
      </c>
      <c r="B338" s="43">
        <v>41985</v>
      </c>
      <c r="C338" s="42" t="s">
        <v>33</v>
      </c>
      <c r="D338" s="44">
        <v>7.66</v>
      </c>
      <c r="E338" s="44">
        <v>8</v>
      </c>
      <c r="F338">
        <v>2014</v>
      </c>
    </row>
    <row r="339" spans="1:6" ht="15" customHeight="1" x14ac:dyDescent="0.3">
      <c r="A339" s="42" t="s">
        <v>412</v>
      </c>
      <c r="B339" s="43">
        <v>42019</v>
      </c>
      <c r="C339" s="42" t="s">
        <v>33</v>
      </c>
      <c r="D339" s="44">
        <v>2.4700000000000002</v>
      </c>
      <c r="E339" s="44">
        <v>3.58</v>
      </c>
      <c r="F339">
        <v>2015</v>
      </c>
    </row>
    <row r="340" spans="1:6" ht="15" customHeight="1" x14ac:dyDescent="0.3">
      <c r="A340" s="42" t="s">
        <v>413</v>
      </c>
      <c r="B340" s="43">
        <v>42041</v>
      </c>
      <c r="C340" s="42" t="s">
        <v>33</v>
      </c>
      <c r="D340" s="44">
        <v>0.71</v>
      </c>
      <c r="E340" s="44">
        <v>0.84</v>
      </c>
      <c r="F340">
        <v>2015</v>
      </c>
    </row>
    <row r="341" spans="1:6" ht="15" customHeight="1" x14ac:dyDescent="0.3">
      <c r="A341" s="42" t="s">
        <v>414</v>
      </c>
      <c r="B341" s="43">
        <v>42072</v>
      </c>
      <c r="C341" s="42" t="s">
        <v>33</v>
      </c>
      <c r="D341" s="44">
        <v>-0.76</v>
      </c>
      <c r="E341" s="44">
        <v>-1.1100000000000001</v>
      </c>
      <c r="F341">
        <v>2015</v>
      </c>
    </row>
    <row r="342" spans="1:6" ht="15" customHeight="1" x14ac:dyDescent="0.3">
      <c r="A342" s="42" t="s">
        <v>416</v>
      </c>
      <c r="B342" s="43">
        <v>42094</v>
      </c>
      <c r="C342" s="42" t="s">
        <v>33</v>
      </c>
      <c r="D342" s="44">
        <v>1.33</v>
      </c>
      <c r="E342" s="44">
        <v>0.86</v>
      </c>
      <c r="F342">
        <v>2015</v>
      </c>
    </row>
    <row r="343" spans="1:6" ht="15" customHeight="1" x14ac:dyDescent="0.3">
      <c r="A343" s="42" t="s">
        <v>417</v>
      </c>
      <c r="B343" s="43">
        <v>42128</v>
      </c>
      <c r="C343" s="42" t="s">
        <v>33</v>
      </c>
      <c r="D343" s="44">
        <v>8.4499999999999993</v>
      </c>
      <c r="E343" s="44">
        <v>5.14</v>
      </c>
      <c r="F343">
        <v>2015</v>
      </c>
    </row>
    <row r="344" spans="1:6" ht="15" customHeight="1" x14ac:dyDescent="0.3">
      <c r="A344" s="42" t="s">
        <v>418</v>
      </c>
      <c r="B344" s="43">
        <v>42160</v>
      </c>
      <c r="C344" s="42" t="s">
        <v>33</v>
      </c>
      <c r="D344" s="44">
        <v>13.57</v>
      </c>
      <c r="E344" s="44">
        <v>10.81</v>
      </c>
      <c r="F344">
        <v>2015</v>
      </c>
    </row>
    <row r="345" spans="1:6" ht="15" customHeight="1" x14ac:dyDescent="0.3">
      <c r="A345" s="42" t="s">
        <v>420</v>
      </c>
      <c r="B345" s="43">
        <v>42193</v>
      </c>
      <c r="C345" s="42" t="s">
        <v>33</v>
      </c>
      <c r="D345" s="44">
        <v>21.44</v>
      </c>
      <c r="E345" s="44">
        <v>15.19</v>
      </c>
      <c r="F345">
        <v>2015</v>
      </c>
    </row>
    <row r="346" spans="1:6" ht="15" customHeight="1" x14ac:dyDescent="0.3">
      <c r="A346" s="42" t="s">
        <v>421</v>
      </c>
      <c r="B346" s="43">
        <v>42206</v>
      </c>
      <c r="C346" s="42" t="s">
        <v>33</v>
      </c>
      <c r="D346" s="44">
        <v>24.55</v>
      </c>
      <c r="E346" s="44">
        <v>16.63</v>
      </c>
      <c r="F346">
        <v>2015</v>
      </c>
    </row>
    <row r="347" spans="1:6" ht="15" customHeight="1" x14ac:dyDescent="0.3">
      <c r="A347" s="42" t="s">
        <v>422</v>
      </c>
      <c r="B347" s="43">
        <v>42221</v>
      </c>
      <c r="C347" s="42" t="s">
        <v>33</v>
      </c>
      <c r="D347" s="44">
        <v>23.11</v>
      </c>
      <c r="E347" s="44">
        <v>20.48</v>
      </c>
      <c r="F347">
        <v>2015</v>
      </c>
    </row>
    <row r="348" spans="1:6" ht="15" customHeight="1" x14ac:dyDescent="0.3">
      <c r="A348" s="42" t="s">
        <v>423</v>
      </c>
      <c r="B348" s="43">
        <v>42234</v>
      </c>
      <c r="C348" s="42" t="s">
        <v>33</v>
      </c>
      <c r="D348" s="44">
        <v>24.8</v>
      </c>
      <c r="E348" s="44">
        <v>21.15</v>
      </c>
      <c r="F348">
        <v>2015</v>
      </c>
    </row>
    <row r="349" spans="1:6" ht="15" customHeight="1" x14ac:dyDescent="0.3">
      <c r="A349" s="42" t="s">
        <v>424</v>
      </c>
      <c r="B349" s="43">
        <v>42249</v>
      </c>
      <c r="C349" s="42" t="s">
        <v>33</v>
      </c>
      <c r="D349" s="44">
        <v>24.1</v>
      </c>
      <c r="E349" s="44">
        <v>22.58</v>
      </c>
      <c r="F349">
        <v>2015</v>
      </c>
    </row>
    <row r="350" spans="1:6" ht="15" customHeight="1" x14ac:dyDescent="0.3">
      <c r="A350" s="42" t="s">
        <v>425</v>
      </c>
      <c r="B350" s="43">
        <v>42263</v>
      </c>
      <c r="C350" s="42" t="s">
        <v>33</v>
      </c>
      <c r="D350" s="44">
        <v>23.45</v>
      </c>
      <c r="E350" s="44">
        <v>23.09</v>
      </c>
      <c r="F350">
        <v>2015</v>
      </c>
    </row>
    <row r="351" spans="1:6" ht="15" customHeight="1" x14ac:dyDescent="0.3">
      <c r="A351" s="42" t="s">
        <v>426</v>
      </c>
      <c r="B351" s="43">
        <v>42286</v>
      </c>
      <c r="C351" s="42" t="s">
        <v>33</v>
      </c>
      <c r="D351" s="44">
        <v>19.440000000000001</v>
      </c>
      <c r="E351" s="44">
        <v>19.52</v>
      </c>
      <c r="F351">
        <v>2015</v>
      </c>
    </row>
    <row r="352" spans="1:6" ht="15" customHeight="1" x14ac:dyDescent="0.3">
      <c r="A352" s="42" t="s">
        <v>427</v>
      </c>
      <c r="B352" s="43">
        <v>42318</v>
      </c>
      <c r="C352" s="42" t="s">
        <v>33</v>
      </c>
      <c r="D352" s="44">
        <v>15.36</v>
      </c>
      <c r="E352" s="44">
        <v>15.49</v>
      </c>
      <c r="F352">
        <v>2015</v>
      </c>
    </row>
    <row r="353" spans="1:6" ht="15" customHeight="1" x14ac:dyDescent="0.3">
      <c r="A353" s="42" t="s">
        <v>428</v>
      </c>
      <c r="B353" s="43">
        <v>42352</v>
      </c>
      <c r="C353" s="42" t="s">
        <v>33</v>
      </c>
      <c r="D353" s="44">
        <v>11.1</v>
      </c>
      <c r="E353" s="44">
        <v>11.05</v>
      </c>
      <c r="F353">
        <v>2015</v>
      </c>
    </row>
    <row r="354" spans="1:6" ht="15" customHeight="1" x14ac:dyDescent="0.3">
      <c r="A354" s="42" t="s">
        <v>429</v>
      </c>
      <c r="B354" s="43">
        <v>42377</v>
      </c>
      <c r="C354" s="42" t="s">
        <v>33</v>
      </c>
      <c r="D354" s="44">
        <v>7.91</v>
      </c>
      <c r="E354" s="44">
        <v>7.96</v>
      </c>
      <c r="F354">
        <v>2016</v>
      </c>
    </row>
    <row r="355" spans="1:6" ht="15" customHeight="1" x14ac:dyDescent="0.3">
      <c r="A355" s="42" t="s">
        <v>430</v>
      </c>
      <c r="B355" s="43">
        <v>42402</v>
      </c>
      <c r="C355" s="42" t="s">
        <v>33</v>
      </c>
      <c r="D355" s="44">
        <v>4.3099999999999996</v>
      </c>
      <c r="E355" s="44">
        <v>4.3600000000000003</v>
      </c>
      <c r="F355">
        <v>2016</v>
      </c>
    </row>
    <row r="356" spans="1:6" ht="15" customHeight="1" x14ac:dyDescent="0.3">
      <c r="A356" s="42" t="s">
        <v>432</v>
      </c>
      <c r="B356" s="43">
        <v>42438</v>
      </c>
      <c r="C356" s="42" t="s">
        <v>33</v>
      </c>
      <c r="D356" s="44">
        <v>3.99</v>
      </c>
      <c r="E356" s="44">
        <v>3.41</v>
      </c>
      <c r="F356">
        <v>2016</v>
      </c>
    </row>
    <row r="357" spans="1:6" ht="15" customHeight="1" x14ac:dyDescent="0.3">
      <c r="A357" s="42" t="s">
        <v>434</v>
      </c>
      <c r="B357" s="43">
        <v>42466</v>
      </c>
      <c r="C357" s="42" t="s">
        <v>33</v>
      </c>
      <c r="D357" s="44">
        <v>6.45</v>
      </c>
      <c r="E357" s="44">
        <v>6.05</v>
      </c>
      <c r="F357">
        <v>2016</v>
      </c>
    </row>
    <row r="358" spans="1:6" ht="15" customHeight="1" x14ac:dyDescent="0.3">
      <c r="A358" s="42" t="s">
        <v>435</v>
      </c>
      <c r="B358" s="43">
        <v>42508</v>
      </c>
      <c r="C358" s="42" t="s">
        <v>33</v>
      </c>
      <c r="D358" s="44">
        <v>10.8</v>
      </c>
      <c r="E358" s="44">
        <v>10.130000000000001</v>
      </c>
      <c r="F358">
        <v>2016</v>
      </c>
    </row>
    <row r="359" spans="1:6" ht="15" customHeight="1" x14ac:dyDescent="0.3">
      <c r="A359" s="42" t="s">
        <v>436</v>
      </c>
      <c r="B359" s="43">
        <v>42535</v>
      </c>
      <c r="C359" s="42" t="s">
        <v>33</v>
      </c>
      <c r="D359" s="46">
        <v>14.98</v>
      </c>
      <c r="E359" s="46">
        <v>13.61</v>
      </c>
      <c r="F359">
        <v>2016</v>
      </c>
    </row>
    <row r="360" spans="1:6" ht="15" customHeight="1" x14ac:dyDescent="0.3">
      <c r="A360" s="42" t="s">
        <v>438</v>
      </c>
      <c r="B360" s="43">
        <v>42558</v>
      </c>
      <c r="C360" s="42" t="s">
        <v>33</v>
      </c>
      <c r="D360" s="44">
        <v>21.06</v>
      </c>
      <c r="E360" s="44">
        <v>16.61</v>
      </c>
      <c r="F360">
        <v>2016</v>
      </c>
    </row>
    <row r="361" spans="1:6" ht="15" customHeight="1" x14ac:dyDescent="0.3">
      <c r="A361" s="42" t="s">
        <v>439</v>
      </c>
      <c r="B361" s="43">
        <v>42570</v>
      </c>
      <c r="C361" s="42" t="s">
        <v>33</v>
      </c>
      <c r="D361" s="44">
        <v>24.06</v>
      </c>
      <c r="E361" s="44">
        <v>18.010000000000002</v>
      </c>
      <c r="F361">
        <v>2016</v>
      </c>
    </row>
    <row r="362" spans="1:6" ht="15" customHeight="1" x14ac:dyDescent="0.3">
      <c r="A362" s="42" t="s">
        <v>440</v>
      </c>
      <c r="B362" s="43">
        <v>42586</v>
      </c>
      <c r="C362" s="42" t="s">
        <v>33</v>
      </c>
      <c r="D362" s="44">
        <v>23.28</v>
      </c>
      <c r="E362" s="44">
        <v>20.010000000000002</v>
      </c>
      <c r="F362">
        <v>2016</v>
      </c>
    </row>
    <row r="363" spans="1:6" ht="15" customHeight="1" x14ac:dyDescent="0.3">
      <c r="A363" s="42" t="s">
        <v>441</v>
      </c>
      <c r="B363" s="43">
        <v>42598</v>
      </c>
      <c r="C363" s="42" t="s">
        <v>33</v>
      </c>
      <c r="D363" s="44">
        <v>23.79</v>
      </c>
      <c r="E363" s="44">
        <v>22.14</v>
      </c>
      <c r="F363">
        <v>2016</v>
      </c>
    </row>
    <row r="364" spans="1:6" ht="15" customHeight="1" x14ac:dyDescent="0.3">
      <c r="A364" s="42" t="s">
        <v>442</v>
      </c>
      <c r="B364" s="43">
        <v>42613</v>
      </c>
      <c r="C364" s="42" t="s">
        <v>33</v>
      </c>
      <c r="D364" s="44">
        <v>24.51</v>
      </c>
      <c r="E364" s="44">
        <v>22.94</v>
      </c>
      <c r="F364">
        <v>2016</v>
      </c>
    </row>
    <row r="365" spans="1:6" ht="15" customHeight="1" x14ac:dyDescent="0.3">
      <c r="A365" s="42" t="s">
        <v>443</v>
      </c>
      <c r="B365" s="43">
        <v>42625</v>
      </c>
      <c r="C365" s="42" t="s">
        <v>33</v>
      </c>
      <c r="D365" s="46">
        <v>23.82</v>
      </c>
      <c r="E365" s="46">
        <v>23.11</v>
      </c>
      <c r="F365">
        <v>2016</v>
      </c>
    </row>
    <row r="366" spans="1:6" ht="15" customHeight="1" x14ac:dyDescent="0.3">
      <c r="A366" s="42" t="s">
        <v>444</v>
      </c>
      <c r="B366" s="43">
        <v>42649</v>
      </c>
      <c r="C366" s="42" t="s">
        <v>33</v>
      </c>
      <c r="D366" s="44">
        <v>20.51</v>
      </c>
      <c r="E366" s="44">
        <v>20.399999999999999</v>
      </c>
      <c r="F366">
        <v>2016</v>
      </c>
    </row>
    <row r="367" spans="1:6" ht="15" customHeight="1" x14ac:dyDescent="0.3">
      <c r="A367" s="42" t="s">
        <v>445</v>
      </c>
      <c r="B367" s="43">
        <v>42682</v>
      </c>
      <c r="C367" s="42" t="s">
        <v>33</v>
      </c>
      <c r="D367" s="44">
        <v>15.45</v>
      </c>
      <c r="E367" s="44">
        <v>15.38</v>
      </c>
      <c r="F367">
        <v>2016</v>
      </c>
    </row>
    <row r="368" spans="1:6" ht="15" customHeight="1" x14ac:dyDescent="0.3">
      <c r="A368" s="42" t="s">
        <v>446</v>
      </c>
      <c r="B368" s="43">
        <v>42710</v>
      </c>
      <c r="C368" s="42" t="s">
        <v>33</v>
      </c>
      <c r="D368" s="44">
        <v>10.14</v>
      </c>
      <c r="E368" s="44">
        <v>10.25</v>
      </c>
      <c r="F368">
        <v>2016</v>
      </c>
    </row>
    <row r="369" spans="1:6" ht="15" customHeight="1" x14ac:dyDescent="0.3">
      <c r="A369" s="42" t="s">
        <v>447</v>
      </c>
      <c r="B369" s="43">
        <v>42741</v>
      </c>
      <c r="C369" s="42" t="s">
        <v>33</v>
      </c>
      <c r="D369" s="44">
        <v>5.38</v>
      </c>
      <c r="E369" s="44">
        <v>5.64</v>
      </c>
      <c r="F369">
        <v>2017</v>
      </c>
    </row>
    <row r="370" spans="1:6" ht="15" customHeight="1" x14ac:dyDescent="0.3">
      <c r="A370" s="42" t="s">
        <v>448</v>
      </c>
      <c r="B370" s="43">
        <v>42780</v>
      </c>
      <c r="C370" s="42" t="s">
        <v>33</v>
      </c>
      <c r="D370" s="44">
        <v>2.99</v>
      </c>
      <c r="E370" s="44">
        <v>3.07</v>
      </c>
      <c r="F370">
        <v>2017</v>
      </c>
    </row>
    <row r="371" spans="1:6" ht="15" customHeight="1" x14ac:dyDescent="0.3">
      <c r="A371" s="42" t="s">
        <v>450</v>
      </c>
      <c r="B371" s="43">
        <v>42802</v>
      </c>
      <c r="C371" s="42" t="s">
        <v>33</v>
      </c>
      <c r="D371" s="44">
        <v>3.82</v>
      </c>
      <c r="E371" s="44">
        <v>3.39</v>
      </c>
      <c r="F371">
        <v>2017</v>
      </c>
    </row>
    <row r="372" spans="1:6" ht="15" customHeight="1" x14ac:dyDescent="0.3">
      <c r="A372" s="42" t="s">
        <v>451</v>
      </c>
      <c r="B372" s="43">
        <v>42830</v>
      </c>
      <c r="C372" s="42" t="s">
        <v>33</v>
      </c>
      <c r="D372" s="44">
        <v>5.14</v>
      </c>
      <c r="E372" s="44">
        <v>3.49</v>
      </c>
      <c r="F372">
        <v>2017</v>
      </c>
    </row>
    <row r="373" spans="1:6" ht="15" customHeight="1" x14ac:dyDescent="0.3">
      <c r="A373" s="42" t="s">
        <v>452</v>
      </c>
      <c r="B373" s="43">
        <v>42859</v>
      </c>
      <c r="C373" s="42" t="s">
        <v>33</v>
      </c>
      <c r="D373" s="44">
        <v>10.1</v>
      </c>
      <c r="E373" s="44">
        <v>6.98</v>
      </c>
      <c r="F373">
        <v>2017</v>
      </c>
    </row>
    <row r="374" spans="1:6" ht="15" customHeight="1" x14ac:dyDescent="0.3">
      <c r="A374" s="42" t="s">
        <v>453</v>
      </c>
      <c r="B374" s="43">
        <v>42894</v>
      </c>
      <c r="C374" s="42" t="s">
        <v>33</v>
      </c>
      <c r="D374" s="46">
        <v>14.65</v>
      </c>
      <c r="E374" s="46">
        <v>11.83</v>
      </c>
      <c r="F374">
        <v>2017</v>
      </c>
    </row>
    <row r="375" spans="1:6" ht="15" customHeight="1" x14ac:dyDescent="0.3">
      <c r="A375" s="42" t="s">
        <v>454</v>
      </c>
      <c r="B375" s="43">
        <v>42906</v>
      </c>
      <c r="C375" s="42" t="s">
        <v>33</v>
      </c>
      <c r="D375" s="44">
        <v>17.399999999999999</v>
      </c>
      <c r="E375" s="44">
        <v>14.28</v>
      </c>
      <c r="F375">
        <v>2017</v>
      </c>
    </row>
    <row r="376" spans="1:6" ht="15" customHeight="1" x14ac:dyDescent="0.3">
      <c r="A376" s="42" t="s">
        <v>455</v>
      </c>
      <c r="B376" s="43">
        <v>42923</v>
      </c>
      <c r="C376" s="42" t="s">
        <v>33</v>
      </c>
      <c r="D376" s="44">
        <v>19.86</v>
      </c>
      <c r="E376" s="44">
        <v>16.239999999999998</v>
      </c>
      <c r="F376">
        <v>2017</v>
      </c>
    </row>
    <row r="377" spans="1:6" ht="15" customHeight="1" x14ac:dyDescent="0.3">
      <c r="A377" s="42" t="s">
        <v>456</v>
      </c>
      <c r="B377" s="43">
        <v>42935</v>
      </c>
      <c r="C377" s="42" t="s">
        <v>33</v>
      </c>
      <c r="D377" s="44">
        <v>24.71</v>
      </c>
      <c r="E377" s="44">
        <v>18.079999999999998</v>
      </c>
      <c r="F377">
        <v>2017</v>
      </c>
    </row>
    <row r="378" spans="1:6" ht="15" customHeight="1" x14ac:dyDescent="0.3">
      <c r="A378" s="42" t="s">
        <v>457</v>
      </c>
      <c r="B378" s="43">
        <v>42949</v>
      </c>
      <c r="C378" s="42" t="s">
        <v>33</v>
      </c>
      <c r="D378" s="44">
        <v>22.67</v>
      </c>
      <c r="E378" s="44">
        <v>19.32</v>
      </c>
      <c r="F378">
        <v>2017</v>
      </c>
    </row>
    <row r="379" spans="1:6" ht="15" customHeight="1" x14ac:dyDescent="0.3">
      <c r="A379" s="42" t="s">
        <v>458</v>
      </c>
      <c r="B379" s="43">
        <v>42963</v>
      </c>
      <c r="C379" s="42" t="s">
        <v>33</v>
      </c>
      <c r="D379" s="44">
        <v>23.62</v>
      </c>
      <c r="E379" s="44">
        <v>21.14</v>
      </c>
      <c r="F379">
        <v>2017</v>
      </c>
    </row>
    <row r="380" spans="1:6" ht="15" customHeight="1" x14ac:dyDescent="0.3">
      <c r="A380" s="42" t="s">
        <v>459</v>
      </c>
      <c r="B380" s="43">
        <v>42978</v>
      </c>
      <c r="C380" s="42" t="s">
        <v>33</v>
      </c>
      <c r="D380" s="44">
        <v>22.15</v>
      </c>
      <c r="E380" s="44">
        <v>21.79</v>
      </c>
      <c r="F380">
        <v>2017</v>
      </c>
    </row>
    <row r="381" spans="1:6" ht="15" customHeight="1" x14ac:dyDescent="0.3">
      <c r="A381" s="42" t="s">
        <v>460</v>
      </c>
      <c r="B381" s="43">
        <v>43019</v>
      </c>
      <c r="C381" s="42" t="s">
        <v>33</v>
      </c>
      <c r="D381" s="44">
        <v>21.18</v>
      </c>
      <c r="E381" s="44">
        <v>20.68</v>
      </c>
      <c r="F381">
        <v>2017</v>
      </c>
    </row>
    <row r="382" spans="1:6" ht="15" customHeight="1" x14ac:dyDescent="0.3">
      <c r="A382" s="42" t="s">
        <v>461</v>
      </c>
      <c r="B382" s="43">
        <v>43053</v>
      </c>
      <c r="C382" s="42" t="s">
        <v>33</v>
      </c>
      <c r="D382" s="44">
        <v>15.36</v>
      </c>
      <c r="E382" s="44">
        <v>15.26</v>
      </c>
      <c r="F382">
        <v>2017</v>
      </c>
    </row>
    <row r="383" spans="1:6" ht="15" customHeight="1" x14ac:dyDescent="0.3">
      <c r="A383" s="42" t="s">
        <v>462</v>
      </c>
      <c r="B383" s="43">
        <v>43070</v>
      </c>
      <c r="C383" s="42" t="s">
        <v>33</v>
      </c>
      <c r="D383" s="44">
        <v>11.55</v>
      </c>
      <c r="E383" s="44">
        <v>11.53</v>
      </c>
      <c r="F383">
        <v>2017</v>
      </c>
    </row>
    <row r="384" spans="1:6" ht="15" customHeight="1" x14ac:dyDescent="0.3">
      <c r="A384" s="42" t="s">
        <v>463</v>
      </c>
      <c r="B384" s="43">
        <v>43112</v>
      </c>
      <c r="C384" s="42" t="s">
        <v>33</v>
      </c>
      <c r="D384" s="44">
        <v>1.89</v>
      </c>
      <c r="E384" s="44">
        <v>1.84</v>
      </c>
      <c r="F384">
        <v>2018</v>
      </c>
    </row>
    <row r="385" spans="1:6" ht="15" customHeight="1" x14ac:dyDescent="0.3">
      <c r="A385" s="42" t="s">
        <v>464</v>
      </c>
      <c r="B385" s="43">
        <v>43137</v>
      </c>
      <c r="C385" s="42" t="s">
        <v>33</v>
      </c>
      <c r="D385" s="44">
        <v>1.19</v>
      </c>
      <c r="E385" s="44">
        <v>1.52</v>
      </c>
      <c r="F385">
        <v>2018</v>
      </c>
    </row>
    <row r="386" spans="1:6" ht="15" customHeight="1" x14ac:dyDescent="0.3">
      <c r="A386" s="42" t="s">
        <v>466</v>
      </c>
      <c r="B386" s="43">
        <v>43167</v>
      </c>
      <c r="C386" s="42" t="s">
        <v>33</v>
      </c>
      <c r="D386" s="44">
        <v>2.96</v>
      </c>
      <c r="E386" s="44">
        <v>2.74</v>
      </c>
      <c r="F386">
        <v>2018</v>
      </c>
    </row>
    <row r="387" spans="1:6" ht="15" customHeight="1" x14ac:dyDescent="0.3">
      <c r="A387" s="42" t="s">
        <v>467</v>
      </c>
      <c r="B387" s="43">
        <v>43200</v>
      </c>
      <c r="C387" s="42" t="s">
        <v>33</v>
      </c>
      <c r="D387" s="44">
        <v>4.37</v>
      </c>
      <c r="E387" s="44">
        <v>4.0999999999999996</v>
      </c>
      <c r="F387">
        <v>2018</v>
      </c>
    </row>
    <row r="388" spans="1:6" ht="15" customHeight="1" x14ac:dyDescent="0.3">
      <c r="A388" s="42" t="s">
        <v>468</v>
      </c>
      <c r="B388" s="43">
        <v>43223</v>
      </c>
      <c r="C388" s="42" t="s">
        <v>33</v>
      </c>
      <c r="D388" s="44">
        <v>8.9700000000000006</v>
      </c>
      <c r="E388" s="44">
        <v>6.39</v>
      </c>
      <c r="F388">
        <v>2018</v>
      </c>
    </row>
    <row r="389" spans="1:6" ht="15" customHeight="1" x14ac:dyDescent="0.3">
      <c r="A389" s="42" t="s">
        <v>469</v>
      </c>
      <c r="B389" s="43">
        <v>43252</v>
      </c>
      <c r="C389" s="42" t="s">
        <v>33</v>
      </c>
      <c r="D389" s="44">
        <v>14.99</v>
      </c>
      <c r="E389" s="44">
        <v>9.5</v>
      </c>
      <c r="F389">
        <v>2018</v>
      </c>
    </row>
    <row r="390" spans="1:6" ht="15" customHeight="1" x14ac:dyDescent="0.3">
      <c r="A390" s="42" t="s">
        <v>470</v>
      </c>
      <c r="B390" s="43">
        <v>43263</v>
      </c>
      <c r="C390" s="42" t="s">
        <v>33</v>
      </c>
      <c r="D390" s="46">
        <v>16.77</v>
      </c>
      <c r="E390" s="44">
        <v>10.82</v>
      </c>
      <c r="F390">
        <v>2018</v>
      </c>
    </row>
    <row r="391" spans="1:6" ht="15" customHeight="1" x14ac:dyDescent="0.3">
      <c r="A391" s="42" t="s">
        <v>471</v>
      </c>
      <c r="B391" s="43">
        <v>43284</v>
      </c>
      <c r="C391" s="42" t="s">
        <v>33</v>
      </c>
      <c r="D391" s="44">
        <v>21.18</v>
      </c>
      <c r="E391" s="44">
        <v>14.86</v>
      </c>
      <c r="F391">
        <v>2018</v>
      </c>
    </row>
    <row r="392" spans="1:6" ht="15" customHeight="1" x14ac:dyDescent="0.3">
      <c r="A392" s="42" t="s">
        <v>472</v>
      </c>
      <c r="B392" s="43">
        <v>43298</v>
      </c>
      <c r="C392" s="42" t="s">
        <v>33</v>
      </c>
      <c r="D392" s="44">
        <v>22.31</v>
      </c>
      <c r="E392" s="44">
        <v>17.12</v>
      </c>
      <c r="F392">
        <v>2018</v>
      </c>
    </row>
    <row r="393" spans="1:6" ht="15" customHeight="1" x14ac:dyDescent="0.3">
      <c r="A393" s="42" t="s">
        <v>473</v>
      </c>
      <c r="B393" s="43">
        <v>43312</v>
      </c>
      <c r="C393" s="42" t="s">
        <v>33</v>
      </c>
      <c r="D393" s="44">
        <v>24.1</v>
      </c>
      <c r="E393" s="44">
        <v>18.850000000000001</v>
      </c>
      <c r="F393">
        <v>2018</v>
      </c>
    </row>
    <row r="394" spans="1:6" ht="15" customHeight="1" x14ac:dyDescent="0.3">
      <c r="A394" s="42" t="s">
        <v>474</v>
      </c>
      <c r="B394" s="43">
        <v>43326</v>
      </c>
      <c r="C394" s="42" t="s">
        <v>33</v>
      </c>
      <c r="D394" s="44">
        <v>23.51</v>
      </c>
      <c r="E394" s="44">
        <v>20.65</v>
      </c>
      <c r="F394">
        <v>2018</v>
      </c>
    </row>
    <row r="395" spans="1:6" ht="15" customHeight="1" x14ac:dyDescent="0.3">
      <c r="A395" s="42" t="s">
        <v>475</v>
      </c>
      <c r="B395" s="43">
        <v>43340</v>
      </c>
      <c r="C395" s="42" t="s">
        <v>33</v>
      </c>
      <c r="D395" s="44">
        <v>24.74</v>
      </c>
      <c r="E395" s="44">
        <v>22.08</v>
      </c>
      <c r="F395">
        <v>2018</v>
      </c>
    </row>
    <row r="396" spans="1:6" ht="15" customHeight="1" x14ac:dyDescent="0.3">
      <c r="A396" s="42" t="s">
        <v>476</v>
      </c>
      <c r="B396" s="43">
        <v>43355</v>
      </c>
      <c r="C396" s="42" t="s">
        <v>33</v>
      </c>
      <c r="D396" s="44">
        <v>23.06</v>
      </c>
      <c r="E396" s="44">
        <v>22.62</v>
      </c>
      <c r="F396">
        <v>2018</v>
      </c>
    </row>
    <row r="397" spans="1:6" ht="15" customHeight="1" x14ac:dyDescent="0.3">
      <c r="A397" s="42" t="s">
        <v>477</v>
      </c>
      <c r="B397" s="43">
        <v>43377</v>
      </c>
      <c r="C397" s="42" t="s">
        <v>33</v>
      </c>
      <c r="D397" s="44">
        <v>21.39</v>
      </c>
      <c r="E397" s="44">
        <v>21.55</v>
      </c>
      <c r="F397">
        <v>2018</v>
      </c>
    </row>
    <row r="398" spans="1:6" ht="15" customHeight="1" x14ac:dyDescent="0.3">
      <c r="A398" s="42" t="s">
        <v>478</v>
      </c>
      <c r="B398" s="43">
        <v>43411</v>
      </c>
      <c r="C398" s="42" t="s">
        <v>33</v>
      </c>
      <c r="D398" s="44">
        <v>14.93</v>
      </c>
      <c r="E398" s="44">
        <v>14.93</v>
      </c>
      <c r="F398">
        <v>2018</v>
      </c>
    </row>
    <row r="399" spans="1:6" ht="15" customHeight="1" x14ac:dyDescent="0.3">
      <c r="A399" s="42" t="s">
        <v>479</v>
      </c>
      <c r="B399" s="43">
        <v>43438</v>
      </c>
      <c r="C399" s="42" t="s">
        <v>33</v>
      </c>
      <c r="D399" s="44">
        <v>8.81</v>
      </c>
      <c r="E399" s="44">
        <v>9.2100000000000009</v>
      </c>
      <c r="F399">
        <v>2018</v>
      </c>
    </row>
    <row r="400" spans="1:6" ht="15" customHeight="1" x14ac:dyDescent="0.3">
      <c r="A400" s="42" t="s">
        <v>6</v>
      </c>
      <c r="B400" s="43">
        <v>43472</v>
      </c>
      <c r="C400" s="42" t="s">
        <v>33</v>
      </c>
      <c r="D400" s="44">
        <v>5.46</v>
      </c>
      <c r="E400" s="44">
        <v>5.9</v>
      </c>
      <c r="F400">
        <v>2019</v>
      </c>
    </row>
    <row r="401" spans="1:6" ht="15" customHeight="1" x14ac:dyDescent="0.3">
      <c r="A401" s="42" t="s">
        <v>7</v>
      </c>
      <c r="B401" s="43">
        <v>43502</v>
      </c>
      <c r="C401" s="42" t="s">
        <v>33</v>
      </c>
      <c r="D401" s="44">
        <v>2.2000000000000002</v>
      </c>
      <c r="E401" s="44">
        <v>2.04</v>
      </c>
      <c r="F401">
        <v>2019</v>
      </c>
    </row>
    <row r="402" spans="1:6" ht="15" customHeight="1" x14ac:dyDescent="0.3">
      <c r="A402" s="42" t="s">
        <v>9</v>
      </c>
      <c r="B402" s="43">
        <v>43531</v>
      </c>
      <c r="C402" s="42" t="s">
        <v>33</v>
      </c>
      <c r="D402" s="44">
        <v>1.63</v>
      </c>
      <c r="E402" s="44">
        <v>1.83</v>
      </c>
      <c r="F402">
        <v>2019</v>
      </c>
    </row>
    <row r="403" spans="1:6" ht="15" customHeight="1" x14ac:dyDescent="0.3">
      <c r="A403" s="42" t="s">
        <v>10</v>
      </c>
      <c r="B403" s="43">
        <v>43559</v>
      </c>
      <c r="C403" s="42" t="s">
        <v>33</v>
      </c>
      <c r="D403" s="44">
        <v>4.8499999999999996</v>
      </c>
      <c r="E403" s="44">
        <v>4.09</v>
      </c>
      <c r="F403">
        <v>2019</v>
      </c>
    </row>
    <row r="404" spans="1:6" ht="15" customHeight="1" x14ac:dyDescent="0.3">
      <c r="A404" s="42" t="s">
        <v>11</v>
      </c>
      <c r="B404" s="43">
        <v>43593</v>
      </c>
      <c r="C404" s="42" t="s">
        <v>33</v>
      </c>
      <c r="D404" s="44">
        <v>11.36</v>
      </c>
      <c r="E404" s="44">
        <v>8.34</v>
      </c>
      <c r="F404">
        <v>2019</v>
      </c>
    </row>
    <row r="405" spans="1:6" ht="15" customHeight="1" x14ac:dyDescent="0.3">
      <c r="A405" s="42" t="s">
        <v>12</v>
      </c>
      <c r="B405" s="43">
        <v>43616</v>
      </c>
      <c r="C405" s="42" t="s">
        <v>33</v>
      </c>
      <c r="D405" s="44">
        <v>14.52</v>
      </c>
      <c r="E405" s="44">
        <v>11.32</v>
      </c>
      <c r="F405">
        <v>2019</v>
      </c>
    </row>
    <row r="406" spans="1:6" ht="15" customHeight="1" x14ac:dyDescent="0.3">
      <c r="A406" s="42" t="s">
        <v>13</v>
      </c>
      <c r="B406" s="43">
        <v>43628</v>
      </c>
      <c r="C406" s="42" t="s">
        <v>33</v>
      </c>
      <c r="D406" s="44">
        <v>16.43</v>
      </c>
      <c r="E406" s="44">
        <v>12.32</v>
      </c>
      <c r="F406">
        <v>2019</v>
      </c>
    </row>
    <row r="407" spans="1:6" ht="15" customHeight="1" x14ac:dyDescent="0.3">
      <c r="A407" s="42" t="s">
        <v>14</v>
      </c>
      <c r="B407" s="43">
        <v>43649</v>
      </c>
      <c r="C407" s="42" t="s">
        <v>33</v>
      </c>
      <c r="D407" s="44">
        <v>19</v>
      </c>
      <c r="E407" s="44">
        <v>16.100000000000001</v>
      </c>
      <c r="F407">
        <v>2019</v>
      </c>
    </row>
    <row r="408" spans="1:6" ht="15" customHeight="1" x14ac:dyDescent="0.3">
      <c r="A408" s="42" t="s">
        <v>15</v>
      </c>
      <c r="B408" s="43">
        <v>43662</v>
      </c>
      <c r="C408" s="42" t="s">
        <v>33</v>
      </c>
      <c r="D408" s="44">
        <v>22.81</v>
      </c>
      <c r="E408" s="44">
        <v>16.739999999999998</v>
      </c>
      <c r="F408">
        <v>2019</v>
      </c>
    </row>
    <row r="409" spans="1:6" ht="15" customHeight="1" x14ac:dyDescent="0.3">
      <c r="A409" s="42" t="s">
        <v>16</v>
      </c>
      <c r="B409" s="43">
        <v>43678</v>
      </c>
      <c r="C409" s="42" t="s">
        <v>33</v>
      </c>
      <c r="D409" s="44">
        <v>23.06</v>
      </c>
      <c r="E409" s="44">
        <v>19.649999999999999</v>
      </c>
      <c r="F409">
        <v>2019</v>
      </c>
    </row>
    <row r="410" spans="1:6" ht="15" customHeight="1" x14ac:dyDescent="0.3">
      <c r="A410" s="42" t="s">
        <v>17</v>
      </c>
      <c r="B410" s="43">
        <v>43690</v>
      </c>
      <c r="C410" s="42" t="s">
        <v>33</v>
      </c>
      <c r="D410" s="44">
        <v>22.09</v>
      </c>
      <c r="E410" s="44">
        <v>20.329999999999998</v>
      </c>
      <c r="F410">
        <v>2019</v>
      </c>
    </row>
    <row r="411" spans="1:6" ht="15" customHeight="1" x14ac:dyDescent="0.3">
      <c r="A411" s="42" t="s">
        <v>18</v>
      </c>
      <c r="B411" s="43">
        <v>43706</v>
      </c>
      <c r="C411" s="42" t="s">
        <v>33</v>
      </c>
      <c r="D411" s="44">
        <v>22.79</v>
      </c>
      <c r="E411" s="44">
        <v>21.78</v>
      </c>
      <c r="F411">
        <v>2019</v>
      </c>
    </row>
    <row r="412" spans="1:6" ht="15" customHeight="1" x14ac:dyDescent="0.3">
      <c r="A412" s="42" t="s">
        <v>39</v>
      </c>
      <c r="B412" s="43">
        <v>43740</v>
      </c>
      <c r="C412" s="42" t="s">
        <v>33</v>
      </c>
      <c r="D412" s="44">
        <v>21.55</v>
      </c>
      <c r="E412" s="44">
        <v>20.89</v>
      </c>
      <c r="F412">
        <v>2019</v>
      </c>
    </row>
    <row r="413" spans="1:6" ht="15" customHeight="1" x14ac:dyDescent="0.3">
      <c r="A413" s="42" t="s">
        <v>40</v>
      </c>
      <c r="B413" s="43">
        <v>43775</v>
      </c>
      <c r="C413" s="42" t="s">
        <v>33</v>
      </c>
      <c r="D413" s="44">
        <v>15.56</v>
      </c>
      <c r="E413" s="44">
        <v>15.72</v>
      </c>
      <c r="F413">
        <v>2019</v>
      </c>
    </row>
    <row r="414" spans="1:6" ht="15" customHeight="1" x14ac:dyDescent="0.3">
      <c r="A414" s="42" t="s">
        <v>41</v>
      </c>
      <c r="B414" s="43">
        <v>43815</v>
      </c>
      <c r="C414" s="42" t="s">
        <v>33</v>
      </c>
      <c r="D414" s="44">
        <v>7.01</v>
      </c>
      <c r="E414" s="44">
        <v>7.57</v>
      </c>
      <c r="F414">
        <v>2019</v>
      </c>
    </row>
    <row r="415" spans="1:6" ht="15" customHeight="1" x14ac:dyDescent="0.3">
      <c r="A415" s="42" t="s">
        <v>502</v>
      </c>
      <c r="B415" s="43">
        <v>43840</v>
      </c>
      <c r="C415" s="42" t="s">
        <v>33</v>
      </c>
      <c r="D415" s="44">
        <v>4.84</v>
      </c>
      <c r="E415" s="44">
        <v>4.97</v>
      </c>
      <c r="F415">
        <v>2020</v>
      </c>
    </row>
    <row r="416" spans="1:6" ht="15" customHeight="1" x14ac:dyDescent="0.3">
      <c r="A416" s="42" t="s">
        <v>503</v>
      </c>
      <c r="B416" s="43">
        <v>43872</v>
      </c>
      <c r="C416" s="42" t="s">
        <v>33</v>
      </c>
      <c r="D416" s="44">
        <v>4.12</v>
      </c>
      <c r="E416" s="44">
        <v>4.1399999999999997</v>
      </c>
      <c r="F416">
        <v>2020</v>
      </c>
    </row>
    <row r="417" spans="1:6" ht="15" customHeight="1" x14ac:dyDescent="0.3">
      <c r="A417" s="42" t="s">
        <v>504</v>
      </c>
      <c r="B417" s="43">
        <v>43901</v>
      </c>
      <c r="C417" s="42" t="s">
        <v>33</v>
      </c>
      <c r="D417" s="44">
        <v>4.6500000000000004</v>
      </c>
      <c r="E417" s="44">
        <v>4.3600000000000003</v>
      </c>
      <c r="F417">
        <v>2020</v>
      </c>
    </row>
    <row r="418" spans="1:6" ht="15" customHeight="1" x14ac:dyDescent="0.3">
      <c r="A418" s="42" t="s">
        <v>510</v>
      </c>
      <c r="B418" s="43">
        <v>43998</v>
      </c>
      <c r="C418" s="42" t="s">
        <v>33</v>
      </c>
      <c r="D418" s="44">
        <v>17.3</v>
      </c>
      <c r="E418" s="44">
        <v>13.14</v>
      </c>
      <c r="F418">
        <v>2020</v>
      </c>
    </row>
    <row r="419" spans="1:6" ht="15" customHeight="1" x14ac:dyDescent="0.3">
      <c r="A419" s="42" t="s">
        <v>505</v>
      </c>
      <c r="B419" s="43">
        <v>44020</v>
      </c>
      <c r="C419" s="42" t="s">
        <v>33</v>
      </c>
      <c r="D419" s="44">
        <v>22.48</v>
      </c>
      <c r="E419" s="44">
        <v>16.170000000000002</v>
      </c>
      <c r="F419">
        <v>2020</v>
      </c>
    </row>
    <row r="420" spans="1:6" ht="15" customHeight="1" x14ac:dyDescent="0.3">
      <c r="A420" s="42" t="s">
        <v>511</v>
      </c>
      <c r="B420" s="43">
        <v>44033</v>
      </c>
      <c r="C420" s="42" t="s">
        <v>33</v>
      </c>
      <c r="D420" s="44">
        <v>26.03</v>
      </c>
      <c r="E420" s="46">
        <v>17.399999999999999</v>
      </c>
      <c r="F420">
        <v>2020</v>
      </c>
    </row>
    <row r="421" spans="1:6" ht="15" customHeight="1" x14ac:dyDescent="0.3">
      <c r="A421" s="42" t="s">
        <v>506</v>
      </c>
      <c r="B421" s="43">
        <v>44054</v>
      </c>
      <c r="C421" s="42" t="s">
        <v>33</v>
      </c>
      <c r="D421" s="46">
        <v>25.07</v>
      </c>
      <c r="E421" s="44">
        <v>21.39</v>
      </c>
      <c r="F421">
        <v>2020</v>
      </c>
    </row>
    <row r="422" spans="1:6" ht="15" customHeight="1" x14ac:dyDescent="0.3">
      <c r="A422" s="42" t="s">
        <v>512</v>
      </c>
      <c r="B422" s="43">
        <v>44069</v>
      </c>
      <c r="C422" s="42" t="s">
        <v>33</v>
      </c>
      <c r="D422" s="45"/>
      <c r="E422" s="44">
        <v>22.67</v>
      </c>
      <c r="F422">
        <v>2020</v>
      </c>
    </row>
    <row r="423" spans="1:6" ht="15" customHeight="1" x14ac:dyDescent="0.3">
      <c r="A423" s="42" t="s">
        <v>507</v>
      </c>
      <c r="B423" s="43">
        <v>44082</v>
      </c>
      <c r="C423" s="42" t="s">
        <v>33</v>
      </c>
      <c r="D423" s="44">
        <v>24</v>
      </c>
      <c r="E423" s="44">
        <v>22.92</v>
      </c>
      <c r="F423">
        <v>2020</v>
      </c>
    </row>
    <row r="424" spans="1:6" ht="15" customHeight="1" x14ac:dyDescent="0.3">
      <c r="A424" s="42" t="s">
        <v>508</v>
      </c>
      <c r="B424" s="43">
        <v>44119</v>
      </c>
      <c r="C424" s="42" t="s">
        <v>33</v>
      </c>
      <c r="D424" s="44">
        <v>18.760000000000002</v>
      </c>
      <c r="E424" s="44">
        <v>18.68</v>
      </c>
      <c r="F424">
        <v>2020</v>
      </c>
    </row>
    <row r="425" spans="1:6" ht="15" customHeight="1" x14ac:dyDescent="0.3">
      <c r="A425" s="42" t="s">
        <v>509</v>
      </c>
      <c r="B425" s="43">
        <v>44140</v>
      </c>
      <c r="C425" s="42" t="s">
        <v>33</v>
      </c>
      <c r="D425" s="44">
        <v>15.3</v>
      </c>
      <c r="E425" s="44">
        <v>15.22</v>
      </c>
      <c r="F425">
        <v>2020</v>
      </c>
    </row>
    <row r="426" spans="1:6" ht="15" customHeight="1" x14ac:dyDescent="0.3">
      <c r="A426" s="71" t="s">
        <v>522</v>
      </c>
      <c r="B426" s="72">
        <v>44264</v>
      </c>
      <c r="C426" s="71" t="s">
        <v>33</v>
      </c>
      <c r="D426" s="73">
        <v>2.62</v>
      </c>
      <c r="E426" s="73">
        <v>2.31</v>
      </c>
      <c r="F426">
        <v>2021</v>
      </c>
    </row>
    <row r="427" spans="1:6" ht="15" customHeight="1" x14ac:dyDescent="0.3">
      <c r="A427" s="71" t="s">
        <v>523</v>
      </c>
      <c r="B427" s="72">
        <v>44294</v>
      </c>
      <c r="C427" s="71" t="s">
        <v>33</v>
      </c>
      <c r="D427" s="73">
        <v>6.15</v>
      </c>
      <c r="E427" s="73">
        <v>5.0199999999999996</v>
      </c>
      <c r="F427">
        <v>2021</v>
      </c>
    </row>
    <row r="428" spans="1:6" ht="15" customHeight="1" x14ac:dyDescent="0.3">
      <c r="A428" s="71" t="s">
        <v>524</v>
      </c>
      <c r="B428" s="72">
        <v>44320</v>
      </c>
      <c r="C428" s="71" t="s">
        <v>33</v>
      </c>
      <c r="D428" s="73">
        <v>9.42</v>
      </c>
      <c r="E428" s="73">
        <v>8.52</v>
      </c>
      <c r="F428">
        <v>2021</v>
      </c>
    </row>
    <row r="429" spans="1:6" ht="15" customHeight="1" x14ac:dyDescent="0.3">
      <c r="A429" s="71" t="s">
        <v>525</v>
      </c>
      <c r="B429" s="72">
        <v>44356</v>
      </c>
      <c r="C429" s="71" t="s">
        <v>33</v>
      </c>
      <c r="D429" s="73">
        <v>17.87</v>
      </c>
      <c r="E429" s="73">
        <v>12.38</v>
      </c>
      <c r="F429">
        <v>2021</v>
      </c>
    </row>
    <row r="430" spans="1:6" ht="15" customHeight="1" x14ac:dyDescent="0.3">
      <c r="A430" s="71" t="s">
        <v>526</v>
      </c>
      <c r="B430" s="72">
        <v>44368</v>
      </c>
      <c r="C430" s="71" t="s">
        <v>33</v>
      </c>
      <c r="D430" s="73">
        <v>20.14</v>
      </c>
      <c r="E430" s="73">
        <v>13.71</v>
      </c>
      <c r="F430">
        <v>2021</v>
      </c>
    </row>
    <row r="431" spans="1:6" ht="15" customHeight="1" x14ac:dyDescent="0.3">
      <c r="A431" s="71" t="s">
        <v>527</v>
      </c>
      <c r="B431" s="72">
        <v>44389</v>
      </c>
      <c r="C431" s="71" t="s">
        <v>33</v>
      </c>
      <c r="D431" s="73">
        <v>21.14</v>
      </c>
      <c r="E431" s="73">
        <v>16.66</v>
      </c>
      <c r="F431">
        <v>2021</v>
      </c>
    </row>
    <row r="432" spans="1:6" ht="15" customHeight="1" x14ac:dyDescent="0.3">
      <c r="A432" s="71" t="s">
        <v>528</v>
      </c>
      <c r="B432" s="72">
        <v>44397</v>
      </c>
      <c r="C432" s="71" t="s">
        <v>33</v>
      </c>
      <c r="D432" s="73">
        <v>23.07</v>
      </c>
      <c r="E432" s="73">
        <v>17.71</v>
      </c>
      <c r="F432">
        <v>2021</v>
      </c>
    </row>
    <row r="433" spans="1:6" ht="15" customHeight="1" x14ac:dyDescent="0.3">
      <c r="A433" s="71" t="s">
        <v>529</v>
      </c>
      <c r="B433" s="72">
        <v>44412</v>
      </c>
      <c r="C433" s="71" t="s">
        <v>33</v>
      </c>
      <c r="D433" s="73">
        <v>22.39</v>
      </c>
      <c r="E433" s="73">
        <v>19.13</v>
      </c>
      <c r="F433">
        <v>2021</v>
      </c>
    </row>
    <row r="434" spans="1:6" ht="15" customHeight="1" x14ac:dyDescent="0.3">
      <c r="A434" s="71" t="s">
        <v>530</v>
      </c>
      <c r="B434" s="72">
        <v>44425</v>
      </c>
      <c r="C434" s="71" t="s">
        <v>33</v>
      </c>
      <c r="D434" s="73">
        <v>23.65</v>
      </c>
      <c r="E434" s="73">
        <v>19.920000000000002</v>
      </c>
      <c r="F434">
        <v>2021</v>
      </c>
    </row>
    <row r="435" spans="1:6" ht="15" customHeight="1" x14ac:dyDescent="0.3">
      <c r="A435" s="71" t="s">
        <v>531</v>
      </c>
      <c r="B435" s="72">
        <v>44440</v>
      </c>
      <c r="C435" s="71" t="s">
        <v>33</v>
      </c>
      <c r="D435" s="73">
        <v>23.71</v>
      </c>
      <c r="E435" s="73">
        <v>22.08</v>
      </c>
      <c r="F435">
        <v>2021</v>
      </c>
    </row>
    <row r="436" spans="1:6" ht="15" customHeight="1" x14ac:dyDescent="0.3">
      <c r="A436" s="71" t="s">
        <v>532</v>
      </c>
      <c r="B436" s="72">
        <v>44453</v>
      </c>
      <c r="C436" s="71" t="s">
        <v>33</v>
      </c>
      <c r="D436" s="73">
        <v>23.32</v>
      </c>
      <c r="E436" s="73">
        <v>22.41</v>
      </c>
      <c r="F436">
        <v>2021</v>
      </c>
    </row>
    <row r="437" spans="1:6" ht="15" customHeight="1" x14ac:dyDescent="0.3">
      <c r="A437" s="71" t="s">
        <v>533</v>
      </c>
      <c r="B437" s="72">
        <v>44475</v>
      </c>
      <c r="C437" s="71" t="s">
        <v>33</v>
      </c>
      <c r="D437" s="73">
        <v>21.19</v>
      </c>
      <c r="E437" s="73">
        <v>21.23</v>
      </c>
      <c r="F437">
        <v>2021</v>
      </c>
    </row>
    <row r="438" spans="1:6" ht="15" customHeight="1" x14ac:dyDescent="0.3">
      <c r="A438" s="71" t="s">
        <v>534</v>
      </c>
      <c r="B438" s="72">
        <v>44509</v>
      </c>
      <c r="C438" s="71" t="s">
        <v>33</v>
      </c>
      <c r="D438" s="73">
        <v>16.149999999999999</v>
      </c>
      <c r="E438" s="73">
        <v>16.38</v>
      </c>
      <c r="F438">
        <v>2021</v>
      </c>
    </row>
    <row r="439" spans="1:6" ht="15" customHeight="1" x14ac:dyDescent="0.3">
      <c r="A439" s="71" t="s">
        <v>535</v>
      </c>
      <c r="B439" s="72">
        <v>44538</v>
      </c>
      <c r="C439" s="71" t="s">
        <v>33</v>
      </c>
      <c r="D439" s="73">
        <v>9.85</v>
      </c>
      <c r="E439" s="73">
        <v>10.4</v>
      </c>
      <c r="F439">
        <v>2021</v>
      </c>
    </row>
    <row r="440" spans="1:6" ht="15" customHeight="1" x14ac:dyDescent="0.3">
      <c r="A440" s="100" t="s">
        <v>539</v>
      </c>
      <c r="B440" s="101">
        <v>44595</v>
      </c>
      <c r="C440" s="100" t="s">
        <v>33</v>
      </c>
      <c r="D440" s="102">
        <v>2.5499999999999998</v>
      </c>
      <c r="E440" s="102">
        <v>2.7</v>
      </c>
      <c r="F440">
        <v>2022</v>
      </c>
    </row>
    <row r="441" spans="1:6" ht="15" customHeight="1" x14ac:dyDescent="0.3">
      <c r="A441" s="100" t="s">
        <v>541</v>
      </c>
      <c r="B441" s="101">
        <v>44627</v>
      </c>
      <c r="C441" s="100" t="s">
        <v>33</v>
      </c>
      <c r="D441" s="102">
        <v>3.4</v>
      </c>
      <c r="E441" s="102">
        <v>3.02</v>
      </c>
      <c r="F441">
        <v>2022</v>
      </c>
    </row>
    <row r="442" spans="1:6" ht="15" customHeight="1" x14ac:dyDescent="0.3">
      <c r="A442" s="100" t="s">
        <v>542</v>
      </c>
      <c r="B442" s="101">
        <v>44659</v>
      </c>
      <c r="C442" s="100" t="s">
        <v>33</v>
      </c>
      <c r="D442" s="102">
        <v>5.68</v>
      </c>
      <c r="E442" s="102">
        <v>4.84</v>
      </c>
      <c r="F442">
        <v>2022</v>
      </c>
    </row>
    <row r="443" spans="1:6" ht="15" customHeight="1" x14ac:dyDescent="0.3">
      <c r="A443" s="100" t="s">
        <v>543</v>
      </c>
      <c r="B443" s="101">
        <v>44687</v>
      </c>
      <c r="C443" s="100" t="s">
        <v>33</v>
      </c>
      <c r="D443" s="102">
        <v>10.88</v>
      </c>
      <c r="E443" s="102">
        <v>8.5500000000000007</v>
      </c>
      <c r="F443">
        <v>2022</v>
      </c>
    </row>
    <row r="444" spans="1:6" ht="15" customHeight="1" x14ac:dyDescent="0.3">
      <c r="A444" s="100" t="s">
        <v>544</v>
      </c>
      <c r="B444" s="101">
        <v>44718</v>
      </c>
      <c r="C444" s="100" t="s">
        <v>33</v>
      </c>
      <c r="D444" s="102">
        <v>18.079999999999998</v>
      </c>
      <c r="E444" s="102">
        <v>11.58</v>
      </c>
      <c r="F444">
        <v>2022</v>
      </c>
    </row>
    <row r="445" spans="1:6" ht="15" customHeight="1" x14ac:dyDescent="0.3">
      <c r="A445" s="100" t="s">
        <v>545</v>
      </c>
      <c r="B445" s="101">
        <v>44726</v>
      </c>
      <c r="C445" s="100" t="s">
        <v>33</v>
      </c>
      <c r="D445" s="102">
        <v>14.83</v>
      </c>
      <c r="E445" s="102">
        <v>13.95</v>
      </c>
      <c r="F445">
        <v>2022</v>
      </c>
    </row>
    <row r="446" spans="1:6" ht="15" customHeight="1" x14ac:dyDescent="0.3">
      <c r="A446" s="100" t="s">
        <v>546</v>
      </c>
      <c r="B446" s="101">
        <v>44750</v>
      </c>
      <c r="C446" s="100" t="s">
        <v>33</v>
      </c>
      <c r="D446" s="102">
        <v>20.239999999999998</v>
      </c>
      <c r="E446" s="102">
        <v>17.28</v>
      </c>
      <c r="F446">
        <v>2022</v>
      </c>
    </row>
    <row r="447" spans="1:6" ht="15" customHeight="1" x14ac:dyDescent="0.3">
      <c r="A447" s="100" t="s">
        <v>547</v>
      </c>
      <c r="B447" s="101">
        <v>44760</v>
      </c>
      <c r="C447" s="100" t="s">
        <v>33</v>
      </c>
      <c r="D447" s="102">
        <v>21.59</v>
      </c>
      <c r="E447" s="102">
        <v>18.68</v>
      </c>
      <c r="F447">
        <v>2022</v>
      </c>
    </row>
    <row r="448" spans="1:6" ht="15" customHeight="1" x14ac:dyDescent="0.3">
      <c r="A448" s="100" t="s">
        <v>548</v>
      </c>
      <c r="B448" s="101">
        <v>44776</v>
      </c>
      <c r="C448" s="100" t="s">
        <v>33</v>
      </c>
      <c r="D448" s="102">
        <v>23.73</v>
      </c>
      <c r="E448" s="102">
        <v>21.04</v>
      </c>
      <c r="F448">
        <v>2022</v>
      </c>
    </row>
    <row r="449" spans="1:6" ht="15" customHeight="1" x14ac:dyDescent="0.3">
      <c r="A449" s="100" t="s">
        <v>549</v>
      </c>
      <c r="B449" s="101">
        <v>44791</v>
      </c>
      <c r="C449" s="100" t="s">
        <v>33</v>
      </c>
      <c r="D449" s="102">
        <v>23.46</v>
      </c>
      <c r="E449" s="102">
        <v>21.86</v>
      </c>
      <c r="F449">
        <v>2022</v>
      </c>
    </row>
    <row r="450" spans="1:6" ht="15" customHeight="1" x14ac:dyDescent="0.3">
      <c r="A450" s="100" t="s">
        <v>550</v>
      </c>
      <c r="B450" s="101">
        <v>44806</v>
      </c>
      <c r="C450" s="100" t="s">
        <v>33</v>
      </c>
      <c r="D450" s="102">
        <v>24.14</v>
      </c>
      <c r="E450" s="102">
        <v>22.65</v>
      </c>
      <c r="F450">
        <v>2022</v>
      </c>
    </row>
    <row r="451" spans="1:6" ht="15" customHeight="1" x14ac:dyDescent="0.3">
      <c r="A451" s="100" t="s">
        <v>552</v>
      </c>
      <c r="B451" s="101">
        <v>44841</v>
      </c>
      <c r="C451" s="100" t="s">
        <v>33</v>
      </c>
      <c r="D451" s="102">
        <v>18.95</v>
      </c>
      <c r="E451" s="102">
        <v>18.78</v>
      </c>
      <c r="F451">
        <v>2022</v>
      </c>
    </row>
    <row r="452" spans="1:6" ht="15" customHeight="1" x14ac:dyDescent="0.3">
      <c r="A452" s="100" t="s">
        <v>553</v>
      </c>
      <c r="B452" s="101">
        <v>44875</v>
      </c>
      <c r="C452" s="100" t="s">
        <v>33</v>
      </c>
      <c r="D452" s="102">
        <v>16.12</v>
      </c>
      <c r="E452" s="102">
        <v>16.16</v>
      </c>
      <c r="F452">
        <v>2022</v>
      </c>
    </row>
    <row r="453" spans="1:6" ht="15" customHeight="1" x14ac:dyDescent="0.3">
      <c r="A453" s="100" t="s">
        <v>556</v>
      </c>
      <c r="B453" s="101">
        <v>44901</v>
      </c>
      <c r="C453" s="100" t="s">
        <v>33</v>
      </c>
      <c r="D453" s="102">
        <v>10.78</v>
      </c>
      <c r="E453" s="102">
        <v>10.87</v>
      </c>
      <c r="F453">
        <v>2022</v>
      </c>
    </row>
    <row r="454" spans="1:6" ht="15" customHeight="1" x14ac:dyDescent="0.3">
      <c r="A454" s="71" t="s">
        <v>557</v>
      </c>
      <c r="B454" s="72">
        <v>44932</v>
      </c>
      <c r="C454" s="71" t="s">
        <v>33</v>
      </c>
      <c r="D454" s="73">
        <v>5.71</v>
      </c>
      <c r="E454" s="73">
        <v>6</v>
      </c>
      <c r="F454">
        <v>2023</v>
      </c>
    </row>
    <row r="455" spans="1:6" ht="15" customHeight="1" x14ac:dyDescent="0.3">
      <c r="A455" s="71" t="s">
        <v>558</v>
      </c>
      <c r="B455" s="72">
        <v>44965</v>
      </c>
      <c r="C455" s="71" t="s">
        <v>33</v>
      </c>
      <c r="D455" s="73">
        <v>4.24</v>
      </c>
      <c r="E455" s="73">
        <v>4.28</v>
      </c>
      <c r="F455">
        <v>2023</v>
      </c>
    </row>
    <row r="456" spans="1:6" ht="15" customHeight="1" x14ac:dyDescent="0.3">
      <c r="A456" s="71" t="s">
        <v>559</v>
      </c>
      <c r="B456" s="72">
        <v>45034</v>
      </c>
      <c r="C456" s="71" t="s">
        <v>33</v>
      </c>
      <c r="D456" s="73">
        <v>8.61</v>
      </c>
      <c r="E456" s="73">
        <v>7.06</v>
      </c>
      <c r="F456">
        <v>2023</v>
      </c>
    </row>
    <row r="457" spans="1:6" ht="15" customHeight="1" x14ac:dyDescent="0.3">
      <c r="A457" s="71" t="s">
        <v>560</v>
      </c>
      <c r="B457" s="72">
        <v>45051</v>
      </c>
      <c r="C457" s="71" t="s">
        <v>33</v>
      </c>
      <c r="D457" s="73">
        <v>10.73</v>
      </c>
      <c r="E457" s="73">
        <v>9.4700000000000006</v>
      </c>
      <c r="F457">
        <v>2023</v>
      </c>
    </row>
    <row r="458" spans="1:6" ht="15" customHeight="1" x14ac:dyDescent="0.3">
      <c r="A458" s="71" t="s">
        <v>561</v>
      </c>
      <c r="B458" s="72">
        <v>45079</v>
      </c>
      <c r="C458" s="71" t="s">
        <v>33</v>
      </c>
      <c r="D458" s="73">
        <v>16.34</v>
      </c>
      <c r="E458" s="73">
        <v>12.05</v>
      </c>
      <c r="F458">
        <v>2023</v>
      </c>
    </row>
    <row r="459" spans="1:6" ht="15" customHeight="1" x14ac:dyDescent="0.3">
      <c r="A459" s="71" t="s">
        <v>563</v>
      </c>
      <c r="B459" s="72">
        <v>45114</v>
      </c>
      <c r="C459" s="71" t="s">
        <v>33</v>
      </c>
      <c r="D459" s="73">
        <v>21.94</v>
      </c>
      <c r="E459" s="73">
        <v>16.48</v>
      </c>
      <c r="F459">
        <v>2023</v>
      </c>
    </row>
    <row r="460" spans="1:6" ht="15" customHeight="1" x14ac:dyDescent="0.3">
      <c r="A460" s="71" t="s">
        <v>564</v>
      </c>
      <c r="B460" s="72">
        <v>45125</v>
      </c>
      <c r="C460" s="71" t="s">
        <v>33</v>
      </c>
      <c r="D460" s="73">
        <v>23.94</v>
      </c>
      <c r="E460" s="73">
        <v>17.88</v>
      </c>
      <c r="F460">
        <v>2023</v>
      </c>
    </row>
    <row r="461" spans="1:6" ht="15" customHeight="1" x14ac:dyDescent="0.3">
      <c r="A461" s="71" t="s">
        <v>565</v>
      </c>
      <c r="B461" s="72">
        <v>45141</v>
      </c>
      <c r="C461" s="71" t="s">
        <v>33</v>
      </c>
      <c r="D461" s="73">
        <v>22.85</v>
      </c>
      <c r="E461" s="73">
        <v>19.260000000000002</v>
      </c>
      <c r="F461">
        <v>2023</v>
      </c>
    </row>
    <row r="462" spans="1:6" ht="15" customHeight="1" x14ac:dyDescent="0.3">
      <c r="A462" s="71" t="s">
        <v>566</v>
      </c>
      <c r="B462" s="72">
        <v>45154</v>
      </c>
      <c r="C462" s="71" t="s">
        <v>33</v>
      </c>
      <c r="D462" s="73">
        <v>22.73</v>
      </c>
      <c r="E462" s="73">
        <v>20.37</v>
      </c>
      <c r="F462">
        <v>2023</v>
      </c>
    </row>
    <row r="463" spans="1:6" ht="15" customHeight="1" x14ac:dyDescent="0.3">
      <c r="A463" s="71" t="s">
        <v>567</v>
      </c>
      <c r="B463" s="72">
        <v>45175</v>
      </c>
      <c r="C463" s="71" t="s">
        <v>33</v>
      </c>
      <c r="D463" s="73">
        <v>25.36</v>
      </c>
      <c r="E463" s="73">
        <v>21.69</v>
      </c>
      <c r="F463">
        <v>2023</v>
      </c>
    </row>
    <row r="464" spans="1:6" ht="15" customHeight="1" x14ac:dyDescent="0.3">
      <c r="A464" s="71" t="s">
        <v>568</v>
      </c>
      <c r="B464" s="72">
        <v>45205</v>
      </c>
      <c r="C464" s="71" t="s">
        <v>33</v>
      </c>
      <c r="D464" s="73">
        <v>20.09</v>
      </c>
      <c r="E464" s="73">
        <v>19.64</v>
      </c>
      <c r="F464">
        <v>2023</v>
      </c>
    </row>
    <row r="465" spans="1:6" ht="15" customHeight="1" x14ac:dyDescent="0.3">
      <c r="A465" s="71" t="s">
        <v>569</v>
      </c>
      <c r="B465" s="72">
        <v>45239</v>
      </c>
      <c r="C465" s="71" t="s">
        <v>33</v>
      </c>
      <c r="D465" s="73">
        <v>14.97</v>
      </c>
      <c r="E465" s="73">
        <v>15.12</v>
      </c>
      <c r="F465">
        <v>2023</v>
      </c>
    </row>
    <row r="466" spans="1:6" ht="15" customHeight="1" x14ac:dyDescent="0.3">
      <c r="A466" s="71" t="s">
        <v>570</v>
      </c>
      <c r="B466" s="72">
        <v>45267</v>
      </c>
      <c r="C466" s="71" t="s">
        <v>33</v>
      </c>
      <c r="D466" s="73">
        <v>9.75</v>
      </c>
      <c r="E466" s="73">
        <v>10.59</v>
      </c>
      <c r="F466">
        <v>2023</v>
      </c>
    </row>
    <row r="467" spans="1:6" ht="15" customHeight="1" x14ac:dyDescent="0.3">
      <c r="A467" s="100" t="s">
        <v>571</v>
      </c>
      <c r="B467" s="101">
        <v>45295</v>
      </c>
      <c r="C467" s="100" t="s">
        <v>33</v>
      </c>
      <c r="D467" s="102">
        <v>6.91</v>
      </c>
      <c r="E467" s="102">
        <v>7.94</v>
      </c>
      <c r="F467">
        <v>2024</v>
      </c>
    </row>
    <row r="468" spans="1:6" ht="15" customHeight="1" x14ac:dyDescent="0.3">
      <c r="A468" s="100" t="s">
        <v>572</v>
      </c>
      <c r="B468" s="101">
        <v>45329</v>
      </c>
      <c r="C468" s="100" t="s">
        <v>33</v>
      </c>
      <c r="D468" s="102">
        <v>4.08</v>
      </c>
      <c r="E468" s="102">
        <v>4.24</v>
      </c>
      <c r="F468">
        <v>2024</v>
      </c>
    </row>
    <row r="469" spans="1:6" ht="15" customHeight="1" x14ac:dyDescent="0.3">
      <c r="A469" s="100" t="s">
        <v>574</v>
      </c>
      <c r="B469" s="101">
        <v>45358</v>
      </c>
      <c r="C469" s="100" t="s">
        <v>33</v>
      </c>
      <c r="D469" s="102">
        <v>4.63</v>
      </c>
      <c r="E469" s="102">
        <v>4.28</v>
      </c>
      <c r="F469">
        <v>2024</v>
      </c>
    </row>
    <row r="470" spans="1:6" ht="15" customHeight="1" x14ac:dyDescent="0.3">
      <c r="A470" s="100" t="s">
        <v>576</v>
      </c>
      <c r="B470" s="101">
        <v>45391</v>
      </c>
      <c r="C470" s="100" t="s">
        <v>33</v>
      </c>
      <c r="D470" s="102">
        <v>6.63</v>
      </c>
      <c r="E470" s="102">
        <v>6.17</v>
      </c>
      <c r="F470">
        <v>2024</v>
      </c>
    </row>
    <row r="471" spans="1:6" ht="15" customHeight="1" x14ac:dyDescent="0.3">
      <c r="A471" s="100" t="s">
        <v>577</v>
      </c>
      <c r="B471" s="101">
        <v>45418</v>
      </c>
      <c r="C471" s="100" t="s">
        <v>33</v>
      </c>
      <c r="D471" s="102">
        <v>11.75</v>
      </c>
      <c r="E471" s="102">
        <v>8.2799999999999994</v>
      </c>
      <c r="F471">
        <v>2024</v>
      </c>
    </row>
    <row r="472" spans="1:6" ht="15" customHeight="1" x14ac:dyDescent="0.3">
      <c r="A472" s="100" t="s">
        <v>578</v>
      </c>
      <c r="B472" s="101">
        <v>45446</v>
      </c>
      <c r="C472" s="100" t="s">
        <v>33</v>
      </c>
      <c r="D472" s="102">
        <v>14.48</v>
      </c>
      <c r="E472" s="102">
        <v>12.37</v>
      </c>
      <c r="F472">
        <v>2024</v>
      </c>
    </row>
    <row r="473" spans="1:6" ht="15" customHeight="1" x14ac:dyDescent="0.3">
      <c r="A473" s="100" t="s">
        <v>579</v>
      </c>
      <c r="B473" s="101">
        <v>45461</v>
      </c>
      <c r="C473" s="100" t="s">
        <v>33</v>
      </c>
      <c r="D473" s="102">
        <v>18.559999999999999</v>
      </c>
      <c r="E473" s="102">
        <v>15.74</v>
      </c>
      <c r="F473">
        <v>2024</v>
      </c>
    </row>
    <row r="474" spans="1:6" ht="15" customHeight="1" x14ac:dyDescent="0.3">
      <c r="A474" s="100" t="s">
        <v>580</v>
      </c>
      <c r="B474" s="101">
        <v>45476</v>
      </c>
      <c r="C474" s="100" t="s">
        <v>33</v>
      </c>
      <c r="D474" s="102">
        <v>19.899999999999999</v>
      </c>
      <c r="E474" s="102">
        <v>16.2</v>
      </c>
      <c r="F474">
        <v>2024</v>
      </c>
    </row>
    <row r="475" spans="1:6" ht="15" customHeight="1" x14ac:dyDescent="0.3">
      <c r="A475" s="100" t="s">
        <v>581</v>
      </c>
      <c r="B475" s="101">
        <v>45489</v>
      </c>
      <c r="C475" s="100" t="s">
        <v>33</v>
      </c>
      <c r="D475" s="102">
        <v>24.76</v>
      </c>
      <c r="E475" s="102">
        <v>18.329999999999998</v>
      </c>
      <c r="F475">
        <v>2024</v>
      </c>
    </row>
    <row r="476" spans="1:6" ht="15" customHeight="1" x14ac:dyDescent="0.3">
      <c r="A476" s="100" t="s">
        <v>582</v>
      </c>
      <c r="B476" s="101">
        <v>45505</v>
      </c>
      <c r="C476" s="100" t="s">
        <v>33</v>
      </c>
      <c r="D476" s="102">
        <v>24.87</v>
      </c>
      <c r="E476" s="102">
        <v>19.27</v>
      </c>
      <c r="F476">
        <v>2024</v>
      </c>
    </row>
    <row r="477" spans="1:6" ht="15" customHeight="1" x14ac:dyDescent="0.3">
      <c r="A477" s="100" t="s">
        <v>583</v>
      </c>
      <c r="B477" s="101">
        <v>45517</v>
      </c>
      <c r="C477" s="100" t="s">
        <v>33</v>
      </c>
      <c r="D477" s="102">
        <v>22.75</v>
      </c>
      <c r="E477" s="102">
        <v>20.149999999999999</v>
      </c>
      <c r="F477">
        <v>2024</v>
      </c>
    </row>
    <row r="478" spans="1:6" ht="15" customHeight="1" x14ac:dyDescent="0.3">
      <c r="A478" s="100" t="s">
        <v>584</v>
      </c>
      <c r="B478" s="101">
        <v>45532</v>
      </c>
      <c r="C478" s="100" t="s">
        <v>33</v>
      </c>
      <c r="D478" s="102">
        <v>23.74</v>
      </c>
      <c r="E478" s="102">
        <v>21.76</v>
      </c>
      <c r="F478">
        <v>2024</v>
      </c>
    </row>
    <row r="479" spans="1:6" ht="15" customHeight="1" x14ac:dyDescent="0.3">
      <c r="A479" s="145" t="s">
        <v>585</v>
      </c>
      <c r="B479" s="34">
        <v>45569</v>
      </c>
      <c r="C479" s="145" t="s">
        <v>33</v>
      </c>
      <c r="D479" s="146">
        <v>20.52</v>
      </c>
      <c r="E479" s="146">
        <v>20.45</v>
      </c>
      <c r="F479">
        <v>2024</v>
      </c>
    </row>
    <row r="480" spans="1:6" ht="15" customHeight="1" x14ac:dyDescent="0.3">
      <c r="A480" t="s">
        <v>601</v>
      </c>
      <c r="B480" s="34">
        <v>45688</v>
      </c>
      <c r="C480" t="s">
        <v>33</v>
      </c>
      <c r="D480">
        <v>2.19</v>
      </c>
      <c r="E480">
        <v>2.25</v>
      </c>
      <c r="F480">
        <v>2025</v>
      </c>
    </row>
    <row r="481" spans="1:6" ht="15" customHeight="1" x14ac:dyDescent="0.3">
      <c r="A481" t="s">
        <v>593</v>
      </c>
      <c r="B481" s="34">
        <v>45730</v>
      </c>
      <c r="C481" t="s">
        <v>33</v>
      </c>
      <c r="D481">
        <v>3.05</v>
      </c>
      <c r="E481">
        <v>2.38</v>
      </c>
      <c r="F481">
        <v>2025</v>
      </c>
    </row>
    <row r="482" spans="1:6" ht="15" customHeight="1" x14ac:dyDescent="0.3">
      <c r="A482" t="s">
        <v>594</v>
      </c>
      <c r="B482" s="34">
        <v>45749</v>
      </c>
      <c r="C482" t="s">
        <v>33</v>
      </c>
      <c r="D482">
        <v>5.93</v>
      </c>
      <c r="E482">
        <v>4.8600000000000003</v>
      </c>
      <c r="F482">
        <v>2025</v>
      </c>
    </row>
    <row r="483" spans="1:6" ht="15" customHeight="1" x14ac:dyDescent="0.3">
      <c r="A483" t="s">
        <v>595</v>
      </c>
      <c r="B483" s="34">
        <v>45784</v>
      </c>
      <c r="C483" t="s">
        <v>33</v>
      </c>
      <c r="D483">
        <v>10.88</v>
      </c>
      <c r="E483">
        <v>8.02</v>
      </c>
      <c r="F483">
        <v>2025</v>
      </c>
    </row>
    <row r="484" spans="1:6" ht="15" customHeight="1" x14ac:dyDescent="0.3">
      <c r="A484" t="s">
        <v>596</v>
      </c>
      <c r="B484" s="34">
        <v>45812</v>
      </c>
      <c r="C484" t="s">
        <v>33</v>
      </c>
      <c r="D484">
        <v>15.63</v>
      </c>
      <c r="E484">
        <v>12.05</v>
      </c>
      <c r="F484">
        <v>2025</v>
      </c>
    </row>
    <row r="485" spans="1:6" ht="15" customHeight="1" x14ac:dyDescent="0.3">
      <c r="A485" t="s">
        <v>597</v>
      </c>
      <c r="B485" s="34">
        <v>45838</v>
      </c>
      <c r="C485" t="s">
        <v>33</v>
      </c>
      <c r="D485">
        <v>18.22</v>
      </c>
      <c r="E485">
        <v>14.93</v>
      </c>
      <c r="F485">
        <v>2025</v>
      </c>
    </row>
    <row r="486" spans="1:6" ht="15" customHeight="1" x14ac:dyDescent="0.3">
      <c r="A486" t="s">
        <v>598</v>
      </c>
      <c r="B486" s="34">
        <v>45853</v>
      </c>
      <c r="C486" t="s">
        <v>33</v>
      </c>
      <c r="D486">
        <v>22.63</v>
      </c>
      <c r="E486">
        <v>18.02</v>
      </c>
      <c r="F486">
        <v>2025</v>
      </c>
    </row>
    <row r="487" spans="1:6" ht="15" customHeight="1" x14ac:dyDescent="0.3">
      <c r="A487" t="s">
        <v>599</v>
      </c>
      <c r="B487" s="34">
        <v>45869</v>
      </c>
      <c r="C487" t="s">
        <v>33</v>
      </c>
      <c r="D487">
        <v>24.93</v>
      </c>
      <c r="E487">
        <v>19.510000000000002</v>
      </c>
      <c r="F487">
        <v>2025</v>
      </c>
    </row>
    <row r="488" spans="1:6" ht="15" customHeight="1" x14ac:dyDescent="0.3">
      <c r="A488" t="s">
        <v>600</v>
      </c>
      <c r="B488" s="34">
        <v>45881</v>
      </c>
      <c r="C488" t="s">
        <v>33</v>
      </c>
      <c r="D488">
        <v>23.76</v>
      </c>
      <c r="E488">
        <v>20.14</v>
      </c>
      <c r="F488">
        <v>2025</v>
      </c>
    </row>
    <row r="489" spans="1:6" ht="15" customHeight="1" x14ac:dyDescent="0.3">
      <c r="A489" t="s">
        <v>603</v>
      </c>
      <c r="B489" s="34">
        <v>45897</v>
      </c>
      <c r="C489" t="s">
        <v>33</v>
      </c>
      <c r="D489">
        <v>22.28</v>
      </c>
      <c r="E489">
        <v>21.76</v>
      </c>
      <c r="F489">
        <v>2025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425"/>
  <sheetViews>
    <sheetView workbookViewId="0">
      <pane ySplit="1" topLeftCell="A399" activePane="bottomLeft" state="frozen"/>
      <selection pane="bottomLeft" activeCell="F416" sqref="F416:F425"/>
    </sheetView>
  </sheetViews>
  <sheetFormatPr defaultRowHeight="15" customHeight="1" x14ac:dyDescent="0.3"/>
  <cols>
    <col min="1" max="1" width="12.33203125" customWidth="1"/>
    <col min="2" max="2" width="10.6640625" bestFit="1" customWidth="1"/>
    <col min="8" max="8" width="12.5546875" bestFit="1" customWidth="1"/>
    <col min="9" max="9" width="16.88671875" bestFit="1" customWidth="1"/>
    <col min="10" max="10" width="17" bestFit="1" customWidth="1"/>
    <col min="11" max="11" width="20.44140625" bestFit="1" customWidth="1"/>
  </cols>
  <sheetData>
    <row r="1" spans="1:16" ht="15" customHeight="1" x14ac:dyDescent="0.3">
      <c r="A1" s="41" t="s">
        <v>1</v>
      </c>
      <c r="B1" s="41" t="s">
        <v>3</v>
      </c>
      <c r="C1" s="41" t="s">
        <v>2</v>
      </c>
      <c r="D1" s="41" t="s">
        <v>4</v>
      </c>
      <c r="E1" s="41" t="s">
        <v>5</v>
      </c>
      <c r="F1" s="48" t="s">
        <v>480</v>
      </c>
      <c r="H1" s="47" t="s">
        <v>515</v>
      </c>
      <c r="I1" t="s">
        <v>519</v>
      </c>
      <c r="J1" t="s">
        <v>518</v>
      </c>
      <c r="K1" t="s">
        <v>520</v>
      </c>
      <c r="M1" t="s">
        <v>515</v>
      </c>
      <c r="N1" t="s">
        <v>519</v>
      </c>
      <c r="O1" t="s">
        <v>518</v>
      </c>
      <c r="P1" t="s">
        <v>520</v>
      </c>
    </row>
    <row r="2" spans="1:16" ht="15" customHeight="1" x14ac:dyDescent="0.3">
      <c r="A2" s="42" t="s">
        <v>79</v>
      </c>
      <c r="B2" s="43">
        <v>34508</v>
      </c>
      <c r="C2" s="42" t="s">
        <v>25</v>
      </c>
      <c r="D2" s="44">
        <v>19.670000000000002</v>
      </c>
      <c r="E2" s="45"/>
      <c r="F2">
        <v>1994</v>
      </c>
      <c r="H2" s="9">
        <v>1994</v>
      </c>
      <c r="I2">
        <v>14.96</v>
      </c>
      <c r="J2">
        <v>10.36</v>
      </c>
      <c r="K2">
        <v>2</v>
      </c>
      <c r="M2">
        <v>1995</v>
      </c>
      <c r="N2">
        <v>14.056428571428572</v>
      </c>
      <c r="O2">
        <v>12.046215384615383</v>
      </c>
      <c r="P2">
        <v>14</v>
      </c>
    </row>
    <row r="3" spans="1:16" ht="15" customHeight="1" x14ac:dyDescent="0.3">
      <c r="A3" s="42" t="s">
        <v>88</v>
      </c>
      <c r="B3" s="43">
        <v>34674</v>
      </c>
      <c r="C3" s="42" t="s">
        <v>25</v>
      </c>
      <c r="D3" s="44">
        <v>10.25</v>
      </c>
      <c r="E3" s="44">
        <v>10.36</v>
      </c>
      <c r="F3">
        <v>1994</v>
      </c>
      <c r="H3" s="9">
        <v>1995</v>
      </c>
      <c r="I3">
        <v>14.056428571428572</v>
      </c>
      <c r="J3">
        <v>12.046215384615383</v>
      </c>
      <c r="K3">
        <v>14</v>
      </c>
      <c r="M3">
        <v>1996</v>
      </c>
      <c r="N3">
        <v>13.232666666666667</v>
      </c>
      <c r="O3">
        <v>11.267142857142858</v>
      </c>
      <c r="P3">
        <v>15</v>
      </c>
    </row>
    <row r="4" spans="1:16" ht="15" customHeight="1" x14ac:dyDescent="0.3">
      <c r="A4" s="42" t="s">
        <v>89</v>
      </c>
      <c r="B4" s="43">
        <v>34708</v>
      </c>
      <c r="C4" s="42" t="s">
        <v>25</v>
      </c>
      <c r="D4" s="44">
        <v>4.33</v>
      </c>
      <c r="E4" s="44">
        <v>5.15</v>
      </c>
      <c r="F4">
        <v>1995</v>
      </c>
      <c r="H4" s="9">
        <v>1996</v>
      </c>
      <c r="I4">
        <v>13.232666666666667</v>
      </c>
      <c r="J4">
        <v>11.267142857142858</v>
      </c>
      <c r="K4">
        <v>15</v>
      </c>
      <c r="M4">
        <v>1997</v>
      </c>
      <c r="N4">
        <v>12.515384615384617</v>
      </c>
      <c r="O4">
        <v>11.502499999999998</v>
      </c>
      <c r="P4">
        <v>13</v>
      </c>
    </row>
    <row r="5" spans="1:16" ht="15" customHeight="1" x14ac:dyDescent="0.3">
      <c r="A5" s="42" t="s">
        <v>90</v>
      </c>
      <c r="B5" s="43">
        <v>34739</v>
      </c>
      <c r="C5" s="42" t="s">
        <v>25</v>
      </c>
      <c r="D5" s="44">
        <v>1.47</v>
      </c>
      <c r="E5" s="44">
        <v>2.44</v>
      </c>
      <c r="F5">
        <v>1995</v>
      </c>
      <c r="H5" s="9">
        <v>1997</v>
      </c>
      <c r="I5">
        <v>12.515384615384617</v>
      </c>
      <c r="J5">
        <v>11.502499999999998</v>
      </c>
      <c r="K5">
        <v>13</v>
      </c>
      <c r="M5">
        <v>1998</v>
      </c>
      <c r="N5">
        <v>15.024666666666668</v>
      </c>
      <c r="O5">
        <v>12.875384615384615</v>
      </c>
      <c r="P5">
        <v>15</v>
      </c>
    </row>
    <row r="6" spans="1:16" ht="15" customHeight="1" x14ac:dyDescent="0.3">
      <c r="A6" s="42" t="s">
        <v>91</v>
      </c>
      <c r="B6" s="43">
        <v>34768</v>
      </c>
      <c r="C6" s="42" t="s">
        <v>25</v>
      </c>
      <c r="D6" s="44">
        <v>2.0699999999999998</v>
      </c>
      <c r="E6" s="46">
        <v>2.08</v>
      </c>
      <c r="F6">
        <v>1995</v>
      </c>
      <c r="H6" s="9">
        <v>1998</v>
      </c>
      <c r="I6">
        <v>15.024666666666668</v>
      </c>
      <c r="J6">
        <v>12.875384615384615</v>
      </c>
      <c r="K6">
        <v>15</v>
      </c>
      <c r="M6">
        <v>1999</v>
      </c>
      <c r="N6">
        <v>14.665999999999999</v>
      </c>
      <c r="O6">
        <v>13.507999999999999</v>
      </c>
      <c r="P6">
        <v>15</v>
      </c>
    </row>
    <row r="7" spans="1:16" ht="15" customHeight="1" x14ac:dyDescent="0.3">
      <c r="A7" s="42" t="s">
        <v>92</v>
      </c>
      <c r="B7" s="43">
        <v>34796</v>
      </c>
      <c r="C7" s="42" t="s">
        <v>25</v>
      </c>
      <c r="D7" s="44">
        <v>4.58</v>
      </c>
      <c r="E7" s="44">
        <v>4.2705000000000002</v>
      </c>
      <c r="F7">
        <v>1995</v>
      </c>
      <c r="H7" s="9">
        <v>1999</v>
      </c>
      <c r="I7">
        <v>14.665999999999999</v>
      </c>
      <c r="J7">
        <v>13.507999999999999</v>
      </c>
      <c r="K7">
        <v>15</v>
      </c>
      <c r="M7">
        <v>2000</v>
      </c>
      <c r="N7">
        <v>13.547333333333334</v>
      </c>
      <c r="O7">
        <v>12.810666666666666</v>
      </c>
      <c r="P7">
        <v>15</v>
      </c>
    </row>
    <row r="8" spans="1:16" ht="15" customHeight="1" x14ac:dyDescent="0.3">
      <c r="A8" s="42" t="s">
        <v>93</v>
      </c>
      <c r="B8" s="43">
        <v>34829</v>
      </c>
      <c r="C8" s="42" t="s">
        <v>25</v>
      </c>
      <c r="D8" s="44">
        <v>10.61</v>
      </c>
      <c r="E8" s="44">
        <v>8.42</v>
      </c>
      <c r="F8">
        <v>1995</v>
      </c>
      <c r="H8" s="9">
        <v>2000</v>
      </c>
      <c r="I8">
        <v>13.547333333333334</v>
      </c>
      <c r="J8">
        <v>12.810666666666666</v>
      </c>
      <c r="K8">
        <v>15</v>
      </c>
      <c r="M8">
        <v>2001</v>
      </c>
      <c r="N8">
        <v>13.929230769230768</v>
      </c>
      <c r="O8">
        <v>12.837692307692306</v>
      </c>
      <c r="P8">
        <v>14</v>
      </c>
    </row>
    <row r="9" spans="1:16" ht="15" customHeight="1" x14ac:dyDescent="0.3">
      <c r="A9" s="42" t="s">
        <v>94</v>
      </c>
      <c r="B9" s="43">
        <v>34856</v>
      </c>
      <c r="C9" s="42" t="s">
        <v>25</v>
      </c>
      <c r="D9" s="44">
        <v>16.02</v>
      </c>
      <c r="E9" s="44">
        <v>11.93</v>
      </c>
      <c r="F9">
        <v>1995</v>
      </c>
      <c r="H9" s="9">
        <v>2001</v>
      </c>
      <c r="I9">
        <v>13.929230769230768</v>
      </c>
      <c r="J9">
        <v>12.837692307692306</v>
      </c>
      <c r="K9">
        <v>14</v>
      </c>
      <c r="M9">
        <v>2002</v>
      </c>
      <c r="N9">
        <v>13.780769230769231</v>
      </c>
      <c r="O9">
        <v>12.862307692307693</v>
      </c>
      <c r="P9">
        <v>13</v>
      </c>
    </row>
    <row r="10" spans="1:16" ht="15" customHeight="1" x14ac:dyDescent="0.3">
      <c r="A10" s="42" t="s">
        <v>95</v>
      </c>
      <c r="B10" s="43">
        <v>34872</v>
      </c>
      <c r="C10" s="42" t="s">
        <v>25</v>
      </c>
      <c r="D10" s="44">
        <v>18.39</v>
      </c>
      <c r="E10" s="44">
        <v>17.994599999999998</v>
      </c>
      <c r="F10">
        <v>1995</v>
      </c>
      <c r="H10" s="9">
        <v>2002</v>
      </c>
      <c r="I10">
        <v>13.780769230769231</v>
      </c>
      <c r="J10">
        <v>12.862307692307693</v>
      </c>
      <c r="K10">
        <v>13</v>
      </c>
      <c r="M10">
        <v>2003</v>
      </c>
      <c r="N10">
        <v>14.125454545454545</v>
      </c>
      <c r="O10">
        <v>12.125454545454547</v>
      </c>
      <c r="P10">
        <v>12</v>
      </c>
    </row>
    <row r="11" spans="1:16" ht="15" customHeight="1" x14ac:dyDescent="0.3">
      <c r="A11" s="42" t="s">
        <v>96</v>
      </c>
      <c r="B11" s="43">
        <v>34890</v>
      </c>
      <c r="C11" s="42" t="s">
        <v>25</v>
      </c>
      <c r="D11" s="44">
        <v>19.04</v>
      </c>
      <c r="E11" s="44">
        <v>16.54</v>
      </c>
      <c r="F11">
        <v>1995</v>
      </c>
      <c r="H11" s="9">
        <v>2003</v>
      </c>
      <c r="I11">
        <v>14.125454545454545</v>
      </c>
      <c r="J11">
        <v>12.125454545454547</v>
      </c>
      <c r="K11">
        <v>12</v>
      </c>
      <c r="M11">
        <v>2004</v>
      </c>
      <c r="N11">
        <v>13.604615384615386</v>
      </c>
      <c r="O11">
        <v>12.416153846153849</v>
      </c>
      <c r="P11">
        <v>13</v>
      </c>
    </row>
    <row r="12" spans="1:16" ht="15" customHeight="1" x14ac:dyDescent="0.3">
      <c r="A12" s="42" t="s">
        <v>97</v>
      </c>
      <c r="B12" s="43">
        <v>34900</v>
      </c>
      <c r="C12" s="42" t="s">
        <v>25</v>
      </c>
      <c r="D12" s="44">
        <v>22.67</v>
      </c>
      <c r="E12" s="44">
        <v>19.37</v>
      </c>
      <c r="F12">
        <v>1995</v>
      </c>
      <c r="H12" s="9">
        <v>2004</v>
      </c>
      <c r="I12">
        <v>13.604615384615386</v>
      </c>
      <c r="J12">
        <v>12.416153846153849</v>
      </c>
      <c r="K12">
        <v>13</v>
      </c>
      <c r="M12">
        <v>2005</v>
      </c>
      <c r="N12">
        <v>14.055714285714286</v>
      </c>
      <c r="O12">
        <v>12.447142857142856</v>
      </c>
      <c r="P12">
        <v>14</v>
      </c>
    </row>
    <row r="13" spans="1:16" ht="15" customHeight="1" x14ac:dyDescent="0.3">
      <c r="A13" s="42" t="s">
        <v>98</v>
      </c>
      <c r="B13" s="43">
        <v>34912</v>
      </c>
      <c r="C13" s="42" t="s">
        <v>25</v>
      </c>
      <c r="D13" s="44">
        <v>24.1</v>
      </c>
      <c r="E13" s="44">
        <v>19.32</v>
      </c>
      <c r="F13">
        <v>1995</v>
      </c>
      <c r="H13" s="9">
        <v>2005</v>
      </c>
      <c r="I13">
        <v>14.055714285714286</v>
      </c>
      <c r="J13">
        <v>12.447142857142856</v>
      </c>
      <c r="K13">
        <v>14</v>
      </c>
      <c r="M13">
        <v>2006</v>
      </c>
      <c r="N13">
        <v>15.349999999999996</v>
      </c>
      <c r="O13">
        <v>14.144166666666669</v>
      </c>
      <c r="P13">
        <v>12</v>
      </c>
    </row>
    <row r="14" spans="1:16" ht="15" customHeight="1" x14ac:dyDescent="0.3">
      <c r="A14" s="42" t="s">
        <v>99</v>
      </c>
      <c r="B14" s="43">
        <v>34926</v>
      </c>
      <c r="C14" s="42" t="s">
        <v>25</v>
      </c>
      <c r="D14" s="44">
        <v>24.06</v>
      </c>
      <c r="E14" s="45"/>
      <c r="F14">
        <v>1995</v>
      </c>
      <c r="H14" s="9">
        <v>2006</v>
      </c>
      <c r="I14">
        <v>15.349999999999996</v>
      </c>
      <c r="J14">
        <v>14.144166666666669</v>
      </c>
      <c r="K14">
        <v>12</v>
      </c>
      <c r="M14">
        <v>2007</v>
      </c>
      <c r="N14">
        <v>14.37785714285714</v>
      </c>
      <c r="O14">
        <v>13.137857142857145</v>
      </c>
      <c r="P14">
        <v>14</v>
      </c>
    </row>
    <row r="15" spans="1:16" ht="15" customHeight="1" x14ac:dyDescent="0.3">
      <c r="A15" s="42" t="s">
        <v>100</v>
      </c>
      <c r="B15" s="43">
        <v>34954</v>
      </c>
      <c r="C15" s="42" t="s">
        <v>25</v>
      </c>
      <c r="D15" s="44">
        <v>21.43</v>
      </c>
      <c r="E15" s="44">
        <v>21.43</v>
      </c>
      <c r="F15">
        <v>1995</v>
      </c>
      <c r="H15" s="9">
        <v>2007</v>
      </c>
      <c r="I15">
        <v>14.37785714285714</v>
      </c>
      <c r="J15">
        <v>13.137857142857145</v>
      </c>
      <c r="K15">
        <v>14</v>
      </c>
      <c r="M15">
        <v>2008</v>
      </c>
      <c r="N15">
        <v>13.413846153846153</v>
      </c>
      <c r="O15">
        <v>12.296153846153846</v>
      </c>
      <c r="P15">
        <v>14</v>
      </c>
    </row>
    <row r="16" spans="1:16" ht="15" customHeight="1" x14ac:dyDescent="0.3">
      <c r="A16" s="42" t="s">
        <v>101</v>
      </c>
      <c r="B16" s="43">
        <v>34975</v>
      </c>
      <c r="C16" s="42" t="s">
        <v>25</v>
      </c>
      <c r="D16" s="44">
        <v>19.16</v>
      </c>
      <c r="E16" s="44">
        <v>18.745699999999999</v>
      </c>
      <c r="F16">
        <v>1995</v>
      </c>
      <c r="H16" s="9">
        <v>2008</v>
      </c>
      <c r="I16">
        <v>13.413846153846153</v>
      </c>
      <c r="J16">
        <v>12.296153846153846</v>
      </c>
      <c r="K16">
        <v>14</v>
      </c>
      <c r="M16">
        <v>2009</v>
      </c>
      <c r="N16">
        <v>13.524285714285716</v>
      </c>
      <c r="O16">
        <v>12.123571428571427</v>
      </c>
      <c r="P16">
        <v>14</v>
      </c>
    </row>
    <row r="17" spans="1:16" ht="15" customHeight="1" x14ac:dyDescent="0.3">
      <c r="A17" s="42" t="s">
        <v>103</v>
      </c>
      <c r="B17" s="43">
        <v>35038</v>
      </c>
      <c r="C17" s="42" t="s">
        <v>25</v>
      </c>
      <c r="D17" s="44">
        <v>8.86</v>
      </c>
      <c r="E17" s="44">
        <v>8.91</v>
      </c>
      <c r="F17">
        <v>1995</v>
      </c>
      <c r="H17" s="9">
        <v>2009</v>
      </c>
      <c r="I17">
        <v>13.524285714285716</v>
      </c>
      <c r="J17">
        <v>12.123571428571427</v>
      </c>
      <c r="K17">
        <v>14</v>
      </c>
      <c r="M17">
        <v>2010</v>
      </c>
      <c r="N17">
        <v>14.932857142857143</v>
      </c>
      <c r="O17">
        <v>12.991428571428573</v>
      </c>
      <c r="P17">
        <v>14</v>
      </c>
    </row>
    <row r="18" spans="1:16" ht="15" customHeight="1" x14ac:dyDescent="0.3">
      <c r="A18" s="42" t="s">
        <v>495</v>
      </c>
      <c r="B18" s="43">
        <v>35074</v>
      </c>
      <c r="C18" s="42" t="s">
        <v>25</v>
      </c>
      <c r="D18" s="44">
        <v>0.5</v>
      </c>
      <c r="E18" s="44">
        <v>0.5</v>
      </c>
      <c r="F18">
        <v>1996</v>
      </c>
      <c r="H18" s="9">
        <v>2010</v>
      </c>
      <c r="I18">
        <v>14.932857142857143</v>
      </c>
      <c r="J18">
        <v>12.991428571428573</v>
      </c>
      <c r="K18">
        <v>14</v>
      </c>
      <c r="M18">
        <v>2011</v>
      </c>
      <c r="N18">
        <v>14.068461538461539</v>
      </c>
      <c r="O18">
        <v>12.618333333333332</v>
      </c>
      <c r="P18">
        <v>14</v>
      </c>
    </row>
    <row r="19" spans="1:16" ht="15" customHeight="1" x14ac:dyDescent="0.3">
      <c r="A19" s="42" t="s">
        <v>104</v>
      </c>
      <c r="B19" s="43">
        <v>35102</v>
      </c>
      <c r="C19" s="42" t="s">
        <v>25</v>
      </c>
      <c r="D19" s="44">
        <v>0.41</v>
      </c>
      <c r="E19" s="44">
        <v>0.38</v>
      </c>
      <c r="F19">
        <v>1996</v>
      </c>
      <c r="H19" s="9">
        <v>2011</v>
      </c>
      <c r="I19">
        <v>14.068461538461539</v>
      </c>
      <c r="J19">
        <v>12.618333333333332</v>
      </c>
      <c r="K19">
        <v>14</v>
      </c>
      <c r="M19">
        <v>2012</v>
      </c>
      <c r="N19">
        <v>14.715</v>
      </c>
      <c r="O19">
        <v>14.035</v>
      </c>
      <c r="P19">
        <v>14</v>
      </c>
    </row>
    <row r="20" spans="1:16" ht="15" customHeight="1" x14ac:dyDescent="0.3">
      <c r="A20" s="42" t="s">
        <v>105</v>
      </c>
      <c r="B20" s="43">
        <v>35130</v>
      </c>
      <c r="C20" s="42" t="s">
        <v>25</v>
      </c>
      <c r="D20" s="44">
        <v>0.68</v>
      </c>
      <c r="E20" s="44">
        <v>0.67</v>
      </c>
      <c r="F20">
        <v>1996</v>
      </c>
      <c r="H20" s="9">
        <v>2012</v>
      </c>
      <c r="I20">
        <v>14.715</v>
      </c>
      <c r="J20">
        <v>14.035</v>
      </c>
      <c r="K20">
        <v>14</v>
      </c>
      <c r="M20">
        <v>2013</v>
      </c>
      <c r="N20">
        <v>15.022666666666664</v>
      </c>
      <c r="O20">
        <v>13.562000000000001</v>
      </c>
      <c r="P20">
        <v>15</v>
      </c>
    </row>
    <row r="21" spans="1:16" ht="15" customHeight="1" x14ac:dyDescent="0.3">
      <c r="A21" s="42" t="s">
        <v>106</v>
      </c>
      <c r="B21" s="43">
        <v>35158</v>
      </c>
      <c r="C21" s="42" t="s">
        <v>25</v>
      </c>
      <c r="D21" s="44">
        <v>3.42</v>
      </c>
      <c r="E21" s="44">
        <v>3.14</v>
      </c>
      <c r="F21">
        <v>1996</v>
      </c>
      <c r="H21" s="9">
        <v>2013</v>
      </c>
      <c r="I21">
        <v>15.022666666666664</v>
      </c>
      <c r="J21">
        <v>13.562000000000001</v>
      </c>
      <c r="K21">
        <v>15</v>
      </c>
      <c r="M21">
        <v>2014</v>
      </c>
      <c r="N21">
        <v>13.848000000000003</v>
      </c>
      <c r="O21">
        <v>12.535333333333334</v>
      </c>
      <c r="P21">
        <v>15</v>
      </c>
    </row>
    <row r="22" spans="1:16" ht="15" customHeight="1" x14ac:dyDescent="0.3">
      <c r="A22" s="42" t="s">
        <v>107</v>
      </c>
      <c r="B22" s="43">
        <v>35195</v>
      </c>
      <c r="C22" s="42" t="s">
        <v>25</v>
      </c>
      <c r="D22" s="44">
        <v>9.18</v>
      </c>
      <c r="E22" s="44">
        <v>9.0500000000000007</v>
      </c>
      <c r="F22">
        <v>1996</v>
      </c>
      <c r="H22" s="9">
        <v>2014</v>
      </c>
      <c r="I22">
        <v>13.848000000000003</v>
      </c>
      <c r="J22">
        <v>12.535333333333334</v>
      </c>
      <c r="K22">
        <v>15</v>
      </c>
      <c r="M22">
        <v>2015</v>
      </c>
      <c r="N22">
        <v>13.354571428571429</v>
      </c>
      <c r="O22">
        <v>12.04857142857143</v>
      </c>
      <c r="P22">
        <v>14</v>
      </c>
    </row>
    <row r="23" spans="1:16" ht="15" customHeight="1" x14ac:dyDescent="0.3">
      <c r="A23" s="42" t="s">
        <v>108</v>
      </c>
      <c r="B23" s="43">
        <v>35221</v>
      </c>
      <c r="C23" s="42" t="s">
        <v>25</v>
      </c>
      <c r="D23" s="44">
        <v>12.3</v>
      </c>
      <c r="E23" s="44">
        <v>10.99</v>
      </c>
      <c r="F23">
        <v>1996</v>
      </c>
      <c r="H23" s="9">
        <v>2015</v>
      </c>
      <c r="I23">
        <v>13.354571428571429</v>
      </c>
      <c r="J23">
        <v>12.04857142857143</v>
      </c>
      <c r="K23">
        <v>14</v>
      </c>
      <c r="M23">
        <v>2016</v>
      </c>
      <c r="N23">
        <v>16.163333333333334</v>
      </c>
      <c r="O23">
        <v>14.712</v>
      </c>
      <c r="P23">
        <v>15</v>
      </c>
    </row>
    <row r="24" spans="1:16" ht="15" customHeight="1" x14ac:dyDescent="0.3">
      <c r="A24" s="42" t="s">
        <v>109</v>
      </c>
      <c r="B24" s="43">
        <v>35241</v>
      </c>
      <c r="C24" s="42" t="s">
        <v>25</v>
      </c>
      <c r="D24" s="44">
        <v>19.190000000000001</v>
      </c>
      <c r="E24" s="44">
        <v>14.65</v>
      </c>
      <c r="F24">
        <v>1996</v>
      </c>
      <c r="H24" s="9">
        <v>2016</v>
      </c>
      <c r="I24">
        <v>16.163333333333334</v>
      </c>
      <c r="J24">
        <v>14.712</v>
      </c>
      <c r="K24">
        <v>15</v>
      </c>
      <c r="M24">
        <v>2017</v>
      </c>
      <c r="N24">
        <v>15.340769230769231</v>
      </c>
      <c r="O24">
        <v>14.08</v>
      </c>
      <c r="P24">
        <v>14</v>
      </c>
    </row>
    <row r="25" spans="1:16" ht="15" customHeight="1" x14ac:dyDescent="0.3">
      <c r="A25" s="42" t="s">
        <v>110</v>
      </c>
      <c r="B25" s="43">
        <v>35256</v>
      </c>
      <c r="C25" s="42" t="s">
        <v>25</v>
      </c>
      <c r="D25" s="44">
        <v>20.3</v>
      </c>
      <c r="E25" s="44">
        <v>16.309999999999999</v>
      </c>
      <c r="F25">
        <v>1996</v>
      </c>
      <c r="H25" s="9">
        <v>2017</v>
      </c>
      <c r="I25">
        <v>15.340769230769231</v>
      </c>
      <c r="J25">
        <v>14.08</v>
      </c>
      <c r="K25">
        <v>14</v>
      </c>
      <c r="M25">
        <v>2018</v>
      </c>
      <c r="N25">
        <v>15.190769230769233</v>
      </c>
      <c r="O25">
        <v>13.55153846153846</v>
      </c>
      <c r="P25">
        <v>14</v>
      </c>
    </row>
    <row r="26" spans="1:16" ht="15" customHeight="1" x14ac:dyDescent="0.3">
      <c r="A26" s="42" t="s">
        <v>111</v>
      </c>
      <c r="B26" s="43">
        <v>35269</v>
      </c>
      <c r="C26" s="42" t="s">
        <v>25</v>
      </c>
      <c r="D26" s="44">
        <v>19.489999999999998</v>
      </c>
      <c r="E26" s="44">
        <v>18.239999999999998</v>
      </c>
      <c r="F26">
        <v>1996</v>
      </c>
      <c r="H26" s="9">
        <v>2018</v>
      </c>
      <c r="I26">
        <v>15.190769230769233</v>
      </c>
      <c r="J26">
        <v>13.55153846153846</v>
      </c>
      <c r="K26">
        <v>14</v>
      </c>
      <c r="M26">
        <v>2019</v>
      </c>
      <c r="N26">
        <v>13.927142857142858</v>
      </c>
      <c r="O26">
        <v>12.744285714285713</v>
      </c>
      <c r="P26">
        <v>14</v>
      </c>
    </row>
    <row r="27" spans="1:16" ht="15" customHeight="1" x14ac:dyDescent="0.3">
      <c r="A27" s="42" t="s">
        <v>112</v>
      </c>
      <c r="B27" s="43">
        <v>35283</v>
      </c>
      <c r="C27" s="42" t="s">
        <v>25</v>
      </c>
      <c r="D27" s="44">
        <v>24.45</v>
      </c>
      <c r="E27" s="44">
        <v>19.5</v>
      </c>
      <c r="F27">
        <v>1996</v>
      </c>
      <c r="H27" s="9">
        <v>2019</v>
      </c>
      <c r="I27">
        <v>13.927142857142858</v>
      </c>
      <c r="J27">
        <v>12.744285714285713</v>
      </c>
      <c r="K27">
        <v>14</v>
      </c>
      <c r="M27">
        <v>2020</v>
      </c>
      <c r="N27">
        <v>18.315000000000001</v>
      </c>
      <c r="O27">
        <v>16.333000000000002</v>
      </c>
      <c r="P27">
        <v>11</v>
      </c>
    </row>
    <row r="28" spans="1:16" ht="15" customHeight="1" x14ac:dyDescent="0.3">
      <c r="A28" s="42" t="s">
        <v>113</v>
      </c>
      <c r="B28" s="43">
        <v>35297</v>
      </c>
      <c r="C28" s="42" t="s">
        <v>25</v>
      </c>
      <c r="D28" s="44">
        <v>23.5</v>
      </c>
      <c r="E28" s="45"/>
      <c r="F28">
        <v>1996</v>
      </c>
      <c r="H28" s="9">
        <v>2020</v>
      </c>
      <c r="I28">
        <v>18.315000000000001</v>
      </c>
      <c r="J28">
        <v>16.333000000000002</v>
      </c>
      <c r="K28">
        <v>11</v>
      </c>
      <c r="M28">
        <v>2021</v>
      </c>
      <c r="N28">
        <v>16.645454545454541</v>
      </c>
      <c r="O28">
        <v>15.774545454545454</v>
      </c>
      <c r="P28">
        <v>12</v>
      </c>
    </row>
    <row r="29" spans="1:16" ht="15" customHeight="1" x14ac:dyDescent="0.3">
      <c r="A29" s="42" t="s">
        <v>114</v>
      </c>
      <c r="B29" s="43">
        <v>35312</v>
      </c>
      <c r="C29" s="42" t="s">
        <v>25</v>
      </c>
      <c r="D29" s="44">
        <v>22.75</v>
      </c>
      <c r="E29" s="44">
        <v>21.37</v>
      </c>
      <c r="F29">
        <v>1996</v>
      </c>
      <c r="H29" s="9">
        <v>2021</v>
      </c>
      <c r="I29">
        <v>16.645454545454541</v>
      </c>
      <c r="J29">
        <v>15.774545454545454</v>
      </c>
      <c r="K29">
        <v>12</v>
      </c>
      <c r="M29">
        <v>2022</v>
      </c>
      <c r="N29">
        <v>15.4275</v>
      </c>
      <c r="O29">
        <v>13.8925</v>
      </c>
      <c r="P29">
        <v>13</v>
      </c>
    </row>
    <row r="30" spans="1:16" ht="15" customHeight="1" x14ac:dyDescent="0.3">
      <c r="A30" s="42" t="s">
        <v>115</v>
      </c>
      <c r="B30" s="43">
        <v>35340</v>
      </c>
      <c r="C30" s="42" t="s">
        <v>25</v>
      </c>
      <c r="D30" s="44">
        <v>19.600000000000001</v>
      </c>
      <c r="E30" s="44">
        <v>19.57</v>
      </c>
      <c r="F30">
        <v>1996</v>
      </c>
      <c r="H30" s="9">
        <v>2022</v>
      </c>
      <c r="I30">
        <v>15.4275</v>
      </c>
      <c r="J30">
        <v>13.8925</v>
      </c>
      <c r="K30">
        <v>13</v>
      </c>
      <c r="M30" s="9">
        <v>2023</v>
      </c>
      <c r="N30">
        <v>16.232307692307696</v>
      </c>
      <c r="O30">
        <v>15.142307692307689</v>
      </c>
      <c r="P30">
        <v>13</v>
      </c>
    </row>
    <row r="31" spans="1:16" ht="15" customHeight="1" thickBot="1" x14ac:dyDescent="0.35">
      <c r="A31" s="42" t="s">
        <v>116</v>
      </c>
      <c r="B31" s="43">
        <v>35376</v>
      </c>
      <c r="C31" s="42" t="s">
        <v>25</v>
      </c>
      <c r="D31" s="44">
        <v>13.82</v>
      </c>
      <c r="E31" s="44">
        <v>13.8</v>
      </c>
      <c r="F31">
        <v>1996</v>
      </c>
      <c r="H31" s="9">
        <v>2023</v>
      </c>
      <c r="I31">
        <v>16.232307692307696</v>
      </c>
      <c r="J31">
        <v>15.142307692307689</v>
      </c>
      <c r="K31">
        <v>13</v>
      </c>
      <c r="M31" s="122">
        <v>2024</v>
      </c>
      <c r="N31" s="115">
        <v>14.9</v>
      </c>
      <c r="O31" s="115">
        <v>13.64</v>
      </c>
      <c r="P31" s="115">
        <v>12</v>
      </c>
    </row>
    <row r="32" spans="1:16" ht="15" customHeight="1" x14ac:dyDescent="0.3">
      <c r="A32" s="42" t="s">
        <v>117</v>
      </c>
      <c r="B32" s="43">
        <v>35402</v>
      </c>
      <c r="C32" s="42" t="s">
        <v>25</v>
      </c>
      <c r="D32" s="44">
        <v>8.9</v>
      </c>
      <c r="E32" s="44">
        <v>9.57</v>
      </c>
      <c r="F32">
        <v>1996</v>
      </c>
      <c r="H32" s="9">
        <v>2024</v>
      </c>
      <c r="I32">
        <v>14.9</v>
      </c>
      <c r="J32">
        <v>13.64</v>
      </c>
      <c r="K32">
        <v>12</v>
      </c>
      <c r="M32" t="s">
        <v>517</v>
      </c>
      <c r="N32">
        <v>14.525876237623766</v>
      </c>
      <c r="O32">
        <v>13.157709823677585</v>
      </c>
      <c r="P32">
        <v>413</v>
      </c>
    </row>
    <row r="33" spans="1:11" ht="15" customHeight="1" x14ac:dyDescent="0.3">
      <c r="A33" s="42" t="s">
        <v>496</v>
      </c>
      <c r="B33" s="43">
        <v>35444</v>
      </c>
      <c r="C33" s="42" t="s">
        <v>25</v>
      </c>
      <c r="D33" s="44">
        <v>3.83</v>
      </c>
      <c r="E33" s="44">
        <v>3.85</v>
      </c>
      <c r="F33">
        <v>1997</v>
      </c>
      <c r="H33" s="9" t="s">
        <v>517</v>
      </c>
      <c r="I33">
        <v>14.525876237623766</v>
      </c>
      <c r="J33">
        <v>13.157709823677585</v>
      </c>
      <c r="K33">
        <v>413</v>
      </c>
    </row>
    <row r="34" spans="1:11" ht="15" customHeight="1" x14ac:dyDescent="0.3">
      <c r="A34" s="42" t="s">
        <v>118</v>
      </c>
      <c r="B34" s="43">
        <v>35467</v>
      </c>
      <c r="C34" s="42" t="s">
        <v>25</v>
      </c>
      <c r="D34" s="44">
        <v>2.2000000000000002</v>
      </c>
      <c r="E34" s="44">
        <v>2.2400000000000002</v>
      </c>
      <c r="F34">
        <v>1997</v>
      </c>
    </row>
    <row r="35" spans="1:11" ht="15" customHeight="1" x14ac:dyDescent="0.3">
      <c r="A35" s="42" t="s">
        <v>119</v>
      </c>
      <c r="B35" s="43">
        <v>35494</v>
      </c>
      <c r="C35" s="42" t="s">
        <v>25</v>
      </c>
      <c r="D35" s="44">
        <v>3.08</v>
      </c>
      <c r="E35" s="44">
        <v>3.07</v>
      </c>
      <c r="F35">
        <v>1997</v>
      </c>
    </row>
    <row r="36" spans="1:11" ht="15" customHeight="1" x14ac:dyDescent="0.3">
      <c r="A36" s="42" t="s">
        <v>120</v>
      </c>
      <c r="B36" s="43">
        <v>35524</v>
      </c>
      <c r="C36" s="42" t="s">
        <v>25</v>
      </c>
      <c r="D36" s="44">
        <v>5.12</v>
      </c>
      <c r="E36" s="44">
        <v>4.41</v>
      </c>
      <c r="F36">
        <v>1997</v>
      </c>
    </row>
    <row r="37" spans="1:11" ht="15" customHeight="1" x14ac:dyDescent="0.3">
      <c r="A37" s="42" t="s">
        <v>121</v>
      </c>
      <c r="B37" s="43">
        <v>35559</v>
      </c>
      <c r="C37" s="42" t="s">
        <v>25</v>
      </c>
      <c r="D37" s="44">
        <v>9.26</v>
      </c>
      <c r="E37" s="44">
        <v>8.69</v>
      </c>
      <c r="F37">
        <v>1997</v>
      </c>
    </row>
    <row r="38" spans="1:11" ht="15" customHeight="1" x14ac:dyDescent="0.3">
      <c r="A38" s="42" t="s">
        <v>122</v>
      </c>
      <c r="B38" s="43">
        <v>35584</v>
      </c>
      <c r="C38" s="42" t="s">
        <v>25</v>
      </c>
      <c r="D38" s="44">
        <v>13.85</v>
      </c>
      <c r="E38" s="44">
        <v>13.78</v>
      </c>
      <c r="F38">
        <v>1997</v>
      </c>
    </row>
    <row r="39" spans="1:11" ht="15" customHeight="1" x14ac:dyDescent="0.3">
      <c r="A39" s="42" t="s">
        <v>124</v>
      </c>
      <c r="B39" s="43">
        <v>35635</v>
      </c>
      <c r="C39" s="42" t="s">
        <v>25</v>
      </c>
      <c r="D39" s="44">
        <v>20.23</v>
      </c>
      <c r="E39" s="45"/>
      <c r="F39">
        <v>1997</v>
      </c>
    </row>
    <row r="40" spans="1:11" ht="15" customHeight="1" x14ac:dyDescent="0.3">
      <c r="A40" s="42" t="s">
        <v>125</v>
      </c>
      <c r="B40" s="43">
        <v>35648</v>
      </c>
      <c r="C40" s="42" t="s">
        <v>25</v>
      </c>
      <c r="D40" s="44">
        <v>20.71</v>
      </c>
      <c r="E40" s="44">
        <v>19.52</v>
      </c>
      <c r="F40">
        <v>1997</v>
      </c>
    </row>
    <row r="41" spans="1:11" ht="15" customHeight="1" x14ac:dyDescent="0.3">
      <c r="A41" s="42" t="s">
        <v>126</v>
      </c>
      <c r="B41" s="43">
        <v>35661</v>
      </c>
      <c r="C41" s="42" t="s">
        <v>25</v>
      </c>
      <c r="D41" s="44">
        <v>21.9</v>
      </c>
      <c r="E41" s="46">
        <v>20.79</v>
      </c>
      <c r="F41">
        <v>1997</v>
      </c>
    </row>
    <row r="42" spans="1:11" ht="15" customHeight="1" x14ac:dyDescent="0.3">
      <c r="A42" s="42" t="s">
        <v>127</v>
      </c>
      <c r="B42" s="43">
        <v>35676</v>
      </c>
      <c r="C42" s="42" t="s">
        <v>25</v>
      </c>
      <c r="D42" s="44">
        <v>21.64</v>
      </c>
      <c r="E42" s="44">
        <v>20.97</v>
      </c>
      <c r="F42">
        <v>1997</v>
      </c>
    </row>
    <row r="43" spans="1:11" ht="15" customHeight="1" x14ac:dyDescent="0.3">
      <c r="A43" s="42" t="s">
        <v>128</v>
      </c>
      <c r="B43" s="43">
        <v>35709</v>
      </c>
      <c r="C43" s="42" t="s">
        <v>25</v>
      </c>
      <c r="D43" s="44">
        <v>18.61</v>
      </c>
      <c r="E43" s="46">
        <v>18.29</v>
      </c>
      <c r="F43">
        <v>1997</v>
      </c>
    </row>
    <row r="44" spans="1:11" ht="15" customHeight="1" x14ac:dyDescent="0.3">
      <c r="A44" s="42" t="s">
        <v>129</v>
      </c>
      <c r="B44" s="43">
        <v>35739</v>
      </c>
      <c r="C44" s="42" t="s">
        <v>25</v>
      </c>
      <c r="D44" s="44">
        <v>13.86</v>
      </c>
      <c r="E44" s="44">
        <v>14</v>
      </c>
      <c r="F44">
        <v>1997</v>
      </c>
    </row>
    <row r="45" spans="1:11" ht="15" customHeight="1" x14ac:dyDescent="0.3">
      <c r="A45" s="42" t="s">
        <v>130</v>
      </c>
      <c r="B45" s="43">
        <v>35769</v>
      </c>
      <c r="C45" s="42" t="s">
        <v>25</v>
      </c>
      <c r="D45" s="44">
        <v>8.41</v>
      </c>
      <c r="E45" s="44">
        <v>8.42</v>
      </c>
      <c r="F45">
        <v>1997</v>
      </c>
    </row>
    <row r="46" spans="1:11" ht="15" customHeight="1" x14ac:dyDescent="0.3">
      <c r="A46" s="42" t="s">
        <v>131</v>
      </c>
      <c r="B46" s="43">
        <v>35802</v>
      </c>
      <c r="C46" s="42" t="s">
        <v>25</v>
      </c>
      <c r="D46" s="44">
        <v>5</v>
      </c>
      <c r="E46" s="44">
        <v>5</v>
      </c>
      <c r="F46">
        <v>1998</v>
      </c>
    </row>
    <row r="47" spans="1:11" ht="15" customHeight="1" x14ac:dyDescent="0.3">
      <c r="A47" s="42" t="s">
        <v>132</v>
      </c>
      <c r="B47" s="43">
        <v>35829</v>
      </c>
      <c r="C47" s="42" t="s">
        <v>25</v>
      </c>
      <c r="D47" s="44">
        <v>3.62</v>
      </c>
      <c r="E47" s="44">
        <v>3.64</v>
      </c>
      <c r="F47">
        <v>1998</v>
      </c>
    </row>
    <row r="48" spans="1:11" ht="15" customHeight="1" x14ac:dyDescent="0.3">
      <c r="A48" s="42" t="s">
        <v>134</v>
      </c>
      <c r="B48" s="43">
        <v>35853</v>
      </c>
      <c r="C48" s="42" t="s">
        <v>25</v>
      </c>
      <c r="D48" s="44">
        <v>4.43</v>
      </c>
      <c r="E48" s="44">
        <v>4.13</v>
      </c>
      <c r="F48">
        <v>1998</v>
      </c>
    </row>
    <row r="49" spans="1:6" ht="15" customHeight="1" x14ac:dyDescent="0.3">
      <c r="A49" s="42" t="s">
        <v>136</v>
      </c>
      <c r="B49" s="43">
        <v>35900</v>
      </c>
      <c r="C49" s="42" t="s">
        <v>25</v>
      </c>
      <c r="D49" s="44">
        <v>7.54</v>
      </c>
      <c r="E49" s="44">
        <v>7.51</v>
      </c>
      <c r="F49">
        <v>1998</v>
      </c>
    </row>
    <row r="50" spans="1:6" ht="15" customHeight="1" x14ac:dyDescent="0.3">
      <c r="A50" s="42" t="s">
        <v>137</v>
      </c>
      <c r="B50" s="43">
        <v>35923</v>
      </c>
      <c r="C50" s="42" t="s">
        <v>25</v>
      </c>
      <c r="D50" s="44">
        <v>11.58</v>
      </c>
      <c r="E50" s="44">
        <v>10.8</v>
      </c>
      <c r="F50">
        <v>1998</v>
      </c>
    </row>
    <row r="51" spans="1:6" ht="15" customHeight="1" x14ac:dyDescent="0.3">
      <c r="A51" s="42" t="s">
        <v>138</v>
      </c>
      <c r="B51" s="43">
        <v>35949</v>
      </c>
      <c r="C51" s="42" t="s">
        <v>25</v>
      </c>
      <c r="D51" s="44">
        <v>15.9</v>
      </c>
      <c r="E51" s="46">
        <v>12.7</v>
      </c>
      <c r="F51">
        <v>1998</v>
      </c>
    </row>
    <row r="52" spans="1:6" ht="15" customHeight="1" x14ac:dyDescent="0.3">
      <c r="A52" s="42" t="s">
        <v>139</v>
      </c>
      <c r="B52" s="43">
        <v>35970</v>
      </c>
      <c r="C52" s="42" t="s">
        <v>25</v>
      </c>
      <c r="D52" s="44">
        <v>19.09</v>
      </c>
      <c r="E52" s="46">
        <v>17.2</v>
      </c>
      <c r="F52">
        <v>1998</v>
      </c>
    </row>
    <row r="53" spans="1:6" ht="15" customHeight="1" x14ac:dyDescent="0.3">
      <c r="A53" s="42" t="s">
        <v>140</v>
      </c>
      <c r="B53" s="43">
        <v>35983</v>
      </c>
      <c r="C53" s="42" t="s">
        <v>25</v>
      </c>
      <c r="D53" s="44">
        <v>21.47</v>
      </c>
      <c r="E53" s="45"/>
      <c r="F53">
        <v>1998</v>
      </c>
    </row>
    <row r="54" spans="1:6" ht="15" customHeight="1" x14ac:dyDescent="0.3">
      <c r="A54" s="42" t="s">
        <v>141</v>
      </c>
      <c r="B54" s="43">
        <v>35997</v>
      </c>
      <c r="C54" s="42" t="s">
        <v>25</v>
      </c>
      <c r="D54" s="44">
        <v>21.7</v>
      </c>
      <c r="E54" s="45"/>
      <c r="F54">
        <v>1998</v>
      </c>
    </row>
    <row r="55" spans="1:6" ht="15" customHeight="1" x14ac:dyDescent="0.3">
      <c r="A55" s="42" t="s">
        <v>142</v>
      </c>
      <c r="B55" s="43">
        <v>36012</v>
      </c>
      <c r="C55" s="42" t="s">
        <v>25</v>
      </c>
      <c r="D55" s="44">
        <v>22.78</v>
      </c>
      <c r="E55" s="44">
        <v>19.149999999999999</v>
      </c>
      <c r="F55">
        <v>1998</v>
      </c>
    </row>
    <row r="56" spans="1:6" ht="15" customHeight="1" x14ac:dyDescent="0.3">
      <c r="A56" s="42" t="s">
        <v>143</v>
      </c>
      <c r="B56" s="43">
        <v>36025</v>
      </c>
      <c r="C56" s="42" t="s">
        <v>25</v>
      </c>
      <c r="D56" s="44">
        <v>24.71</v>
      </c>
      <c r="E56" s="44">
        <v>21.84</v>
      </c>
      <c r="F56">
        <v>1998</v>
      </c>
    </row>
    <row r="57" spans="1:6" ht="15" customHeight="1" x14ac:dyDescent="0.3">
      <c r="A57" s="42" t="s">
        <v>144</v>
      </c>
      <c r="B57" s="43">
        <v>36039</v>
      </c>
      <c r="C57" s="42" t="s">
        <v>25</v>
      </c>
      <c r="D57" s="44">
        <v>24.05</v>
      </c>
      <c r="E57" s="44">
        <v>21.69</v>
      </c>
      <c r="F57">
        <v>1998</v>
      </c>
    </row>
    <row r="58" spans="1:6" ht="15" customHeight="1" x14ac:dyDescent="0.3">
      <c r="A58" s="42" t="s">
        <v>146</v>
      </c>
      <c r="B58" s="43">
        <v>36073</v>
      </c>
      <c r="C58" s="42" t="s">
        <v>25</v>
      </c>
      <c r="D58" s="44">
        <v>19.32</v>
      </c>
      <c r="E58" s="44">
        <v>19.260000000000002</v>
      </c>
      <c r="F58">
        <v>1998</v>
      </c>
    </row>
    <row r="59" spans="1:6" ht="15" customHeight="1" x14ac:dyDescent="0.3">
      <c r="A59" s="42" t="s">
        <v>147</v>
      </c>
      <c r="B59" s="43">
        <v>36103</v>
      </c>
      <c r="C59" s="42" t="s">
        <v>25</v>
      </c>
      <c r="D59" s="44">
        <v>13.88</v>
      </c>
      <c r="E59" s="44">
        <v>13.9</v>
      </c>
      <c r="F59">
        <v>1998</v>
      </c>
    </row>
    <row r="60" spans="1:6" ht="15" customHeight="1" x14ac:dyDescent="0.3">
      <c r="A60" s="42" t="s">
        <v>148</v>
      </c>
      <c r="B60" s="43">
        <v>36129</v>
      </c>
      <c r="C60" s="42" t="s">
        <v>25</v>
      </c>
      <c r="D60" s="44">
        <v>10.3</v>
      </c>
      <c r="E60" s="44">
        <v>10.56</v>
      </c>
      <c r="F60">
        <v>1998</v>
      </c>
    </row>
    <row r="61" spans="1:6" ht="15" customHeight="1" x14ac:dyDescent="0.3">
      <c r="A61" s="42" t="s">
        <v>149</v>
      </c>
      <c r="B61" s="43">
        <v>36166</v>
      </c>
      <c r="C61" s="42" t="s">
        <v>25</v>
      </c>
      <c r="D61" s="44">
        <v>3.84</v>
      </c>
      <c r="E61" s="44">
        <v>4.4000000000000004</v>
      </c>
      <c r="F61">
        <v>1999</v>
      </c>
    </row>
    <row r="62" spans="1:6" ht="15" customHeight="1" x14ac:dyDescent="0.3">
      <c r="A62" s="42" t="s">
        <v>150</v>
      </c>
      <c r="B62" s="43">
        <v>36193</v>
      </c>
      <c r="C62" s="42" t="s">
        <v>25</v>
      </c>
      <c r="D62" s="44">
        <v>2.86</v>
      </c>
      <c r="E62" s="44">
        <v>2.86</v>
      </c>
      <c r="F62">
        <v>1999</v>
      </c>
    </row>
    <row r="63" spans="1:6" ht="15" customHeight="1" x14ac:dyDescent="0.3">
      <c r="A63" s="42" t="s">
        <v>152</v>
      </c>
      <c r="B63" s="43">
        <v>36224</v>
      </c>
      <c r="C63" s="42" t="s">
        <v>25</v>
      </c>
      <c r="D63" s="44">
        <v>3.68</v>
      </c>
      <c r="E63" s="44">
        <v>3.2</v>
      </c>
      <c r="F63">
        <v>1999</v>
      </c>
    </row>
    <row r="64" spans="1:6" ht="15" customHeight="1" x14ac:dyDescent="0.3">
      <c r="A64" s="42" t="s">
        <v>154</v>
      </c>
      <c r="B64" s="43">
        <v>36256</v>
      </c>
      <c r="C64" s="42" t="s">
        <v>25</v>
      </c>
      <c r="D64" s="44">
        <v>6.26</v>
      </c>
      <c r="E64" s="44">
        <v>5.48</v>
      </c>
      <c r="F64">
        <v>1999</v>
      </c>
    </row>
    <row r="65" spans="1:6" ht="15" customHeight="1" x14ac:dyDescent="0.3">
      <c r="A65" s="42" t="s">
        <v>155</v>
      </c>
      <c r="B65" s="43">
        <v>36285</v>
      </c>
      <c r="C65" s="42" t="s">
        <v>25</v>
      </c>
      <c r="D65" s="44">
        <v>9.83</v>
      </c>
      <c r="E65" s="44">
        <v>9.14</v>
      </c>
      <c r="F65">
        <v>1999</v>
      </c>
    </row>
    <row r="66" spans="1:6" ht="15" customHeight="1" x14ac:dyDescent="0.3">
      <c r="A66" s="42" t="s">
        <v>156</v>
      </c>
      <c r="B66" s="43">
        <v>36313</v>
      </c>
      <c r="C66" s="42" t="s">
        <v>25</v>
      </c>
      <c r="D66" s="44">
        <v>14.22</v>
      </c>
      <c r="E66" s="44">
        <v>12.74</v>
      </c>
      <c r="F66">
        <v>1999</v>
      </c>
    </row>
    <row r="67" spans="1:6" ht="15" customHeight="1" x14ac:dyDescent="0.3">
      <c r="A67" s="42" t="s">
        <v>157</v>
      </c>
      <c r="B67" s="43">
        <v>36333</v>
      </c>
      <c r="C67" s="42" t="s">
        <v>25</v>
      </c>
      <c r="D67" s="44">
        <v>18.670000000000002</v>
      </c>
      <c r="E67" s="44">
        <v>15.84</v>
      </c>
      <c r="F67">
        <v>1999</v>
      </c>
    </row>
    <row r="68" spans="1:6" ht="15" customHeight="1" x14ac:dyDescent="0.3">
      <c r="A68" s="42" t="s">
        <v>158</v>
      </c>
      <c r="B68" s="43">
        <v>36349</v>
      </c>
      <c r="C68" s="42" t="s">
        <v>25</v>
      </c>
      <c r="D68" s="44">
        <v>22.15</v>
      </c>
      <c r="E68" s="44">
        <v>18.95</v>
      </c>
      <c r="F68">
        <v>1999</v>
      </c>
    </row>
    <row r="69" spans="1:6" ht="15" customHeight="1" x14ac:dyDescent="0.3">
      <c r="A69" s="42" t="s">
        <v>159</v>
      </c>
      <c r="B69" s="43">
        <v>36361</v>
      </c>
      <c r="C69" s="42" t="s">
        <v>25</v>
      </c>
      <c r="D69" s="46">
        <v>23.57</v>
      </c>
      <c r="E69" s="46">
        <v>19.940000000000001</v>
      </c>
      <c r="F69">
        <v>1999</v>
      </c>
    </row>
    <row r="70" spans="1:6" ht="15" customHeight="1" x14ac:dyDescent="0.3">
      <c r="A70" s="42" t="s">
        <v>160</v>
      </c>
      <c r="B70" s="43">
        <v>36375</v>
      </c>
      <c r="C70" s="42" t="s">
        <v>25</v>
      </c>
      <c r="D70" s="44">
        <v>24.06</v>
      </c>
      <c r="E70" s="44">
        <v>21.86</v>
      </c>
      <c r="F70">
        <v>1999</v>
      </c>
    </row>
    <row r="71" spans="1:6" ht="15" customHeight="1" x14ac:dyDescent="0.3">
      <c r="A71" s="42" t="s">
        <v>161</v>
      </c>
      <c r="B71" s="43">
        <v>36389</v>
      </c>
      <c r="C71" s="42" t="s">
        <v>25</v>
      </c>
      <c r="D71" s="44">
        <v>24.39</v>
      </c>
      <c r="E71" s="44">
        <v>21.95</v>
      </c>
      <c r="F71">
        <v>1999</v>
      </c>
    </row>
    <row r="72" spans="1:6" ht="15" customHeight="1" x14ac:dyDescent="0.3">
      <c r="A72" s="42" t="s">
        <v>162</v>
      </c>
      <c r="B72" s="43">
        <v>36403</v>
      </c>
      <c r="C72" s="42" t="s">
        <v>25</v>
      </c>
      <c r="D72" s="44">
        <v>22.3</v>
      </c>
      <c r="E72" s="44">
        <v>22.21</v>
      </c>
      <c r="F72">
        <v>1999</v>
      </c>
    </row>
    <row r="73" spans="1:6" ht="15" customHeight="1" x14ac:dyDescent="0.3">
      <c r="A73" s="42" t="s">
        <v>163</v>
      </c>
      <c r="B73" s="43">
        <v>36437</v>
      </c>
      <c r="C73" s="42" t="s">
        <v>25</v>
      </c>
      <c r="D73" s="44">
        <v>20.190000000000001</v>
      </c>
      <c r="E73" s="44">
        <v>20.2</v>
      </c>
      <c r="F73">
        <v>1999</v>
      </c>
    </row>
    <row r="74" spans="1:6" ht="15" customHeight="1" x14ac:dyDescent="0.3">
      <c r="A74" s="42" t="s">
        <v>164</v>
      </c>
      <c r="B74" s="43">
        <v>36472</v>
      </c>
      <c r="C74" s="42" t="s">
        <v>25</v>
      </c>
      <c r="D74" s="44">
        <v>13.9</v>
      </c>
      <c r="E74" s="44">
        <v>13.9</v>
      </c>
      <c r="F74">
        <v>1999</v>
      </c>
    </row>
    <row r="75" spans="1:6" ht="15" customHeight="1" x14ac:dyDescent="0.3">
      <c r="A75" s="42" t="s">
        <v>165</v>
      </c>
      <c r="B75" s="43">
        <v>36502</v>
      </c>
      <c r="C75" s="42" t="s">
        <v>25</v>
      </c>
      <c r="D75" s="44">
        <v>10.07</v>
      </c>
      <c r="E75" s="44">
        <v>9.9499999999999993</v>
      </c>
      <c r="F75">
        <v>1999</v>
      </c>
    </row>
    <row r="76" spans="1:6" ht="15" customHeight="1" x14ac:dyDescent="0.3">
      <c r="A76" s="42" t="s">
        <v>166</v>
      </c>
      <c r="B76" s="43">
        <v>36535</v>
      </c>
      <c r="C76" s="42" t="s">
        <v>25</v>
      </c>
      <c r="D76" s="44">
        <v>5.89</v>
      </c>
      <c r="E76" s="44">
        <v>5.88</v>
      </c>
      <c r="F76">
        <v>2000</v>
      </c>
    </row>
    <row r="77" spans="1:6" ht="15" customHeight="1" x14ac:dyDescent="0.3">
      <c r="A77" s="42" t="s">
        <v>167</v>
      </c>
      <c r="B77" s="43">
        <v>36559</v>
      </c>
      <c r="C77" s="42" t="s">
        <v>25</v>
      </c>
      <c r="D77" s="44">
        <v>0.52</v>
      </c>
      <c r="E77" s="44">
        <v>0.93</v>
      </c>
      <c r="F77">
        <v>2000</v>
      </c>
    </row>
    <row r="78" spans="1:6" ht="15" customHeight="1" x14ac:dyDescent="0.3">
      <c r="A78" s="42" t="s">
        <v>169</v>
      </c>
      <c r="B78" s="43">
        <v>36586</v>
      </c>
      <c r="C78" s="42" t="s">
        <v>25</v>
      </c>
      <c r="D78" s="44">
        <v>2.5</v>
      </c>
      <c r="E78" s="44">
        <v>1.74</v>
      </c>
      <c r="F78">
        <v>2000</v>
      </c>
    </row>
    <row r="79" spans="1:6" ht="15" customHeight="1" x14ac:dyDescent="0.3">
      <c r="A79" s="42" t="s">
        <v>171</v>
      </c>
      <c r="B79" s="43">
        <v>36623</v>
      </c>
      <c r="C79" s="42" t="s">
        <v>25</v>
      </c>
      <c r="D79" s="44">
        <v>6.03</v>
      </c>
      <c r="E79" s="44">
        <v>5.76</v>
      </c>
      <c r="F79">
        <v>2000</v>
      </c>
    </row>
    <row r="80" spans="1:6" ht="15" customHeight="1" x14ac:dyDescent="0.3">
      <c r="A80" s="42" t="s">
        <v>172</v>
      </c>
      <c r="B80" s="43">
        <v>36647</v>
      </c>
      <c r="C80" s="42" t="s">
        <v>25</v>
      </c>
      <c r="D80" s="44">
        <v>8.92</v>
      </c>
      <c r="E80" s="44">
        <v>8.27</v>
      </c>
      <c r="F80">
        <v>2000</v>
      </c>
    </row>
    <row r="81" spans="1:6" ht="15" customHeight="1" x14ac:dyDescent="0.3">
      <c r="A81" s="42" t="s">
        <v>173</v>
      </c>
      <c r="B81" s="43">
        <v>36678</v>
      </c>
      <c r="C81" s="42" t="s">
        <v>25</v>
      </c>
      <c r="D81" s="44">
        <v>15.47</v>
      </c>
      <c r="E81" s="44">
        <v>13.54</v>
      </c>
      <c r="F81">
        <v>2000</v>
      </c>
    </row>
    <row r="82" spans="1:6" ht="15" customHeight="1" x14ac:dyDescent="0.3">
      <c r="A82" s="42" t="s">
        <v>174</v>
      </c>
      <c r="B82" s="43">
        <v>36700</v>
      </c>
      <c r="C82" s="42" t="s">
        <v>25</v>
      </c>
      <c r="D82" s="44">
        <v>17.760000000000002</v>
      </c>
      <c r="E82" s="44">
        <v>15</v>
      </c>
      <c r="F82">
        <v>2000</v>
      </c>
    </row>
    <row r="83" spans="1:6" ht="15" customHeight="1" x14ac:dyDescent="0.3">
      <c r="A83" s="42" t="s">
        <v>175</v>
      </c>
      <c r="B83" s="43">
        <v>36714</v>
      </c>
      <c r="C83" s="42" t="s">
        <v>25</v>
      </c>
      <c r="D83" s="44">
        <v>19.95</v>
      </c>
      <c r="E83" s="44">
        <v>18.170000000000002</v>
      </c>
      <c r="F83">
        <v>2000</v>
      </c>
    </row>
    <row r="84" spans="1:6" ht="15" customHeight="1" x14ac:dyDescent="0.3">
      <c r="A84" s="42" t="s">
        <v>176</v>
      </c>
      <c r="B84" s="43">
        <v>36727</v>
      </c>
      <c r="C84" s="42" t="s">
        <v>25</v>
      </c>
      <c r="D84" s="44">
        <v>20.75</v>
      </c>
      <c r="E84" s="44">
        <v>19.239999999999998</v>
      </c>
      <c r="F84">
        <v>2000</v>
      </c>
    </row>
    <row r="85" spans="1:6" ht="15" customHeight="1" x14ac:dyDescent="0.3">
      <c r="A85" s="42" t="s">
        <v>177</v>
      </c>
      <c r="B85" s="43">
        <v>36740</v>
      </c>
      <c r="C85" s="42" t="s">
        <v>25</v>
      </c>
      <c r="D85" s="44">
        <v>21.61</v>
      </c>
      <c r="E85" s="44">
        <v>20.8</v>
      </c>
      <c r="F85">
        <v>2000</v>
      </c>
    </row>
    <row r="86" spans="1:6" ht="15" customHeight="1" x14ac:dyDescent="0.3">
      <c r="A86" s="42" t="s">
        <v>178</v>
      </c>
      <c r="B86" s="43">
        <v>36755</v>
      </c>
      <c r="C86" s="42" t="s">
        <v>25</v>
      </c>
      <c r="D86" s="44">
        <v>21.25</v>
      </c>
      <c r="E86" s="44">
        <v>20.84</v>
      </c>
      <c r="F86">
        <v>2000</v>
      </c>
    </row>
    <row r="87" spans="1:6" ht="15" customHeight="1" x14ac:dyDescent="0.3">
      <c r="A87" s="42" t="s">
        <v>179</v>
      </c>
      <c r="B87" s="43">
        <v>36770</v>
      </c>
      <c r="C87" s="42" t="s">
        <v>25</v>
      </c>
      <c r="D87" s="44">
        <v>22.1</v>
      </c>
      <c r="E87" s="44">
        <v>21.68</v>
      </c>
      <c r="F87">
        <v>2000</v>
      </c>
    </row>
    <row r="88" spans="1:6" ht="15" customHeight="1" x14ac:dyDescent="0.3">
      <c r="A88" s="42" t="s">
        <v>180</v>
      </c>
      <c r="B88" s="43">
        <v>36803</v>
      </c>
      <c r="C88" s="42" t="s">
        <v>25</v>
      </c>
      <c r="D88" s="44">
        <v>19.22</v>
      </c>
      <c r="E88" s="44">
        <v>19.18</v>
      </c>
      <c r="F88">
        <v>2000</v>
      </c>
    </row>
    <row r="89" spans="1:6" ht="15" customHeight="1" x14ac:dyDescent="0.3">
      <c r="A89" s="42" t="s">
        <v>181</v>
      </c>
      <c r="B89" s="43">
        <v>36838</v>
      </c>
      <c r="C89" s="42" t="s">
        <v>25</v>
      </c>
      <c r="D89" s="44">
        <v>13.28</v>
      </c>
      <c r="E89" s="44">
        <v>13.16</v>
      </c>
      <c r="F89">
        <v>2000</v>
      </c>
    </row>
    <row r="90" spans="1:6" ht="15" customHeight="1" x14ac:dyDescent="0.3">
      <c r="A90" s="42" t="s">
        <v>182</v>
      </c>
      <c r="B90" s="43">
        <v>36866</v>
      </c>
      <c r="C90" s="42" t="s">
        <v>25</v>
      </c>
      <c r="D90" s="44">
        <v>7.96</v>
      </c>
      <c r="E90" s="44">
        <v>7.97</v>
      </c>
      <c r="F90">
        <v>2000</v>
      </c>
    </row>
    <row r="91" spans="1:6" ht="15" customHeight="1" x14ac:dyDescent="0.3">
      <c r="A91" s="42" t="s">
        <v>183</v>
      </c>
      <c r="B91" s="43">
        <v>36899</v>
      </c>
      <c r="C91" s="42" t="s">
        <v>25</v>
      </c>
      <c r="D91" s="44">
        <v>2.15</v>
      </c>
      <c r="E91" s="44">
        <v>2.58</v>
      </c>
      <c r="F91">
        <v>2001</v>
      </c>
    </row>
    <row r="92" spans="1:6" ht="15" customHeight="1" x14ac:dyDescent="0.3">
      <c r="A92" s="42" t="s">
        <v>184</v>
      </c>
      <c r="B92" s="43">
        <v>36924</v>
      </c>
      <c r="C92" s="42" t="s">
        <v>25</v>
      </c>
      <c r="D92" s="44">
        <v>2.16</v>
      </c>
      <c r="E92" s="44">
        <v>2.06</v>
      </c>
      <c r="F92">
        <v>2001</v>
      </c>
    </row>
    <row r="93" spans="1:6" ht="15" customHeight="1" x14ac:dyDescent="0.3">
      <c r="A93" s="42" t="s">
        <v>186</v>
      </c>
      <c r="B93" s="43">
        <v>36951</v>
      </c>
      <c r="C93" s="42" t="s">
        <v>25</v>
      </c>
      <c r="D93" s="44">
        <v>1.9</v>
      </c>
      <c r="E93" s="44">
        <v>1.76</v>
      </c>
      <c r="F93">
        <v>2001</v>
      </c>
    </row>
    <row r="94" spans="1:6" ht="15" customHeight="1" x14ac:dyDescent="0.3">
      <c r="A94" s="42" t="s">
        <v>187</v>
      </c>
      <c r="B94" s="43">
        <v>36984</v>
      </c>
      <c r="C94" s="42" t="s">
        <v>25</v>
      </c>
      <c r="D94" s="44">
        <v>4.1100000000000003</v>
      </c>
      <c r="E94" s="44">
        <v>3.35</v>
      </c>
      <c r="F94">
        <v>2001</v>
      </c>
    </row>
    <row r="95" spans="1:6" ht="15" customHeight="1" x14ac:dyDescent="0.3">
      <c r="A95" s="42" t="s">
        <v>188</v>
      </c>
      <c r="B95" s="43">
        <v>37011</v>
      </c>
      <c r="C95" s="42" t="s">
        <v>25</v>
      </c>
      <c r="D95" s="45"/>
      <c r="E95" s="45"/>
      <c r="F95">
        <v>2001</v>
      </c>
    </row>
    <row r="96" spans="1:6" ht="15" customHeight="1" x14ac:dyDescent="0.3">
      <c r="A96" s="42" t="s">
        <v>189</v>
      </c>
      <c r="B96" s="43">
        <v>37047</v>
      </c>
      <c r="C96" s="42" t="s">
        <v>25</v>
      </c>
      <c r="D96" s="44">
        <v>13.58</v>
      </c>
      <c r="E96" s="44">
        <v>11.44</v>
      </c>
      <c r="F96">
        <v>2001</v>
      </c>
    </row>
    <row r="97" spans="1:6" ht="15" customHeight="1" x14ac:dyDescent="0.3">
      <c r="A97" s="42" t="s">
        <v>191</v>
      </c>
      <c r="B97" s="43">
        <v>37083</v>
      </c>
      <c r="C97" s="42" t="s">
        <v>25</v>
      </c>
      <c r="D97" s="44">
        <v>19.809999999999999</v>
      </c>
      <c r="E97" s="46">
        <v>17.079999999999998</v>
      </c>
      <c r="F97">
        <v>2001</v>
      </c>
    </row>
    <row r="98" spans="1:6" ht="15" customHeight="1" x14ac:dyDescent="0.3">
      <c r="A98" s="42" t="s">
        <v>192</v>
      </c>
      <c r="B98" s="43">
        <v>37098</v>
      </c>
      <c r="C98" s="42" t="s">
        <v>25</v>
      </c>
      <c r="D98" s="44">
        <v>21.29</v>
      </c>
      <c r="E98" s="44">
        <v>19.66</v>
      </c>
      <c r="F98">
        <v>2001</v>
      </c>
    </row>
    <row r="99" spans="1:6" ht="15" customHeight="1" x14ac:dyDescent="0.3">
      <c r="A99" s="42" t="s">
        <v>193</v>
      </c>
      <c r="B99" s="43">
        <v>37109</v>
      </c>
      <c r="C99" s="42" t="s">
        <v>25</v>
      </c>
      <c r="D99" s="46">
        <v>24.41</v>
      </c>
      <c r="E99" s="46">
        <v>20.25</v>
      </c>
      <c r="F99">
        <v>2001</v>
      </c>
    </row>
    <row r="100" spans="1:6" ht="15" customHeight="1" x14ac:dyDescent="0.3">
      <c r="A100" s="42" t="s">
        <v>194</v>
      </c>
      <c r="B100" s="43">
        <v>37123</v>
      </c>
      <c r="C100" s="42" t="s">
        <v>25</v>
      </c>
      <c r="D100" s="44">
        <v>24.04</v>
      </c>
      <c r="E100" s="44">
        <v>22.43</v>
      </c>
      <c r="F100">
        <v>2001</v>
      </c>
    </row>
    <row r="101" spans="1:6" ht="15" customHeight="1" x14ac:dyDescent="0.3">
      <c r="A101" s="42" t="s">
        <v>196</v>
      </c>
      <c r="B101" s="43">
        <v>37139</v>
      </c>
      <c r="C101" s="42" t="s">
        <v>25</v>
      </c>
      <c r="D101" s="44">
        <v>22.53</v>
      </c>
      <c r="E101" s="44">
        <v>22.02</v>
      </c>
      <c r="F101">
        <v>2001</v>
      </c>
    </row>
    <row r="102" spans="1:6" ht="15" customHeight="1" x14ac:dyDescent="0.3">
      <c r="A102" s="42" t="s">
        <v>198</v>
      </c>
      <c r="B102" s="43">
        <v>37166</v>
      </c>
      <c r="C102" s="42" t="s">
        <v>25</v>
      </c>
      <c r="D102" s="44">
        <v>19.03</v>
      </c>
      <c r="E102" s="44">
        <v>18.52</v>
      </c>
      <c r="F102">
        <v>2001</v>
      </c>
    </row>
    <row r="103" spans="1:6" ht="15" customHeight="1" x14ac:dyDescent="0.3">
      <c r="A103" s="42" t="s">
        <v>199</v>
      </c>
      <c r="B103" s="43">
        <v>37203</v>
      </c>
      <c r="C103" s="42" t="s">
        <v>25</v>
      </c>
      <c r="D103" s="44">
        <v>14.28</v>
      </c>
      <c r="E103" s="44">
        <v>14.11</v>
      </c>
      <c r="F103">
        <v>2001</v>
      </c>
    </row>
    <row r="104" spans="1:6" ht="15" customHeight="1" x14ac:dyDescent="0.3">
      <c r="A104" s="42" t="s">
        <v>200</v>
      </c>
      <c r="B104" s="43">
        <v>37229</v>
      </c>
      <c r="C104" s="42" t="s">
        <v>25</v>
      </c>
      <c r="D104" s="44">
        <v>11.79</v>
      </c>
      <c r="E104" s="44">
        <v>11.63</v>
      </c>
      <c r="F104">
        <v>2001</v>
      </c>
    </row>
    <row r="105" spans="1:6" ht="15" customHeight="1" x14ac:dyDescent="0.3">
      <c r="A105" s="42" t="s">
        <v>201</v>
      </c>
      <c r="B105" s="43">
        <v>37270</v>
      </c>
      <c r="C105" s="42" t="s">
        <v>25</v>
      </c>
      <c r="D105" s="44">
        <v>5.29</v>
      </c>
      <c r="E105" s="44">
        <v>5.28</v>
      </c>
      <c r="F105">
        <v>2002</v>
      </c>
    </row>
    <row r="106" spans="1:6" ht="15" customHeight="1" x14ac:dyDescent="0.3">
      <c r="A106" s="42" t="s">
        <v>202</v>
      </c>
      <c r="B106" s="43">
        <v>37291</v>
      </c>
      <c r="C106" s="42" t="s">
        <v>25</v>
      </c>
      <c r="D106" s="44">
        <v>4.51</v>
      </c>
      <c r="E106" s="44">
        <v>4.3899999999999997</v>
      </c>
      <c r="F106">
        <v>2002</v>
      </c>
    </row>
    <row r="107" spans="1:6" ht="15" customHeight="1" x14ac:dyDescent="0.3">
      <c r="A107" s="42" t="s">
        <v>204</v>
      </c>
      <c r="B107" s="43">
        <v>37320</v>
      </c>
      <c r="C107" s="42" t="s">
        <v>25</v>
      </c>
      <c r="D107" s="44">
        <v>4.3600000000000003</v>
      </c>
      <c r="E107" s="44">
        <v>4.37</v>
      </c>
      <c r="F107">
        <v>2002</v>
      </c>
    </row>
    <row r="108" spans="1:6" ht="15" customHeight="1" x14ac:dyDescent="0.3">
      <c r="A108" s="42" t="s">
        <v>206</v>
      </c>
      <c r="B108" s="43">
        <v>37348</v>
      </c>
      <c r="C108" s="42" t="s">
        <v>25</v>
      </c>
      <c r="D108" s="44">
        <v>6.36</v>
      </c>
      <c r="E108" s="44">
        <v>5.73</v>
      </c>
      <c r="F108">
        <v>2002</v>
      </c>
    </row>
    <row r="109" spans="1:6" ht="15" customHeight="1" x14ac:dyDescent="0.3">
      <c r="A109" s="42" t="s">
        <v>207</v>
      </c>
      <c r="B109" s="43">
        <v>37382</v>
      </c>
      <c r="C109" s="42" t="s">
        <v>25</v>
      </c>
      <c r="D109" s="44">
        <v>11.5</v>
      </c>
      <c r="E109" s="44">
        <v>9.16</v>
      </c>
      <c r="F109">
        <v>2002</v>
      </c>
    </row>
    <row r="110" spans="1:6" ht="15" customHeight="1" x14ac:dyDescent="0.3">
      <c r="A110" s="42" t="s">
        <v>208</v>
      </c>
      <c r="B110" s="43">
        <v>37411</v>
      </c>
      <c r="C110" s="42" t="s">
        <v>25</v>
      </c>
      <c r="D110" s="44">
        <v>15.34</v>
      </c>
      <c r="E110" s="44">
        <v>14.99</v>
      </c>
      <c r="F110">
        <v>2002</v>
      </c>
    </row>
    <row r="111" spans="1:6" ht="15" customHeight="1" x14ac:dyDescent="0.3">
      <c r="A111" s="42" t="s">
        <v>210</v>
      </c>
      <c r="B111" s="43">
        <v>37445</v>
      </c>
      <c r="C111" s="42" t="s">
        <v>25</v>
      </c>
      <c r="D111" s="46">
        <v>20.8</v>
      </c>
      <c r="E111" s="46">
        <v>17.54</v>
      </c>
      <c r="F111">
        <v>2002</v>
      </c>
    </row>
    <row r="112" spans="1:6" ht="15" customHeight="1" x14ac:dyDescent="0.3">
      <c r="A112" s="42" t="s">
        <v>212</v>
      </c>
      <c r="B112" s="43">
        <v>37473</v>
      </c>
      <c r="C112" s="42" t="s">
        <v>25</v>
      </c>
      <c r="D112" s="44">
        <v>25.79</v>
      </c>
      <c r="E112" s="44">
        <v>20.6</v>
      </c>
      <c r="F112">
        <v>2002</v>
      </c>
    </row>
    <row r="113" spans="1:6" ht="15" customHeight="1" x14ac:dyDescent="0.3">
      <c r="A113" s="42" t="s">
        <v>213</v>
      </c>
      <c r="B113" s="43">
        <v>37491</v>
      </c>
      <c r="C113" s="42" t="s">
        <v>25</v>
      </c>
      <c r="D113" s="44">
        <v>23.08</v>
      </c>
      <c r="E113" s="44">
        <v>23.9</v>
      </c>
      <c r="F113">
        <v>2002</v>
      </c>
    </row>
    <row r="114" spans="1:6" ht="15" customHeight="1" x14ac:dyDescent="0.3">
      <c r="A114" s="42" t="s">
        <v>214</v>
      </c>
      <c r="B114" s="43">
        <v>37508</v>
      </c>
      <c r="C114" s="42" t="s">
        <v>25</v>
      </c>
      <c r="D114" s="44">
        <v>22.44</v>
      </c>
      <c r="E114" s="44">
        <v>21.55</v>
      </c>
      <c r="F114">
        <v>2002</v>
      </c>
    </row>
    <row r="115" spans="1:6" ht="15" customHeight="1" x14ac:dyDescent="0.3">
      <c r="A115" s="42" t="s">
        <v>215</v>
      </c>
      <c r="B115" s="43">
        <v>37537</v>
      </c>
      <c r="C115" s="42" t="s">
        <v>25</v>
      </c>
      <c r="D115" s="44">
        <v>20.18</v>
      </c>
      <c r="E115" s="44">
        <v>20.100000000000001</v>
      </c>
      <c r="F115">
        <v>2002</v>
      </c>
    </row>
    <row r="116" spans="1:6" ht="15" customHeight="1" x14ac:dyDescent="0.3">
      <c r="A116" s="42" t="s">
        <v>216</v>
      </c>
      <c r="B116" s="43">
        <v>37565</v>
      </c>
      <c r="C116" s="42" t="s">
        <v>25</v>
      </c>
      <c r="D116" s="44">
        <v>13.04</v>
      </c>
      <c r="E116" s="44">
        <v>13.04</v>
      </c>
      <c r="F116">
        <v>2002</v>
      </c>
    </row>
    <row r="117" spans="1:6" ht="15" customHeight="1" x14ac:dyDescent="0.3">
      <c r="A117" s="42" t="s">
        <v>217</v>
      </c>
      <c r="B117" s="43">
        <v>37599</v>
      </c>
      <c r="C117" s="42" t="s">
        <v>25</v>
      </c>
      <c r="D117" s="44">
        <v>6.46</v>
      </c>
      <c r="E117" s="44">
        <v>6.56</v>
      </c>
      <c r="F117">
        <v>2002</v>
      </c>
    </row>
    <row r="118" spans="1:6" ht="15" customHeight="1" x14ac:dyDescent="0.3">
      <c r="A118" s="42" t="s">
        <v>218</v>
      </c>
      <c r="B118" s="43">
        <v>37655</v>
      </c>
      <c r="C118" s="42" t="s">
        <v>25</v>
      </c>
      <c r="D118" s="44">
        <v>0.87</v>
      </c>
      <c r="E118" s="44">
        <v>0.35</v>
      </c>
      <c r="F118">
        <v>2003</v>
      </c>
    </row>
    <row r="119" spans="1:6" ht="15" customHeight="1" x14ac:dyDescent="0.3">
      <c r="A119" s="42" t="s">
        <v>219</v>
      </c>
      <c r="B119" s="43">
        <v>37684</v>
      </c>
      <c r="C119" s="42" t="s">
        <v>25</v>
      </c>
      <c r="D119" s="44">
        <v>-0.34</v>
      </c>
      <c r="E119" s="44">
        <v>-0.24</v>
      </c>
      <c r="F119">
        <v>2003</v>
      </c>
    </row>
    <row r="120" spans="1:6" ht="15" customHeight="1" x14ac:dyDescent="0.3">
      <c r="A120" s="42" t="s">
        <v>221</v>
      </c>
      <c r="B120" s="43">
        <v>37714</v>
      </c>
      <c r="C120" s="42" t="s">
        <v>25</v>
      </c>
      <c r="D120" s="45"/>
      <c r="E120" s="45"/>
      <c r="F120">
        <v>2003</v>
      </c>
    </row>
    <row r="121" spans="1:6" ht="15" customHeight="1" x14ac:dyDescent="0.3">
      <c r="A121" s="42" t="s">
        <v>222</v>
      </c>
      <c r="B121" s="43">
        <v>37746</v>
      </c>
      <c r="C121" s="42" t="s">
        <v>25</v>
      </c>
      <c r="D121" s="44">
        <v>9.32</v>
      </c>
      <c r="E121" s="44">
        <v>7.9</v>
      </c>
      <c r="F121">
        <v>2003</v>
      </c>
    </row>
    <row r="122" spans="1:6" ht="15" customHeight="1" x14ac:dyDescent="0.3">
      <c r="A122" s="42" t="s">
        <v>223</v>
      </c>
      <c r="B122" s="43">
        <v>37775</v>
      </c>
      <c r="C122" s="42" t="s">
        <v>25</v>
      </c>
      <c r="D122" s="44">
        <v>13.96</v>
      </c>
      <c r="E122" s="44">
        <v>10.4</v>
      </c>
      <c r="F122">
        <v>2003</v>
      </c>
    </row>
    <row r="123" spans="1:6" ht="15" customHeight="1" x14ac:dyDescent="0.3">
      <c r="A123" s="42" t="s">
        <v>225</v>
      </c>
      <c r="B123" s="43">
        <v>37809</v>
      </c>
      <c r="C123" s="42" t="s">
        <v>25</v>
      </c>
      <c r="D123" s="46">
        <v>19.399999999999999</v>
      </c>
      <c r="E123" s="44">
        <v>13.63</v>
      </c>
      <c r="F123">
        <v>2003</v>
      </c>
    </row>
    <row r="124" spans="1:6" ht="15" customHeight="1" x14ac:dyDescent="0.3">
      <c r="A124" s="42" t="s">
        <v>226</v>
      </c>
      <c r="B124" s="43">
        <v>37826</v>
      </c>
      <c r="C124" s="42" t="s">
        <v>25</v>
      </c>
      <c r="D124" s="44">
        <v>20.65</v>
      </c>
      <c r="E124" s="44">
        <v>17.18</v>
      </c>
      <c r="F124">
        <v>2003</v>
      </c>
    </row>
    <row r="125" spans="1:6" ht="15" customHeight="1" x14ac:dyDescent="0.3">
      <c r="A125" s="42" t="s">
        <v>227</v>
      </c>
      <c r="B125" s="43">
        <v>37837</v>
      </c>
      <c r="C125" s="42" t="s">
        <v>25</v>
      </c>
      <c r="D125" s="44">
        <v>23.82</v>
      </c>
      <c r="E125" s="44">
        <v>19.84</v>
      </c>
      <c r="F125">
        <v>2003</v>
      </c>
    </row>
    <row r="126" spans="1:6" ht="15" customHeight="1" x14ac:dyDescent="0.3">
      <c r="A126" s="42" t="s">
        <v>228</v>
      </c>
      <c r="B126" s="43">
        <v>37852</v>
      </c>
      <c r="C126" s="42" t="s">
        <v>25</v>
      </c>
      <c r="D126" s="44">
        <v>24.02</v>
      </c>
      <c r="E126" s="44">
        <v>20.59</v>
      </c>
      <c r="F126">
        <v>2003</v>
      </c>
    </row>
    <row r="127" spans="1:6" ht="15" customHeight="1" x14ac:dyDescent="0.3">
      <c r="A127" s="42" t="s">
        <v>229</v>
      </c>
      <c r="B127" s="43">
        <v>37873</v>
      </c>
      <c r="C127" s="42" t="s">
        <v>25</v>
      </c>
      <c r="D127" s="44">
        <v>20.92</v>
      </c>
      <c r="E127" s="44">
        <v>20.93</v>
      </c>
      <c r="F127">
        <v>2003</v>
      </c>
    </row>
    <row r="128" spans="1:6" ht="15" customHeight="1" x14ac:dyDescent="0.3">
      <c r="A128" s="42" t="s">
        <v>231</v>
      </c>
      <c r="B128" s="43">
        <v>37928</v>
      </c>
      <c r="C128" s="42" t="s">
        <v>25</v>
      </c>
      <c r="D128" s="44">
        <v>15.38</v>
      </c>
      <c r="E128" s="44">
        <v>15.44</v>
      </c>
      <c r="F128">
        <v>2003</v>
      </c>
    </row>
    <row r="129" spans="1:6" ht="15" customHeight="1" x14ac:dyDescent="0.3">
      <c r="A129" s="42" t="s">
        <v>232</v>
      </c>
      <c r="B129" s="43">
        <v>37963</v>
      </c>
      <c r="C129" s="42" t="s">
        <v>25</v>
      </c>
      <c r="D129" s="44">
        <v>7.38</v>
      </c>
      <c r="E129" s="44">
        <v>7.36</v>
      </c>
      <c r="F129">
        <v>2003</v>
      </c>
    </row>
    <row r="130" spans="1:6" ht="15" customHeight="1" x14ac:dyDescent="0.3">
      <c r="A130" s="42" t="s">
        <v>497</v>
      </c>
      <c r="B130" s="43">
        <v>37991</v>
      </c>
      <c r="C130" s="42" t="s">
        <v>25</v>
      </c>
      <c r="D130" s="44">
        <v>5.34</v>
      </c>
      <c r="E130" s="44">
        <v>5.35</v>
      </c>
      <c r="F130">
        <v>2004</v>
      </c>
    </row>
    <row r="131" spans="1:6" ht="15" customHeight="1" x14ac:dyDescent="0.3">
      <c r="A131" s="42" t="s">
        <v>233</v>
      </c>
      <c r="B131" s="43">
        <v>38022</v>
      </c>
      <c r="C131" s="42" t="s">
        <v>25</v>
      </c>
      <c r="D131" s="44">
        <v>-0.71</v>
      </c>
      <c r="E131" s="44">
        <v>-0.6</v>
      </c>
      <c r="F131">
        <v>2004</v>
      </c>
    </row>
    <row r="132" spans="1:6" ht="15" customHeight="1" x14ac:dyDescent="0.3">
      <c r="A132" s="42" t="s">
        <v>235</v>
      </c>
      <c r="B132" s="43">
        <v>38050</v>
      </c>
      <c r="C132" s="42" t="s">
        <v>25</v>
      </c>
      <c r="D132" s="44">
        <v>1.97</v>
      </c>
      <c r="E132" s="44">
        <v>0.71</v>
      </c>
      <c r="F132">
        <v>2004</v>
      </c>
    </row>
    <row r="133" spans="1:6" ht="15" customHeight="1" x14ac:dyDescent="0.3">
      <c r="A133" s="42" t="s">
        <v>237</v>
      </c>
      <c r="B133" s="43">
        <v>38084</v>
      </c>
      <c r="C133" s="42" t="s">
        <v>25</v>
      </c>
      <c r="D133" s="44">
        <v>4.34</v>
      </c>
      <c r="E133" s="44">
        <v>3.76</v>
      </c>
      <c r="F133">
        <v>2004</v>
      </c>
    </row>
    <row r="134" spans="1:6" ht="15" customHeight="1" x14ac:dyDescent="0.3">
      <c r="A134" s="42" t="s">
        <v>238</v>
      </c>
      <c r="B134" s="43">
        <v>38112</v>
      </c>
      <c r="C134" s="42" t="s">
        <v>25</v>
      </c>
      <c r="D134" s="46">
        <v>9.5500000000000007</v>
      </c>
      <c r="E134" s="46">
        <v>7.06</v>
      </c>
      <c r="F134">
        <v>2004</v>
      </c>
    </row>
    <row r="135" spans="1:6" ht="15" customHeight="1" x14ac:dyDescent="0.3">
      <c r="A135" s="42" t="s">
        <v>239</v>
      </c>
      <c r="B135" s="43">
        <v>38139</v>
      </c>
      <c r="C135" s="42" t="s">
        <v>25</v>
      </c>
      <c r="D135" s="44">
        <v>14.2</v>
      </c>
      <c r="E135" s="44">
        <v>13.61</v>
      </c>
      <c r="F135">
        <v>2004</v>
      </c>
    </row>
    <row r="136" spans="1:6" ht="15" customHeight="1" x14ac:dyDescent="0.3">
      <c r="A136" s="42" t="s">
        <v>241</v>
      </c>
      <c r="B136" s="43">
        <v>38176</v>
      </c>
      <c r="C136" s="42" t="s">
        <v>25</v>
      </c>
      <c r="D136" s="44">
        <v>20.87</v>
      </c>
      <c r="E136" s="44">
        <v>18.55</v>
      </c>
      <c r="F136">
        <v>2004</v>
      </c>
    </row>
    <row r="137" spans="1:6" ht="15" customHeight="1" x14ac:dyDescent="0.3">
      <c r="A137" s="42" t="s">
        <v>242</v>
      </c>
      <c r="B137" s="43">
        <v>38187</v>
      </c>
      <c r="C137" s="42" t="s">
        <v>25</v>
      </c>
      <c r="D137" s="44">
        <v>22.12</v>
      </c>
      <c r="E137" s="44">
        <v>20.27</v>
      </c>
      <c r="F137">
        <v>2004</v>
      </c>
    </row>
    <row r="138" spans="1:6" ht="15" customHeight="1" x14ac:dyDescent="0.3">
      <c r="A138" s="42" t="s">
        <v>243</v>
      </c>
      <c r="B138" s="43">
        <v>38201</v>
      </c>
      <c r="C138" s="42" t="s">
        <v>25</v>
      </c>
      <c r="D138" s="44">
        <v>22.31</v>
      </c>
      <c r="E138" s="44">
        <v>19.54</v>
      </c>
      <c r="F138">
        <v>2004</v>
      </c>
    </row>
    <row r="139" spans="1:6" ht="15" customHeight="1" x14ac:dyDescent="0.3">
      <c r="A139" s="42" t="s">
        <v>244</v>
      </c>
      <c r="B139" s="43">
        <v>38218</v>
      </c>
      <c r="C139" s="42" t="s">
        <v>25</v>
      </c>
      <c r="D139" s="44">
        <v>22.79</v>
      </c>
      <c r="E139" s="44">
        <v>20.71</v>
      </c>
      <c r="F139">
        <v>2004</v>
      </c>
    </row>
    <row r="140" spans="1:6" ht="15" customHeight="1" x14ac:dyDescent="0.3">
      <c r="A140" s="42" t="s">
        <v>245</v>
      </c>
      <c r="B140" s="43">
        <v>38230</v>
      </c>
      <c r="C140" s="42" t="s">
        <v>25</v>
      </c>
      <c r="D140" s="44">
        <v>23.44</v>
      </c>
      <c r="E140" s="44">
        <v>21.8</v>
      </c>
      <c r="F140">
        <v>2004</v>
      </c>
    </row>
    <row r="141" spans="1:6" ht="15" customHeight="1" x14ac:dyDescent="0.3">
      <c r="A141" s="42" t="s">
        <v>246</v>
      </c>
      <c r="B141" s="43">
        <v>38266</v>
      </c>
      <c r="C141" s="42" t="s">
        <v>25</v>
      </c>
      <c r="D141" s="44">
        <v>20.28</v>
      </c>
      <c r="E141" s="44">
        <v>20.14</v>
      </c>
      <c r="F141">
        <v>2004</v>
      </c>
    </row>
    <row r="142" spans="1:6" ht="15" customHeight="1" x14ac:dyDescent="0.3">
      <c r="A142" s="42" t="s">
        <v>247</v>
      </c>
      <c r="B142" s="43">
        <v>38320</v>
      </c>
      <c r="C142" s="42" t="s">
        <v>25</v>
      </c>
      <c r="D142" s="44">
        <v>10.36</v>
      </c>
      <c r="E142" s="44">
        <v>10.51</v>
      </c>
      <c r="F142">
        <v>2004</v>
      </c>
    </row>
    <row r="143" spans="1:6" ht="15" customHeight="1" x14ac:dyDescent="0.3">
      <c r="A143" s="42" t="s">
        <v>248</v>
      </c>
      <c r="B143" s="43">
        <v>38362</v>
      </c>
      <c r="C143" s="42" t="s">
        <v>25</v>
      </c>
      <c r="D143" s="44">
        <v>4.7300000000000004</v>
      </c>
      <c r="E143" s="44">
        <v>4.76</v>
      </c>
      <c r="F143">
        <v>2005</v>
      </c>
    </row>
    <row r="144" spans="1:6" ht="15" customHeight="1" x14ac:dyDescent="0.3">
      <c r="A144" s="42" t="s">
        <v>249</v>
      </c>
      <c r="B144" s="43">
        <v>38384</v>
      </c>
      <c r="C144" s="42" t="s">
        <v>25</v>
      </c>
      <c r="D144" s="44">
        <v>0.9</v>
      </c>
      <c r="E144" s="44">
        <v>0.94</v>
      </c>
      <c r="F144">
        <v>2005</v>
      </c>
    </row>
    <row r="145" spans="1:6" ht="15" customHeight="1" x14ac:dyDescent="0.3">
      <c r="A145" s="42" t="s">
        <v>250</v>
      </c>
      <c r="B145" s="43">
        <v>38418</v>
      </c>
      <c r="C145" s="42" t="s">
        <v>25</v>
      </c>
      <c r="D145" s="44">
        <v>1.91</v>
      </c>
      <c r="E145" s="44">
        <v>1.35</v>
      </c>
      <c r="F145">
        <v>2005</v>
      </c>
    </row>
    <row r="146" spans="1:6" ht="15" customHeight="1" x14ac:dyDescent="0.3">
      <c r="A146" s="42" t="s">
        <v>251</v>
      </c>
      <c r="B146" s="43">
        <v>38447</v>
      </c>
      <c r="C146" s="42" t="s">
        <v>25</v>
      </c>
      <c r="D146" s="44">
        <v>4.38</v>
      </c>
      <c r="E146" s="44">
        <v>3.8</v>
      </c>
      <c r="F146">
        <v>2005</v>
      </c>
    </row>
    <row r="147" spans="1:6" ht="15" customHeight="1" x14ac:dyDescent="0.3">
      <c r="A147" s="42" t="s">
        <v>252</v>
      </c>
      <c r="B147" s="43">
        <v>38477</v>
      </c>
      <c r="C147" s="42" t="s">
        <v>25</v>
      </c>
      <c r="D147" s="44">
        <v>10.42</v>
      </c>
      <c r="E147" s="44">
        <v>7.92</v>
      </c>
      <c r="F147">
        <v>2005</v>
      </c>
    </row>
    <row r="148" spans="1:6" ht="15" customHeight="1" x14ac:dyDescent="0.3">
      <c r="A148" s="42" t="s">
        <v>253</v>
      </c>
      <c r="B148" s="43">
        <v>38511</v>
      </c>
      <c r="C148" s="42" t="s">
        <v>25</v>
      </c>
      <c r="D148" s="44">
        <v>15.7</v>
      </c>
      <c r="E148" s="44">
        <v>12.08</v>
      </c>
      <c r="F148">
        <v>2005</v>
      </c>
    </row>
    <row r="149" spans="1:6" ht="15" customHeight="1" x14ac:dyDescent="0.3">
      <c r="A149" s="42" t="s">
        <v>255</v>
      </c>
      <c r="B149" s="43">
        <v>38540</v>
      </c>
      <c r="C149" s="42" t="s">
        <v>25</v>
      </c>
      <c r="D149" s="44">
        <v>21.4</v>
      </c>
      <c r="E149" s="44">
        <v>19.68</v>
      </c>
      <c r="F149">
        <v>2005</v>
      </c>
    </row>
    <row r="150" spans="1:6" ht="15" customHeight="1" x14ac:dyDescent="0.3">
      <c r="A150" s="42" t="s">
        <v>256</v>
      </c>
      <c r="B150" s="43">
        <v>38551</v>
      </c>
      <c r="C150" s="42" t="s">
        <v>25</v>
      </c>
      <c r="D150" s="44">
        <v>22.5</v>
      </c>
      <c r="E150" s="44">
        <v>18.5</v>
      </c>
      <c r="F150">
        <v>2005</v>
      </c>
    </row>
    <row r="151" spans="1:6" ht="15" customHeight="1" x14ac:dyDescent="0.3">
      <c r="A151" s="42" t="s">
        <v>257</v>
      </c>
      <c r="B151" s="43">
        <v>38566</v>
      </c>
      <c r="C151" s="42" t="s">
        <v>25</v>
      </c>
      <c r="D151" s="44">
        <v>24.67</v>
      </c>
      <c r="E151" s="44">
        <v>20.73</v>
      </c>
      <c r="F151">
        <v>2005</v>
      </c>
    </row>
    <row r="152" spans="1:6" ht="15" customHeight="1" x14ac:dyDescent="0.3">
      <c r="A152" s="42" t="s">
        <v>258</v>
      </c>
      <c r="B152" s="43">
        <v>38580</v>
      </c>
      <c r="C152" s="42" t="s">
        <v>25</v>
      </c>
      <c r="D152" s="44">
        <v>24.01</v>
      </c>
      <c r="E152" s="44">
        <v>20.16</v>
      </c>
      <c r="F152">
        <v>2005</v>
      </c>
    </row>
    <row r="153" spans="1:6" ht="15" customHeight="1" x14ac:dyDescent="0.3">
      <c r="A153" s="42" t="s">
        <v>259</v>
      </c>
      <c r="B153" s="43">
        <v>38593</v>
      </c>
      <c r="C153" s="42" t="s">
        <v>25</v>
      </c>
      <c r="D153" s="44">
        <v>23.97</v>
      </c>
      <c r="E153" s="44">
        <v>22.22</v>
      </c>
      <c r="F153">
        <v>2005</v>
      </c>
    </row>
    <row r="154" spans="1:6" ht="15" customHeight="1" x14ac:dyDescent="0.3">
      <c r="A154" s="42" t="s">
        <v>261</v>
      </c>
      <c r="B154" s="43">
        <v>38631</v>
      </c>
      <c r="C154" s="42" t="s">
        <v>25</v>
      </c>
      <c r="D154" s="44">
        <v>21.23</v>
      </c>
      <c r="E154" s="44">
        <v>21.13</v>
      </c>
      <c r="F154">
        <v>2005</v>
      </c>
    </row>
    <row r="155" spans="1:6" ht="15" customHeight="1" x14ac:dyDescent="0.3">
      <c r="A155" s="42" t="s">
        <v>262</v>
      </c>
      <c r="B155" s="43">
        <v>38671</v>
      </c>
      <c r="C155" s="42" t="s">
        <v>25</v>
      </c>
      <c r="D155" s="44">
        <v>13.3</v>
      </c>
      <c r="E155" s="44">
        <v>13.3</v>
      </c>
      <c r="F155">
        <v>2005</v>
      </c>
    </row>
    <row r="156" spans="1:6" ht="15" customHeight="1" x14ac:dyDescent="0.3">
      <c r="A156" s="42" t="s">
        <v>263</v>
      </c>
      <c r="B156" s="43">
        <v>38694</v>
      </c>
      <c r="C156" s="42" t="s">
        <v>25</v>
      </c>
      <c r="D156" s="44">
        <v>7.66</v>
      </c>
      <c r="E156" s="44">
        <v>7.69</v>
      </c>
      <c r="F156">
        <v>2005</v>
      </c>
    </row>
    <row r="157" spans="1:6" ht="15" customHeight="1" x14ac:dyDescent="0.3">
      <c r="A157" s="42" t="s">
        <v>264</v>
      </c>
      <c r="B157" s="43">
        <v>38783</v>
      </c>
      <c r="C157" s="42" t="s">
        <v>25</v>
      </c>
      <c r="D157" s="44">
        <v>2.29</v>
      </c>
      <c r="E157" s="44">
        <v>2.31</v>
      </c>
      <c r="F157">
        <v>2006</v>
      </c>
    </row>
    <row r="158" spans="1:6" ht="15" customHeight="1" x14ac:dyDescent="0.3">
      <c r="A158" s="42" t="s">
        <v>498</v>
      </c>
      <c r="B158" s="43">
        <v>38819</v>
      </c>
      <c r="C158" s="42" t="s">
        <v>25</v>
      </c>
      <c r="D158" s="44">
        <v>6.71</v>
      </c>
      <c r="E158" s="44">
        <v>5.63</v>
      </c>
      <c r="F158">
        <v>2006</v>
      </c>
    </row>
    <row r="159" spans="1:6" ht="15" customHeight="1" x14ac:dyDescent="0.3">
      <c r="A159" s="42" t="s">
        <v>265</v>
      </c>
      <c r="B159" s="43">
        <v>38839</v>
      </c>
      <c r="C159" s="42" t="s">
        <v>25</v>
      </c>
      <c r="D159" s="44">
        <v>9.76</v>
      </c>
      <c r="E159" s="44">
        <v>9.49</v>
      </c>
      <c r="F159">
        <v>2006</v>
      </c>
    </row>
    <row r="160" spans="1:6" ht="15" customHeight="1" x14ac:dyDescent="0.3">
      <c r="A160" s="42" t="s">
        <v>266</v>
      </c>
      <c r="B160" s="43">
        <v>38874</v>
      </c>
      <c r="C160" s="42" t="s">
        <v>25</v>
      </c>
      <c r="D160" s="44">
        <v>17.34</v>
      </c>
      <c r="E160" s="44">
        <v>13.21</v>
      </c>
      <c r="F160">
        <v>2006</v>
      </c>
    </row>
    <row r="161" spans="1:6" ht="15" customHeight="1" x14ac:dyDescent="0.3">
      <c r="A161" s="42" t="s">
        <v>268</v>
      </c>
      <c r="B161" s="43">
        <v>38904</v>
      </c>
      <c r="C161" s="42" t="s">
        <v>25</v>
      </c>
      <c r="D161" s="44">
        <v>19.88</v>
      </c>
      <c r="E161" s="44">
        <v>16.86</v>
      </c>
      <c r="F161">
        <v>2006</v>
      </c>
    </row>
    <row r="162" spans="1:6" ht="15" customHeight="1" x14ac:dyDescent="0.3">
      <c r="A162" s="42" t="s">
        <v>269</v>
      </c>
      <c r="B162" s="43">
        <v>38917</v>
      </c>
      <c r="C162" s="42" t="s">
        <v>25</v>
      </c>
      <c r="D162" s="44">
        <v>21.57</v>
      </c>
      <c r="E162" s="44">
        <v>18.39</v>
      </c>
      <c r="F162">
        <v>2006</v>
      </c>
    </row>
    <row r="163" spans="1:6" ht="15" customHeight="1" x14ac:dyDescent="0.3">
      <c r="A163" s="42" t="s">
        <v>270</v>
      </c>
      <c r="B163" s="43">
        <v>38933</v>
      </c>
      <c r="C163" s="42" t="s">
        <v>25</v>
      </c>
      <c r="D163" s="44">
        <v>21.72</v>
      </c>
      <c r="E163" s="44">
        <v>19.98</v>
      </c>
      <c r="F163">
        <v>2006</v>
      </c>
    </row>
    <row r="164" spans="1:6" ht="15" customHeight="1" x14ac:dyDescent="0.3">
      <c r="A164" s="42" t="s">
        <v>271</v>
      </c>
      <c r="B164" s="43">
        <v>38950</v>
      </c>
      <c r="C164" s="42" t="s">
        <v>25</v>
      </c>
      <c r="D164" s="44">
        <v>23.04</v>
      </c>
      <c r="E164" s="44">
        <v>21.96</v>
      </c>
      <c r="F164">
        <v>2006</v>
      </c>
    </row>
    <row r="165" spans="1:6" ht="15" customHeight="1" x14ac:dyDescent="0.3">
      <c r="A165" s="42" t="s">
        <v>272</v>
      </c>
      <c r="B165" s="43">
        <v>38958</v>
      </c>
      <c r="C165" s="42" t="s">
        <v>25</v>
      </c>
      <c r="D165" s="44">
        <v>22.01</v>
      </c>
      <c r="E165" s="44">
        <v>22.04</v>
      </c>
      <c r="F165">
        <v>2006</v>
      </c>
    </row>
    <row r="166" spans="1:6" ht="15" customHeight="1" x14ac:dyDescent="0.3">
      <c r="A166" s="42" t="s">
        <v>273</v>
      </c>
      <c r="B166" s="43">
        <v>39003</v>
      </c>
      <c r="C166" s="42" t="s">
        <v>25</v>
      </c>
      <c r="D166" s="44">
        <v>17.86</v>
      </c>
      <c r="E166" s="44">
        <v>17.809999999999999</v>
      </c>
      <c r="F166">
        <v>2006</v>
      </c>
    </row>
    <row r="167" spans="1:6" ht="15" customHeight="1" x14ac:dyDescent="0.3">
      <c r="A167" s="42" t="s">
        <v>274</v>
      </c>
      <c r="B167" s="43">
        <v>39028</v>
      </c>
      <c r="C167" s="42" t="s">
        <v>25</v>
      </c>
      <c r="D167" s="44">
        <v>13.18</v>
      </c>
      <c r="E167" s="44">
        <v>13.08</v>
      </c>
      <c r="F167">
        <v>2006</v>
      </c>
    </row>
    <row r="168" spans="1:6" ht="15" customHeight="1" x14ac:dyDescent="0.3">
      <c r="A168" s="42" t="s">
        <v>275</v>
      </c>
      <c r="B168" s="43">
        <v>39063</v>
      </c>
      <c r="C168" s="42" t="s">
        <v>25</v>
      </c>
      <c r="D168" s="44">
        <v>8.84</v>
      </c>
      <c r="E168" s="44">
        <v>8.9700000000000006</v>
      </c>
      <c r="F168">
        <v>2006</v>
      </c>
    </row>
    <row r="169" spans="1:6" ht="15" customHeight="1" x14ac:dyDescent="0.3">
      <c r="A169" s="42" t="s">
        <v>276</v>
      </c>
      <c r="B169" s="43">
        <v>39093</v>
      </c>
      <c r="C169" s="42" t="s">
        <v>25</v>
      </c>
      <c r="D169" s="44">
        <v>6.81</v>
      </c>
      <c r="E169" s="44">
        <v>7.13</v>
      </c>
      <c r="F169">
        <v>2007</v>
      </c>
    </row>
    <row r="170" spans="1:6" ht="15" customHeight="1" x14ac:dyDescent="0.3">
      <c r="A170" s="42" t="s">
        <v>277</v>
      </c>
      <c r="B170" s="43">
        <v>39114</v>
      </c>
      <c r="C170" s="42" t="s">
        <v>25</v>
      </c>
      <c r="D170" s="44">
        <v>4.04</v>
      </c>
      <c r="E170" s="44">
        <v>4.04</v>
      </c>
      <c r="F170">
        <v>2007</v>
      </c>
    </row>
    <row r="171" spans="1:6" ht="15" customHeight="1" x14ac:dyDescent="0.3">
      <c r="A171" s="42" t="s">
        <v>278</v>
      </c>
      <c r="B171" s="43">
        <v>39154</v>
      </c>
      <c r="C171" s="42" t="s">
        <v>25</v>
      </c>
      <c r="D171" s="44">
        <v>1.54</v>
      </c>
      <c r="E171" s="44">
        <v>1.2</v>
      </c>
      <c r="F171">
        <v>2007</v>
      </c>
    </row>
    <row r="172" spans="1:6" ht="15" customHeight="1" x14ac:dyDescent="0.3">
      <c r="A172" s="42" t="s">
        <v>280</v>
      </c>
      <c r="B172" s="43">
        <v>39174</v>
      </c>
      <c r="C172" s="42" t="s">
        <v>25</v>
      </c>
      <c r="D172" s="44">
        <v>4.2300000000000004</v>
      </c>
      <c r="E172" s="44">
        <v>3.89</v>
      </c>
      <c r="F172">
        <v>2007</v>
      </c>
    </row>
    <row r="173" spans="1:6" ht="15" customHeight="1" x14ac:dyDescent="0.3">
      <c r="A173" s="42" t="s">
        <v>281</v>
      </c>
      <c r="B173" s="43">
        <v>39209</v>
      </c>
      <c r="C173" s="42" t="s">
        <v>25</v>
      </c>
      <c r="D173" s="44">
        <v>10.32</v>
      </c>
      <c r="E173" s="44">
        <v>8.07</v>
      </c>
      <c r="F173">
        <v>2007</v>
      </c>
    </row>
    <row r="174" spans="1:6" ht="15" customHeight="1" x14ac:dyDescent="0.3">
      <c r="A174" s="42" t="s">
        <v>282</v>
      </c>
      <c r="B174" s="43">
        <v>39238</v>
      </c>
      <c r="C174" s="42" t="s">
        <v>25</v>
      </c>
      <c r="D174" s="44">
        <v>15.45</v>
      </c>
      <c r="E174" s="44">
        <v>14.16</v>
      </c>
      <c r="F174">
        <v>2007</v>
      </c>
    </row>
    <row r="175" spans="1:6" ht="15" customHeight="1" x14ac:dyDescent="0.3">
      <c r="A175" s="42" t="s">
        <v>284</v>
      </c>
      <c r="B175" s="43">
        <v>39272</v>
      </c>
      <c r="C175" s="42" t="s">
        <v>25</v>
      </c>
      <c r="D175" s="44">
        <v>20.85</v>
      </c>
      <c r="E175" s="44">
        <v>17.7</v>
      </c>
      <c r="F175">
        <v>2007</v>
      </c>
    </row>
    <row r="176" spans="1:6" ht="15" customHeight="1" x14ac:dyDescent="0.3">
      <c r="A176" s="42" t="s">
        <v>285</v>
      </c>
      <c r="B176" s="43">
        <v>39282</v>
      </c>
      <c r="C176" s="42" t="s">
        <v>25</v>
      </c>
      <c r="D176" s="46">
        <v>22.36</v>
      </c>
      <c r="E176" s="46">
        <v>19.73</v>
      </c>
      <c r="F176">
        <v>2007</v>
      </c>
    </row>
    <row r="177" spans="1:6" ht="15" customHeight="1" x14ac:dyDescent="0.3">
      <c r="A177" s="42" t="s">
        <v>286</v>
      </c>
      <c r="B177" s="43">
        <v>39293</v>
      </c>
      <c r="C177" s="42" t="s">
        <v>25</v>
      </c>
      <c r="D177" s="44">
        <v>24.38</v>
      </c>
      <c r="E177" s="44">
        <v>20.64</v>
      </c>
      <c r="F177">
        <v>2007</v>
      </c>
    </row>
    <row r="178" spans="1:6" ht="15" customHeight="1" x14ac:dyDescent="0.3">
      <c r="A178" s="42" t="s">
        <v>287</v>
      </c>
      <c r="B178" s="43">
        <v>39307</v>
      </c>
      <c r="C178" s="42" t="s">
        <v>25</v>
      </c>
      <c r="D178" s="44">
        <v>23.57</v>
      </c>
      <c r="E178" s="44">
        <v>22.52</v>
      </c>
      <c r="F178">
        <v>2007</v>
      </c>
    </row>
    <row r="179" spans="1:6" ht="15" customHeight="1" x14ac:dyDescent="0.3">
      <c r="A179" s="42" t="s">
        <v>288</v>
      </c>
      <c r="B179" s="43">
        <v>39324</v>
      </c>
      <c r="C179" s="42" t="s">
        <v>25</v>
      </c>
      <c r="D179" s="44">
        <v>23.91</v>
      </c>
      <c r="E179" s="44">
        <v>21.23</v>
      </c>
      <c r="F179">
        <v>2007</v>
      </c>
    </row>
    <row r="180" spans="1:6" ht="15" customHeight="1" x14ac:dyDescent="0.3">
      <c r="A180" s="42" t="s">
        <v>290</v>
      </c>
      <c r="B180" s="43">
        <v>39357</v>
      </c>
      <c r="C180" s="42" t="s">
        <v>25</v>
      </c>
      <c r="D180" s="44">
        <v>20.81</v>
      </c>
      <c r="E180" s="44">
        <v>20.67</v>
      </c>
      <c r="F180">
        <v>2007</v>
      </c>
    </row>
    <row r="181" spans="1:6" ht="15" customHeight="1" x14ac:dyDescent="0.3">
      <c r="A181" s="42" t="s">
        <v>291</v>
      </c>
      <c r="B181" s="43">
        <v>39394</v>
      </c>
      <c r="C181" s="42" t="s">
        <v>25</v>
      </c>
      <c r="D181" s="44">
        <v>14.45</v>
      </c>
      <c r="E181" s="44">
        <v>14.36</v>
      </c>
      <c r="F181">
        <v>2007</v>
      </c>
    </row>
    <row r="182" spans="1:6" ht="15" customHeight="1" x14ac:dyDescent="0.3">
      <c r="A182" s="42" t="s">
        <v>292</v>
      </c>
      <c r="B182" s="43">
        <v>39421</v>
      </c>
      <c r="C182" s="42" t="s">
        <v>25</v>
      </c>
      <c r="D182" s="44">
        <v>8.57</v>
      </c>
      <c r="E182" s="44">
        <v>8.59</v>
      </c>
      <c r="F182">
        <v>2007</v>
      </c>
    </row>
    <row r="183" spans="1:6" ht="15" customHeight="1" x14ac:dyDescent="0.3">
      <c r="A183" s="42" t="s">
        <v>293</v>
      </c>
      <c r="B183" s="43">
        <v>39454</v>
      </c>
      <c r="C183" s="42" t="s">
        <v>25</v>
      </c>
      <c r="D183" s="44">
        <v>4.92</v>
      </c>
      <c r="E183" s="44">
        <v>5.21</v>
      </c>
      <c r="F183">
        <v>2008</v>
      </c>
    </row>
    <row r="184" spans="1:6" ht="15" customHeight="1" x14ac:dyDescent="0.3">
      <c r="A184" s="42" t="s">
        <v>294</v>
      </c>
      <c r="B184" s="43">
        <v>39482</v>
      </c>
      <c r="C184" s="42" t="s">
        <v>25</v>
      </c>
      <c r="D184" s="44">
        <v>3.15</v>
      </c>
      <c r="E184" s="44">
        <v>3.14</v>
      </c>
      <c r="F184">
        <v>2008</v>
      </c>
    </row>
    <row r="185" spans="1:6" ht="15" customHeight="1" x14ac:dyDescent="0.3">
      <c r="A185" s="42" t="s">
        <v>296</v>
      </c>
      <c r="B185" s="43">
        <v>39513</v>
      </c>
      <c r="C185" s="42" t="s">
        <v>25</v>
      </c>
      <c r="D185" s="44">
        <v>3.23</v>
      </c>
      <c r="E185" s="46">
        <v>3.06</v>
      </c>
      <c r="F185">
        <v>2008</v>
      </c>
    </row>
    <row r="186" spans="1:6" ht="15" customHeight="1" x14ac:dyDescent="0.3">
      <c r="A186" s="42" t="s">
        <v>298</v>
      </c>
      <c r="B186" s="43">
        <v>39541</v>
      </c>
      <c r="C186" s="42" t="s">
        <v>25</v>
      </c>
      <c r="D186" s="44">
        <v>5.45</v>
      </c>
      <c r="E186" s="44">
        <v>4.59</v>
      </c>
      <c r="F186">
        <v>2008</v>
      </c>
    </row>
    <row r="187" spans="1:6" ht="15" customHeight="1" x14ac:dyDescent="0.3">
      <c r="A187" s="42" t="s">
        <v>299</v>
      </c>
      <c r="B187" s="43">
        <v>39574</v>
      </c>
      <c r="C187" s="42" t="s">
        <v>25</v>
      </c>
      <c r="D187" s="44">
        <v>10.19</v>
      </c>
      <c r="E187" s="44">
        <v>9.48</v>
      </c>
      <c r="F187">
        <v>2008</v>
      </c>
    </row>
    <row r="188" spans="1:6" ht="15" customHeight="1" x14ac:dyDescent="0.3">
      <c r="A188" s="42" t="s">
        <v>300</v>
      </c>
      <c r="B188" s="43">
        <v>39601</v>
      </c>
      <c r="C188" s="42" t="s">
        <v>25</v>
      </c>
      <c r="D188" s="44">
        <v>15.05</v>
      </c>
      <c r="E188" s="44">
        <v>11.93</v>
      </c>
      <c r="F188">
        <v>2008</v>
      </c>
    </row>
    <row r="189" spans="1:6" ht="15" customHeight="1" x14ac:dyDescent="0.3">
      <c r="A189" s="42" t="s">
        <v>302</v>
      </c>
      <c r="B189" s="43">
        <v>39636</v>
      </c>
      <c r="C189" s="42" t="s">
        <v>25</v>
      </c>
      <c r="D189" s="44">
        <v>22.24</v>
      </c>
      <c r="E189" s="44">
        <v>18.78</v>
      </c>
      <c r="F189">
        <v>2008</v>
      </c>
    </row>
    <row r="190" spans="1:6" ht="15" customHeight="1" x14ac:dyDescent="0.3">
      <c r="A190" s="42" t="s">
        <v>303</v>
      </c>
      <c r="B190" s="43">
        <v>39650</v>
      </c>
      <c r="C190" s="42" t="s">
        <v>25</v>
      </c>
      <c r="D190" s="44">
        <v>23.4</v>
      </c>
      <c r="E190" s="44">
        <v>18.510000000000002</v>
      </c>
      <c r="F190">
        <v>2008</v>
      </c>
    </row>
    <row r="191" spans="1:6" ht="15" customHeight="1" x14ac:dyDescent="0.3">
      <c r="A191" s="42" t="s">
        <v>304</v>
      </c>
      <c r="B191" s="43">
        <v>39667</v>
      </c>
      <c r="C191" s="42" t="s">
        <v>25</v>
      </c>
      <c r="D191" s="44">
        <v>23.03</v>
      </c>
      <c r="E191" s="44">
        <v>22.99</v>
      </c>
      <c r="F191">
        <v>2008</v>
      </c>
    </row>
    <row r="192" spans="1:6" ht="15" customHeight="1" x14ac:dyDescent="0.3">
      <c r="A192" s="42" t="s">
        <v>305</v>
      </c>
      <c r="B192" s="43">
        <v>39682</v>
      </c>
      <c r="C192" s="42" t="s">
        <v>25</v>
      </c>
      <c r="D192" s="45"/>
      <c r="E192" s="45"/>
      <c r="F192">
        <v>2008</v>
      </c>
    </row>
    <row r="193" spans="1:6" ht="15" customHeight="1" x14ac:dyDescent="0.3">
      <c r="A193" s="42" t="s">
        <v>306</v>
      </c>
      <c r="B193" s="43">
        <v>39696</v>
      </c>
      <c r="C193" s="42" t="s">
        <v>25</v>
      </c>
      <c r="D193" s="44">
        <v>23.78</v>
      </c>
      <c r="E193" s="44">
        <v>21.49</v>
      </c>
      <c r="F193">
        <v>2008</v>
      </c>
    </row>
    <row r="194" spans="1:6" ht="15" customHeight="1" x14ac:dyDescent="0.3">
      <c r="A194" s="42" t="s">
        <v>308</v>
      </c>
      <c r="B194" s="43">
        <v>39727</v>
      </c>
      <c r="C194" s="42" t="s">
        <v>25</v>
      </c>
      <c r="D194" s="44">
        <v>19</v>
      </c>
      <c r="E194" s="44">
        <v>18.98</v>
      </c>
      <c r="F194">
        <v>2008</v>
      </c>
    </row>
    <row r="195" spans="1:6" ht="15" customHeight="1" x14ac:dyDescent="0.3">
      <c r="A195" s="42" t="s">
        <v>309</v>
      </c>
      <c r="B195" s="43">
        <v>39757</v>
      </c>
      <c r="C195" s="42" t="s">
        <v>25</v>
      </c>
      <c r="D195" s="44">
        <v>14.1</v>
      </c>
      <c r="E195" s="44">
        <v>14.15</v>
      </c>
      <c r="F195">
        <v>2008</v>
      </c>
    </row>
    <row r="196" spans="1:6" ht="15" customHeight="1" x14ac:dyDescent="0.3">
      <c r="A196" s="42" t="s">
        <v>310</v>
      </c>
      <c r="B196" s="43">
        <v>39798</v>
      </c>
      <c r="C196" s="42" t="s">
        <v>25</v>
      </c>
      <c r="D196" s="44">
        <v>6.84</v>
      </c>
      <c r="E196" s="44">
        <v>7.54</v>
      </c>
      <c r="F196">
        <v>2008</v>
      </c>
    </row>
    <row r="197" spans="1:6" ht="15" customHeight="1" x14ac:dyDescent="0.3">
      <c r="A197" s="42" t="s">
        <v>311</v>
      </c>
      <c r="B197" s="43">
        <v>39826</v>
      </c>
      <c r="C197" s="42" t="s">
        <v>25</v>
      </c>
      <c r="D197" s="44">
        <v>3.1</v>
      </c>
      <c r="E197" s="44">
        <v>3.09</v>
      </c>
      <c r="F197">
        <v>2009</v>
      </c>
    </row>
    <row r="198" spans="1:6" ht="15" customHeight="1" x14ac:dyDescent="0.3">
      <c r="A198" s="42" t="s">
        <v>312</v>
      </c>
      <c r="B198" s="43">
        <v>39846</v>
      </c>
      <c r="C198" s="42" t="s">
        <v>25</v>
      </c>
      <c r="D198" s="44">
        <v>1.44</v>
      </c>
      <c r="E198" s="44">
        <v>1.44</v>
      </c>
      <c r="F198">
        <v>2009</v>
      </c>
    </row>
    <row r="199" spans="1:6" ht="15" customHeight="1" x14ac:dyDescent="0.3">
      <c r="A199" s="42" t="s">
        <v>314</v>
      </c>
      <c r="B199" s="43">
        <v>39876</v>
      </c>
      <c r="C199" s="42" t="s">
        <v>25</v>
      </c>
      <c r="D199" s="44">
        <v>1.35</v>
      </c>
      <c r="E199" s="44">
        <v>1.38</v>
      </c>
      <c r="F199">
        <v>2009</v>
      </c>
    </row>
    <row r="200" spans="1:6" ht="15" customHeight="1" x14ac:dyDescent="0.3">
      <c r="A200" s="42" t="s">
        <v>316</v>
      </c>
      <c r="B200" s="43">
        <v>39903</v>
      </c>
      <c r="C200" s="42" t="s">
        <v>25</v>
      </c>
      <c r="D200" s="46">
        <v>4.91</v>
      </c>
      <c r="E200" s="44">
        <v>4.43</v>
      </c>
      <c r="F200">
        <v>2009</v>
      </c>
    </row>
    <row r="201" spans="1:6" ht="15" customHeight="1" x14ac:dyDescent="0.3">
      <c r="A201" s="42" t="s">
        <v>317</v>
      </c>
      <c r="B201" s="43">
        <v>39932</v>
      </c>
      <c r="C201" s="42" t="s">
        <v>25</v>
      </c>
      <c r="D201" s="44">
        <v>8.93</v>
      </c>
      <c r="E201" s="46">
        <v>8.5500000000000007</v>
      </c>
      <c r="F201">
        <v>2009</v>
      </c>
    </row>
    <row r="202" spans="1:6" ht="15" customHeight="1" x14ac:dyDescent="0.3">
      <c r="A202" s="42" t="s">
        <v>318</v>
      </c>
      <c r="B202" s="43">
        <v>39968</v>
      </c>
      <c r="C202" s="42" t="s">
        <v>25</v>
      </c>
      <c r="D202" s="46">
        <v>15.61</v>
      </c>
      <c r="E202" s="44">
        <v>12.28</v>
      </c>
      <c r="F202">
        <v>2009</v>
      </c>
    </row>
    <row r="203" spans="1:6" ht="15" customHeight="1" x14ac:dyDescent="0.3">
      <c r="A203" s="42" t="s">
        <v>320</v>
      </c>
      <c r="B203" s="43">
        <v>40001</v>
      </c>
      <c r="C203" s="42" t="s">
        <v>25</v>
      </c>
      <c r="D203" s="44">
        <v>21.26</v>
      </c>
      <c r="E203" s="44">
        <v>15.87</v>
      </c>
      <c r="F203">
        <v>2009</v>
      </c>
    </row>
    <row r="204" spans="1:6" ht="15" customHeight="1" x14ac:dyDescent="0.3">
      <c r="A204" s="42" t="s">
        <v>321</v>
      </c>
      <c r="B204" s="43">
        <v>40014</v>
      </c>
      <c r="C204" s="42" t="s">
        <v>25</v>
      </c>
      <c r="D204" s="44">
        <v>20.39</v>
      </c>
      <c r="E204" s="46">
        <v>17.100000000000001</v>
      </c>
      <c r="F204">
        <v>2009</v>
      </c>
    </row>
    <row r="205" spans="1:6" ht="15" customHeight="1" x14ac:dyDescent="0.3">
      <c r="A205" s="42" t="s">
        <v>322</v>
      </c>
      <c r="B205" s="43">
        <v>40028</v>
      </c>
      <c r="C205" s="42" t="s">
        <v>25</v>
      </c>
      <c r="D205" s="44">
        <v>23.48</v>
      </c>
      <c r="E205" s="44">
        <v>19.510000000000002</v>
      </c>
      <c r="F205">
        <v>2009</v>
      </c>
    </row>
    <row r="206" spans="1:6" ht="15" customHeight="1" x14ac:dyDescent="0.3">
      <c r="A206" s="42" t="s">
        <v>323</v>
      </c>
      <c r="B206" s="43">
        <v>40044</v>
      </c>
      <c r="C206" s="42" t="s">
        <v>25</v>
      </c>
      <c r="D206" s="44">
        <v>21.91</v>
      </c>
      <c r="E206" s="44">
        <v>20.02</v>
      </c>
      <c r="F206">
        <v>2009</v>
      </c>
    </row>
    <row r="207" spans="1:6" ht="15" customHeight="1" x14ac:dyDescent="0.3">
      <c r="A207" s="42" t="s">
        <v>324</v>
      </c>
      <c r="B207" s="43">
        <v>40058</v>
      </c>
      <c r="C207" s="42" t="s">
        <v>25</v>
      </c>
      <c r="D207" s="44">
        <v>22.67</v>
      </c>
      <c r="E207" s="44">
        <v>21.57</v>
      </c>
      <c r="F207">
        <v>2009</v>
      </c>
    </row>
    <row r="208" spans="1:6" ht="15" customHeight="1" x14ac:dyDescent="0.3">
      <c r="A208" s="42" t="s">
        <v>325</v>
      </c>
      <c r="B208" s="43">
        <v>40091</v>
      </c>
      <c r="C208" s="42" t="s">
        <v>25</v>
      </c>
      <c r="D208" s="44">
        <v>19.02</v>
      </c>
      <c r="E208" s="44">
        <v>19.2</v>
      </c>
      <c r="F208">
        <v>2009</v>
      </c>
    </row>
    <row r="209" spans="1:6" ht="15" customHeight="1" x14ac:dyDescent="0.3">
      <c r="A209" s="42" t="s">
        <v>326</v>
      </c>
      <c r="B209" s="43">
        <v>40120</v>
      </c>
      <c r="C209" s="42" t="s">
        <v>25</v>
      </c>
      <c r="D209" s="44">
        <v>13.9</v>
      </c>
      <c r="E209" s="44">
        <v>13.92</v>
      </c>
      <c r="F209">
        <v>2009</v>
      </c>
    </row>
    <row r="210" spans="1:6" ht="15" customHeight="1" x14ac:dyDescent="0.3">
      <c r="A210" s="42" t="s">
        <v>327</v>
      </c>
      <c r="B210" s="43">
        <v>40148</v>
      </c>
      <c r="C210" s="42" t="s">
        <v>25</v>
      </c>
      <c r="D210" s="44">
        <v>11.37</v>
      </c>
      <c r="E210" s="44">
        <v>11.37</v>
      </c>
      <c r="F210">
        <v>2009</v>
      </c>
    </row>
    <row r="211" spans="1:6" ht="15" customHeight="1" x14ac:dyDescent="0.3">
      <c r="A211" s="42" t="s">
        <v>328</v>
      </c>
      <c r="B211" s="43">
        <v>40183</v>
      </c>
      <c r="C211" s="42" t="s">
        <v>25</v>
      </c>
      <c r="D211" s="44">
        <v>3.53</v>
      </c>
      <c r="E211" s="44">
        <v>3.64</v>
      </c>
      <c r="F211">
        <v>2010</v>
      </c>
    </row>
    <row r="212" spans="1:6" ht="15" customHeight="1" x14ac:dyDescent="0.3">
      <c r="A212" s="42" t="s">
        <v>329</v>
      </c>
      <c r="B212" s="43">
        <v>40214</v>
      </c>
      <c r="C212" s="42" t="s">
        <v>25</v>
      </c>
      <c r="D212" s="44">
        <v>1.9</v>
      </c>
      <c r="E212" s="44">
        <v>1.91</v>
      </c>
      <c r="F212">
        <v>2010</v>
      </c>
    </row>
    <row r="213" spans="1:6" ht="15" customHeight="1" x14ac:dyDescent="0.3">
      <c r="A213" s="42" t="s">
        <v>330</v>
      </c>
      <c r="B213" s="43">
        <v>40245</v>
      </c>
      <c r="C213" s="42" t="s">
        <v>25</v>
      </c>
      <c r="D213" s="44">
        <v>2.76</v>
      </c>
      <c r="E213" s="44">
        <v>2.48</v>
      </c>
      <c r="F213">
        <v>2010</v>
      </c>
    </row>
    <row r="214" spans="1:6" ht="15" customHeight="1" x14ac:dyDescent="0.3">
      <c r="A214" s="42" t="s">
        <v>332</v>
      </c>
      <c r="B214" s="43">
        <v>40269</v>
      </c>
      <c r="C214" s="42" t="s">
        <v>25</v>
      </c>
      <c r="D214" s="44">
        <v>5.46</v>
      </c>
      <c r="E214" s="44">
        <v>5.1100000000000003</v>
      </c>
      <c r="F214">
        <v>2010</v>
      </c>
    </row>
    <row r="215" spans="1:6" ht="15" customHeight="1" x14ac:dyDescent="0.3">
      <c r="A215" s="42" t="s">
        <v>333</v>
      </c>
      <c r="B215" s="43">
        <v>40301</v>
      </c>
      <c r="C215" s="42" t="s">
        <v>25</v>
      </c>
      <c r="D215" s="44">
        <v>11.95</v>
      </c>
      <c r="E215" s="44">
        <v>8.33</v>
      </c>
      <c r="F215">
        <v>2010</v>
      </c>
    </row>
    <row r="216" spans="1:6" ht="15" customHeight="1" x14ac:dyDescent="0.3">
      <c r="A216" s="42" t="s">
        <v>334</v>
      </c>
      <c r="B216" s="43">
        <v>40332</v>
      </c>
      <c r="C216" s="42" t="s">
        <v>25</v>
      </c>
      <c r="D216" s="44">
        <v>18.11</v>
      </c>
      <c r="E216" s="44">
        <v>11.53</v>
      </c>
      <c r="F216">
        <v>2010</v>
      </c>
    </row>
    <row r="217" spans="1:6" ht="15" customHeight="1" x14ac:dyDescent="0.3">
      <c r="A217" s="42" t="s">
        <v>336</v>
      </c>
      <c r="B217" s="43">
        <v>40368</v>
      </c>
      <c r="C217" s="42" t="s">
        <v>25</v>
      </c>
      <c r="D217" s="44">
        <v>25.16</v>
      </c>
      <c r="E217" s="44">
        <v>17.600000000000001</v>
      </c>
      <c r="F217">
        <v>2010</v>
      </c>
    </row>
    <row r="218" spans="1:6" ht="15" customHeight="1" x14ac:dyDescent="0.3">
      <c r="A218" s="42" t="s">
        <v>337</v>
      </c>
      <c r="B218" s="43">
        <v>40380</v>
      </c>
      <c r="C218" s="42" t="s">
        <v>25</v>
      </c>
      <c r="D218" s="44">
        <v>24.5</v>
      </c>
      <c r="E218" s="44">
        <v>20.059999999999999</v>
      </c>
      <c r="F218">
        <v>2010</v>
      </c>
    </row>
    <row r="219" spans="1:6" ht="15" customHeight="1" x14ac:dyDescent="0.3">
      <c r="A219" s="42" t="s">
        <v>338</v>
      </c>
      <c r="B219" s="43">
        <v>40394</v>
      </c>
      <c r="C219" s="42" t="s">
        <v>25</v>
      </c>
      <c r="D219" s="44">
        <v>23.95</v>
      </c>
      <c r="E219" s="44">
        <v>21.44</v>
      </c>
      <c r="F219">
        <v>2010</v>
      </c>
    </row>
    <row r="220" spans="1:6" ht="15" customHeight="1" x14ac:dyDescent="0.3">
      <c r="A220" s="42" t="s">
        <v>339</v>
      </c>
      <c r="B220" s="43">
        <v>40409</v>
      </c>
      <c r="C220" s="42" t="s">
        <v>25</v>
      </c>
      <c r="D220" s="44">
        <v>24.04</v>
      </c>
      <c r="E220" s="44">
        <v>23.55</v>
      </c>
      <c r="F220">
        <v>2010</v>
      </c>
    </row>
    <row r="221" spans="1:6" ht="15" customHeight="1" x14ac:dyDescent="0.3">
      <c r="A221" s="42" t="s">
        <v>340</v>
      </c>
      <c r="B221" s="43">
        <v>40422</v>
      </c>
      <c r="C221" s="42" t="s">
        <v>25</v>
      </c>
      <c r="D221" s="44">
        <v>23.58</v>
      </c>
      <c r="E221" s="44">
        <v>22.08</v>
      </c>
      <c r="F221">
        <v>2010</v>
      </c>
    </row>
    <row r="222" spans="1:6" ht="15" customHeight="1" x14ac:dyDescent="0.3">
      <c r="A222" s="42" t="s">
        <v>341</v>
      </c>
      <c r="B222" s="43">
        <v>40457</v>
      </c>
      <c r="C222" s="42" t="s">
        <v>25</v>
      </c>
      <c r="D222" s="44">
        <v>19.45</v>
      </c>
      <c r="E222" s="44">
        <v>19.46</v>
      </c>
      <c r="F222">
        <v>2010</v>
      </c>
    </row>
    <row r="223" spans="1:6" ht="15" customHeight="1" x14ac:dyDescent="0.3">
      <c r="A223" s="42" t="s">
        <v>342</v>
      </c>
      <c r="B223" s="43">
        <v>40485</v>
      </c>
      <c r="C223" s="42" t="s">
        <v>25</v>
      </c>
      <c r="D223" s="44">
        <v>14.34</v>
      </c>
      <c r="E223" s="44">
        <v>14.36</v>
      </c>
      <c r="F223">
        <v>2010</v>
      </c>
    </row>
    <row r="224" spans="1:6" ht="15" customHeight="1" x14ac:dyDescent="0.3">
      <c r="A224" s="42" t="s">
        <v>343</v>
      </c>
      <c r="B224" s="43">
        <v>40511</v>
      </c>
      <c r="C224" s="42" t="s">
        <v>25</v>
      </c>
      <c r="D224" s="44">
        <v>10.33</v>
      </c>
      <c r="E224" s="44">
        <v>10.33</v>
      </c>
      <c r="F224">
        <v>2010</v>
      </c>
    </row>
    <row r="225" spans="1:6" ht="15" customHeight="1" x14ac:dyDescent="0.3">
      <c r="A225" s="42" t="s">
        <v>344</v>
      </c>
      <c r="B225" s="43">
        <v>40549</v>
      </c>
      <c r="C225" s="42" t="s">
        <v>25</v>
      </c>
      <c r="D225" s="44">
        <v>3.06</v>
      </c>
      <c r="E225" s="44">
        <v>3.35</v>
      </c>
      <c r="F225">
        <v>2011</v>
      </c>
    </row>
    <row r="226" spans="1:6" ht="15" customHeight="1" x14ac:dyDescent="0.3">
      <c r="A226" s="42" t="s">
        <v>345</v>
      </c>
      <c r="B226" s="43">
        <v>40574</v>
      </c>
      <c r="C226" s="42" t="s">
        <v>25</v>
      </c>
      <c r="D226" s="44">
        <v>0.73</v>
      </c>
      <c r="E226" s="44">
        <v>0.98</v>
      </c>
      <c r="F226">
        <v>2011</v>
      </c>
    </row>
    <row r="227" spans="1:6" ht="15" customHeight="1" x14ac:dyDescent="0.3">
      <c r="A227" s="42" t="s">
        <v>347</v>
      </c>
      <c r="B227" s="43">
        <v>40616</v>
      </c>
      <c r="C227" s="42" t="s">
        <v>25</v>
      </c>
      <c r="D227" s="44">
        <v>3.19</v>
      </c>
      <c r="E227" s="44">
        <v>2.38</v>
      </c>
      <c r="F227">
        <v>2011</v>
      </c>
    </row>
    <row r="228" spans="1:6" ht="15" customHeight="1" x14ac:dyDescent="0.3">
      <c r="A228" s="42" t="s">
        <v>348</v>
      </c>
      <c r="B228" s="43">
        <v>40645</v>
      </c>
      <c r="C228" s="42" t="s">
        <v>25</v>
      </c>
      <c r="D228" s="46">
        <v>6.25</v>
      </c>
      <c r="E228" s="44">
        <v>5.04</v>
      </c>
      <c r="F228">
        <v>2011</v>
      </c>
    </row>
    <row r="229" spans="1:6" ht="15" customHeight="1" x14ac:dyDescent="0.3">
      <c r="A229" s="42" t="s">
        <v>349</v>
      </c>
      <c r="B229" s="43">
        <v>40667</v>
      </c>
      <c r="C229" s="42" t="s">
        <v>25</v>
      </c>
      <c r="D229" s="44">
        <v>9.59</v>
      </c>
      <c r="E229" s="44">
        <v>9.32</v>
      </c>
      <c r="F229">
        <v>2011</v>
      </c>
    </row>
    <row r="230" spans="1:6" ht="15" customHeight="1" x14ac:dyDescent="0.3">
      <c r="A230" s="42" t="s">
        <v>350</v>
      </c>
      <c r="B230" s="43">
        <v>40700</v>
      </c>
      <c r="C230" s="42" t="s">
        <v>25</v>
      </c>
      <c r="D230" s="45"/>
      <c r="E230" s="45"/>
      <c r="F230">
        <v>2011</v>
      </c>
    </row>
    <row r="231" spans="1:6" ht="15" customHeight="1" x14ac:dyDescent="0.3">
      <c r="A231" s="42" t="s">
        <v>352</v>
      </c>
      <c r="B231" s="43">
        <v>40731</v>
      </c>
      <c r="C231" s="42" t="s">
        <v>25</v>
      </c>
      <c r="D231" s="44">
        <v>23.82</v>
      </c>
      <c r="E231" s="44">
        <v>17.96</v>
      </c>
      <c r="F231">
        <v>2011</v>
      </c>
    </row>
    <row r="232" spans="1:6" ht="15" customHeight="1" x14ac:dyDescent="0.3">
      <c r="A232" s="42" t="s">
        <v>353</v>
      </c>
      <c r="B232" s="43">
        <v>40744</v>
      </c>
      <c r="C232" s="42" t="s">
        <v>25</v>
      </c>
      <c r="D232" s="44">
        <v>21.59</v>
      </c>
      <c r="E232" s="45"/>
      <c r="F232">
        <v>2011</v>
      </c>
    </row>
    <row r="233" spans="1:6" ht="15" customHeight="1" x14ac:dyDescent="0.3">
      <c r="A233" s="42" t="s">
        <v>354</v>
      </c>
      <c r="B233" s="43">
        <v>40757</v>
      </c>
      <c r="C233" s="42" t="s">
        <v>25</v>
      </c>
      <c r="D233" s="44">
        <v>22.46</v>
      </c>
      <c r="E233" s="44">
        <v>20.5</v>
      </c>
      <c r="F233">
        <v>2011</v>
      </c>
    </row>
    <row r="234" spans="1:6" ht="15" customHeight="1" x14ac:dyDescent="0.3">
      <c r="A234" s="42" t="s">
        <v>355</v>
      </c>
      <c r="B234" s="43">
        <v>40772</v>
      </c>
      <c r="C234" s="42" t="s">
        <v>25</v>
      </c>
      <c r="D234" s="44">
        <v>22.64</v>
      </c>
      <c r="E234" s="44">
        <v>22.29</v>
      </c>
      <c r="F234">
        <v>2011</v>
      </c>
    </row>
    <row r="235" spans="1:6" ht="15" customHeight="1" x14ac:dyDescent="0.3">
      <c r="A235" s="42" t="s">
        <v>356</v>
      </c>
      <c r="B235" s="43">
        <v>40787</v>
      </c>
      <c r="C235" s="42" t="s">
        <v>25</v>
      </c>
      <c r="D235" s="44">
        <v>22.76</v>
      </c>
      <c r="E235" s="44">
        <v>22.18</v>
      </c>
      <c r="F235">
        <v>2011</v>
      </c>
    </row>
    <row r="236" spans="1:6" ht="15" customHeight="1" x14ac:dyDescent="0.3">
      <c r="A236" s="42" t="s">
        <v>357</v>
      </c>
      <c r="B236" s="43">
        <v>40820</v>
      </c>
      <c r="C236" s="42" t="s">
        <v>25</v>
      </c>
      <c r="D236" s="44">
        <v>20.309999999999999</v>
      </c>
      <c r="E236" s="44">
        <v>20.47</v>
      </c>
      <c r="F236">
        <v>2011</v>
      </c>
    </row>
    <row r="237" spans="1:6" ht="15" customHeight="1" x14ac:dyDescent="0.3">
      <c r="A237" s="42" t="s">
        <v>358</v>
      </c>
      <c r="B237" s="43">
        <v>40855</v>
      </c>
      <c r="C237" s="42" t="s">
        <v>25</v>
      </c>
      <c r="D237" s="44">
        <v>14.49</v>
      </c>
      <c r="E237" s="44">
        <v>14.7</v>
      </c>
      <c r="F237">
        <v>2011</v>
      </c>
    </row>
    <row r="238" spans="1:6" ht="15" customHeight="1" x14ac:dyDescent="0.3">
      <c r="A238" s="42" t="s">
        <v>359</v>
      </c>
      <c r="B238" s="43">
        <v>40875</v>
      </c>
      <c r="C238" s="42" t="s">
        <v>25</v>
      </c>
      <c r="D238" s="44">
        <v>12</v>
      </c>
      <c r="E238" s="44">
        <v>12.25</v>
      </c>
      <c r="F238">
        <v>2011</v>
      </c>
    </row>
    <row r="239" spans="1:6" ht="15" customHeight="1" x14ac:dyDescent="0.3">
      <c r="A239" s="42" t="s">
        <v>360</v>
      </c>
      <c r="B239" s="43">
        <v>40919</v>
      </c>
      <c r="C239" s="42" t="s">
        <v>25</v>
      </c>
      <c r="D239" s="44">
        <v>6.75</v>
      </c>
      <c r="E239" s="44">
        <v>6.74</v>
      </c>
      <c r="F239">
        <v>2012</v>
      </c>
    </row>
    <row r="240" spans="1:6" ht="15" customHeight="1" x14ac:dyDescent="0.3">
      <c r="A240" s="42" t="s">
        <v>361</v>
      </c>
      <c r="B240" s="43">
        <v>40940</v>
      </c>
      <c r="C240" s="42" t="s">
        <v>25</v>
      </c>
      <c r="D240" s="46">
        <v>4.9800000000000004</v>
      </c>
      <c r="E240" s="44">
        <v>4.9000000000000004</v>
      </c>
      <c r="F240">
        <v>2012</v>
      </c>
    </row>
    <row r="241" spans="1:6" ht="15" customHeight="1" x14ac:dyDescent="0.3">
      <c r="A241" s="42" t="s">
        <v>363</v>
      </c>
      <c r="B241" s="43">
        <v>40970</v>
      </c>
      <c r="C241" s="42" t="s">
        <v>25</v>
      </c>
      <c r="D241" s="44">
        <v>4.67</v>
      </c>
      <c r="E241" s="44">
        <v>4.63</v>
      </c>
      <c r="F241">
        <v>2012</v>
      </c>
    </row>
    <row r="242" spans="1:6" ht="15" customHeight="1" x14ac:dyDescent="0.3">
      <c r="A242" s="42" t="s">
        <v>365</v>
      </c>
      <c r="B242" s="43">
        <v>41002</v>
      </c>
      <c r="C242" s="42" t="s">
        <v>25</v>
      </c>
      <c r="D242" s="44">
        <v>7.81</v>
      </c>
      <c r="E242" s="44">
        <v>7.74</v>
      </c>
      <c r="F242">
        <v>2012</v>
      </c>
    </row>
    <row r="243" spans="1:6" ht="15" customHeight="1" x14ac:dyDescent="0.3">
      <c r="A243" s="42" t="s">
        <v>366</v>
      </c>
      <c r="B243" s="43">
        <v>41030</v>
      </c>
      <c r="C243" s="42" t="s">
        <v>25</v>
      </c>
      <c r="D243" s="44">
        <v>10.49</v>
      </c>
      <c r="E243" s="44">
        <v>10.3</v>
      </c>
      <c r="F243">
        <v>2012</v>
      </c>
    </row>
    <row r="244" spans="1:6" ht="15" customHeight="1" x14ac:dyDescent="0.3">
      <c r="A244" s="42" t="s">
        <v>367</v>
      </c>
      <c r="B244" s="43">
        <v>41058</v>
      </c>
      <c r="C244" s="42" t="s">
        <v>25</v>
      </c>
      <c r="D244" s="44">
        <v>17.940000000000001</v>
      </c>
      <c r="E244" s="44">
        <v>16.239999999999998</v>
      </c>
      <c r="F244">
        <v>2012</v>
      </c>
    </row>
    <row r="245" spans="1:6" ht="15" customHeight="1" x14ac:dyDescent="0.3">
      <c r="A245" s="42" t="s">
        <v>369</v>
      </c>
      <c r="B245" s="43">
        <v>41086</v>
      </c>
      <c r="C245" s="42" t="s">
        <v>25</v>
      </c>
      <c r="D245" s="44">
        <v>18.29</v>
      </c>
      <c r="E245" s="44">
        <v>16.3</v>
      </c>
      <c r="F245">
        <v>2012</v>
      </c>
    </row>
    <row r="246" spans="1:6" ht="15" customHeight="1" x14ac:dyDescent="0.3">
      <c r="A246" s="42" t="s">
        <v>370</v>
      </c>
      <c r="B246" s="43">
        <v>41108</v>
      </c>
      <c r="C246" s="42" t="s">
        <v>25</v>
      </c>
      <c r="D246" s="44">
        <v>21.26</v>
      </c>
      <c r="E246" s="44">
        <v>19.809999999999999</v>
      </c>
      <c r="F246">
        <v>2012</v>
      </c>
    </row>
    <row r="247" spans="1:6" ht="15" customHeight="1" x14ac:dyDescent="0.3">
      <c r="A247" s="42" t="s">
        <v>371</v>
      </c>
      <c r="B247" s="43">
        <v>41121</v>
      </c>
      <c r="C247" s="42" t="s">
        <v>25</v>
      </c>
      <c r="D247" s="44">
        <v>23.22</v>
      </c>
      <c r="E247" s="44">
        <v>21.73</v>
      </c>
      <c r="F247">
        <v>2012</v>
      </c>
    </row>
    <row r="248" spans="1:6" ht="15" customHeight="1" x14ac:dyDescent="0.3">
      <c r="A248" s="42" t="s">
        <v>372</v>
      </c>
      <c r="B248" s="43">
        <v>41135</v>
      </c>
      <c r="C248" s="42" t="s">
        <v>25</v>
      </c>
      <c r="D248" s="44">
        <v>23.96</v>
      </c>
      <c r="E248" s="44">
        <v>21.96</v>
      </c>
      <c r="F248">
        <v>2012</v>
      </c>
    </row>
    <row r="249" spans="1:6" ht="15" customHeight="1" x14ac:dyDescent="0.3">
      <c r="A249" s="42" t="s">
        <v>373</v>
      </c>
      <c r="B249" s="43">
        <v>41151</v>
      </c>
      <c r="C249" s="42" t="s">
        <v>25</v>
      </c>
      <c r="D249" s="44">
        <v>24.33</v>
      </c>
      <c r="E249" s="44">
        <v>23.64</v>
      </c>
      <c r="F249">
        <v>2012</v>
      </c>
    </row>
    <row r="250" spans="1:6" ht="15" customHeight="1" x14ac:dyDescent="0.3">
      <c r="A250" s="42" t="s">
        <v>375</v>
      </c>
      <c r="B250" s="43">
        <v>41186</v>
      </c>
      <c r="C250" s="42" t="s">
        <v>25</v>
      </c>
      <c r="D250" s="44">
        <v>20.21</v>
      </c>
      <c r="E250" s="44">
        <v>20.38</v>
      </c>
      <c r="F250">
        <v>2012</v>
      </c>
    </row>
    <row r="251" spans="1:6" ht="15" customHeight="1" x14ac:dyDescent="0.3">
      <c r="A251" s="42" t="s">
        <v>376</v>
      </c>
      <c r="B251" s="43">
        <v>41226</v>
      </c>
      <c r="C251" s="42" t="s">
        <v>25</v>
      </c>
      <c r="D251" s="46">
        <v>13.1</v>
      </c>
      <c r="E251" s="46">
        <v>13.18</v>
      </c>
      <c r="F251">
        <v>2012</v>
      </c>
    </row>
    <row r="252" spans="1:6" ht="15" customHeight="1" x14ac:dyDescent="0.3">
      <c r="A252" s="42" t="s">
        <v>377</v>
      </c>
      <c r="B252" s="43">
        <v>41246</v>
      </c>
      <c r="C252" s="42" t="s">
        <v>25</v>
      </c>
      <c r="D252" s="44">
        <v>9</v>
      </c>
      <c r="E252" s="44">
        <v>8.94</v>
      </c>
      <c r="F252">
        <v>2012</v>
      </c>
    </row>
    <row r="253" spans="1:6" ht="15" customHeight="1" x14ac:dyDescent="0.3">
      <c r="A253" s="42" t="s">
        <v>378</v>
      </c>
      <c r="B253" s="43">
        <v>41285</v>
      </c>
      <c r="C253" s="42" t="s">
        <v>25</v>
      </c>
      <c r="D253" s="44">
        <v>5.05</v>
      </c>
      <c r="E253" s="44">
        <v>5.05</v>
      </c>
      <c r="F253">
        <v>2013</v>
      </c>
    </row>
    <row r="254" spans="1:6" ht="15" customHeight="1" x14ac:dyDescent="0.3">
      <c r="A254" s="42" t="s">
        <v>379</v>
      </c>
      <c r="B254" s="43">
        <v>41302</v>
      </c>
      <c r="C254" s="42" t="s">
        <v>25</v>
      </c>
      <c r="D254" s="44">
        <v>2.75</v>
      </c>
      <c r="E254" s="44">
        <v>2.77</v>
      </c>
      <c r="F254">
        <v>2013</v>
      </c>
    </row>
    <row r="255" spans="1:6" ht="15" customHeight="1" x14ac:dyDescent="0.3">
      <c r="A255" s="42" t="s">
        <v>381</v>
      </c>
      <c r="B255" s="43">
        <v>41338</v>
      </c>
      <c r="C255" s="42" t="s">
        <v>25</v>
      </c>
      <c r="D255" s="44">
        <v>2.94</v>
      </c>
      <c r="E255" s="44">
        <v>2.2799999999999998</v>
      </c>
      <c r="F255">
        <v>2013</v>
      </c>
    </row>
    <row r="256" spans="1:6" ht="15" customHeight="1" x14ac:dyDescent="0.3">
      <c r="A256" s="42" t="s">
        <v>382</v>
      </c>
      <c r="B256" s="43">
        <v>41365</v>
      </c>
      <c r="C256" s="42" t="s">
        <v>25</v>
      </c>
      <c r="D256" s="44">
        <v>5.62</v>
      </c>
      <c r="E256" s="44">
        <v>4.03</v>
      </c>
      <c r="F256">
        <v>2013</v>
      </c>
    </row>
    <row r="257" spans="1:6" ht="15" customHeight="1" x14ac:dyDescent="0.3">
      <c r="A257" s="42" t="s">
        <v>383</v>
      </c>
      <c r="B257" s="43">
        <v>41393</v>
      </c>
      <c r="C257" s="42" t="s">
        <v>25</v>
      </c>
      <c r="D257" s="44">
        <v>8.83</v>
      </c>
      <c r="E257" s="44">
        <v>8.82</v>
      </c>
      <c r="F257">
        <v>2013</v>
      </c>
    </row>
    <row r="258" spans="1:6" ht="15" customHeight="1" x14ac:dyDescent="0.3">
      <c r="A258" s="42" t="s">
        <v>384</v>
      </c>
      <c r="B258" s="43">
        <v>41428</v>
      </c>
      <c r="C258" s="42" t="s">
        <v>25</v>
      </c>
      <c r="D258" s="44">
        <v>18.71</v>
      </c>
      <c r="E258" s="44">
        <v>14.32</v>
      </c>
      <c r="F258">
        <v>2013</v>
      </c>
    </row>
    <row r="259" spans="1:6" ht="15" customHeight="1" x14ac:dyDescent="0.3">
      <c r="A259" s="42" t="s">
        <v>386</v>
      </c>
      <c r="B259" s="43">
        <v>41456</v>
      </c>
      <c r="C259" s="42" t="s">
        <v>25</v>
      </c>
      <c r="D259" s="44">
        <v>22.42</v>
      </c>
      <c r="E259" s="44">
        <v>17.649999999999999</v>
      </c>
      <c r="F259">
        <v>2013</v>
      </c>
    </row>
    <row r="260" spans="1:6" ht="15" customHeight="1" x14ac:dyDescent="0.3">
      <c r="A260" s="42" t="s">
        <v>387</v>
      </c>
      <c r="B260" s="43">
        <v>41472</v>
      </c>
      <c r="C260" s="42" t="s">
        <v>25</v>
      </c>
      <c r="D260" s="46">
        <v>24.84</v>
      </c>
      <c r="E260" s="46">
        <v>19.32</v>
      </c>
      <c r="F260">
        <v>2013</v>
      </c>
    </row>
    <row r="261" spans="1:6" ht="15" customHeight="1" x14ac:dyDescent="0.3">
      <c r="A261" s="42" t="s">
        <v>388</v>
      </c>
      <c r="B261" s="43">
        <v>41484</v>
      </c>
      <c r="C261" s="42" t="s">
        <v>25</v>
      </c>
      <c r="D261" s="46">
        <v>23.93</v>
      </c>
      <c r="E261" s="46">
        <v>21.18</v>
      </c>
      <c r="F261">
        <v>2013</v>
      </c>
    </row>
    <row r="262" spans="1:6" ht="15" customHeight="1" x14ac:dyDescent="0.3">
      <c r="A262" s="42" t="s">
        <v>389</v>
      </c>
      <c r="B262" s="43">
        <v>41500</v>
      </c>
      <c r="C262" s="42" t="s">
        <v>25</v>
      </c>
      <c r="D262" s="44">
        <v>22.44</v>
      </c>
      <c r="E262" s="44">
        <v>21.76</v>
      </c>
      <c r="F262">
        <v>2013</v>
      </c>
    </row>
    <row r="263" spans="1:6" ht="15" customHeight="1" x14ac:dyDescent="0.3">
      <c r="A263" s="42" t="s">
        <v>390</v>
      </c>
      <c r="B263" s="43">
        <v>41515</v>
      </c>
      <c r="C263" s="42" t="s">
        <v>25</v>
      </c>
      <c r="D263" s="44">
        <v>23.26</v>
      </c>
      <c r="E263" s="44">
        <v>22.14</v>
      </c>
      <c r="F263">
        <v>2013</v>
      </c>
    </row>
    <row r="264" spans="1:6" ht="15" customHeight="1" x14ac:dyDescent="0.3">
      <c r="A264" s="42" t="s">
        <v>391</v>
      </c>
      <c r="B264" s="43">
        <v>41526</v>
      </c>
      <c r="C264" s="42" t="s">
        <v>25</v>
      </c>
      <c r="D264" s="44">
        <v>21.36</v>
      </c>
      <c r="E264" s="44">
        <v>21.27</v>
      </c>
      <c r="F264">
        <v>2013</v>
      </c>
    </row>
    <row r="265" spans="1:6" ht="15" customHeight="1" x14ac:dyDescent="0.3">
      <c r="A265" s="42" t="s">
        <v>392</v>
      </c>
      <c r="B265" s="43">
        <v>41548</v>
      </c>
      <c r="C265" s="42" t="s">
        <v>25</v>
      </c>
      <c r="D265" s="44">
        <v>20.100000000000001</v>
      </c>
      <c r="E265" s="44">
        <v>19.489999999999998</v>
      </c>
      <c r="F265">
        <v>2013</v>
      </c>
    </row>
    <row r="266" spans="1:6" ht="15" customHeight="1" x14ac:dyDescent="0.3">
      <c r="A266" s="42" t="s">
        <v>393</v>
      </c>
      <c r="B266" s="43">
        <v>41582</v>
      </c>
      <c r="C266" s="42" t="s">
        <v>25</v>
      </c>
      <c r="D266" s="44">
        <v>14.49</v>
      </c>
      <c r="E266" s="44">
        <v>14.49</v>
      </c>
      <c r="F266">
        <v>2013</v>
      </c>
    </row>
    <row r="267" spans="1:6" ht="15" customHeight="1" x14ac:dyDescent="0.3">
      <c r="A267" s="42" t="s">
        <v>394</v>
      </c>
      <c r="B267" s="43">
        <v>41610</v>
      </c>
      <c r="C267" s="42" t="s">
        <v>25</v>
      </c>
      <c r="D267" s="44">
        <v>8.6</v>
      </c>
      <c r="E267" s="44">
        <v>8.86</v>
      </c>
      <c r="F267">
        <v>2013</v>
      </c>
    </row>
    <row r="268" spans="1:6" ht="15" customHeight="1" x14ac:dyDescent="0.3">
      <c r="A268" s="42" t="s">
        <v>395</v>
      </c>
      <c r="B268" s="43">
        <v>41649</v>
      </c>
      <c r="C268" s="42" t="s">
        <v>25</v>
      </c>
      <c r="D268" s="44">
        <v>1.99</v>
      </c>
      <c r="E268" s="44">
        <v>2.91</v>
      </c>
      <c r="F268">
        <v>2014</v>
      </c>
    </row>
    <row r="269" spans="1:6" ht="15" customHeight="1" x14ac:dyDescent="0.3">
      <c r="A269" s="42" t="s">
        <v>396</v>
      </c>
      <c r="B269" s="43">
        <v>41673</v>
      </c>
      <c r="C269" s="42" t="s">
        <v>25</v>
      </c>
      <c r="D269" s="44">
        <v>0.63</v>
      </c>
      <c r="E269" s="44">
        <v>0.64</v>
      </c>
      <c r="F269">
        <v>2014</v>
      </c>
    </row>
    <row r="270" spans="1:6" ht="15" customHeight="1" x14ac:dyDescent="0.3">
      <c r="A270" s="42" t="s">
        <v>398</v>
      </c>
      <c r="B270" s="43">
        <v>41705</v>
      </c>
      <c r="C270" s="42" t="s">
        <v>25</v>
      </c>
      <c r="D270" s="44">
        <v>-0.23</v>
      </c>
      <c r="E270" s="44">
        <v>-0.2</v>
      </c>
      <c r="F270">
        <v>2014</v>
      </c>
    </row>
    <row r="271" spans="1:6" ht="15" customHeight="1" x14ac:dyDescent="0.3">
      <c r="A271" s="42" t="s">
        <v>399</v>
      </c>
      <c r="B271" s="43">
        <v>41736</v>
      </c>
      <c r="C271" s="42" t="s">
        <v>25</v>
      </c>
      <c r="D271" s="44">
        <v>3.61</v>
      </c>
      <c r="E271" s="44">
        <v>3.21</v>
      </c>
      <c r="F271">
        <v>2014</v>
      </c>
    </row>
    <row r="272" spans="1:6" ht="15" customHeight="1" x14ac:dyDescent="0.3">
      <c r="A272" s="42" t="s">
        <v>400</v>
      </c>
      <c r="B272" s="43">
        <v>41765</v>
      </c>
      <c r="C272" s="42" t="s">
        <v>25</v>
      </c>
      <c r="D272" s="44">
        <v>9.6999999999999993</v>
      </c>
      <c r="E272" s="44">
        <v>7.45</v>
      </c>
      <c r="F272">
        <v>2014</v>
      </c>
    </row>
    <row r="273" spans="1:6" ht="15" customHeight="1" x14ac:dyDescent="0.3">
      <c r="A273" s="42" t="s">
        <v>401</v>
      </c>
      <c r="B273" s="43">
        <v>41792</v>
      </c>
      <c r="C273" s="42" t="s">
        <v>25</v>
      </c>
      <c r="D273" s="44">
        <v>16.86</v>
      </c>
      <c r="E273" s="44">
        <v>11.94</v>
      </c>
      <c r="F273">
        <v>2014</v>
      </c>
    </row>
    <row r="274" spans="1:6" ht="15" customHeight="1" x14ac:dyDescent="0.3">
      <c r="A274" s="42" t="s">
        <v>403</v>
      </c>
      <c r="B274" s="43">
        <v>41820</v>
      </c>
      <c r="C274" s="42" t="s">
        <v>25</v>
      </c>
      <c r="D274" s="44">
        <v>22.1</v>
      </c>
      <c r="E274" s="44">
        <v>15.57</v>
      </c>
      <c r="F274">
        <v>2014</v>
      </c>
    </row>
    <row r="275" spans="1:6" ht="15" customHeight="1" x14ac:dyDescent="0.3">
      <c r="A275" s="42" t="s">
        <v>404</v>
      </c>
      <c r="B275" s="43">
        <v>41835</v>
      </c>
      <c r="C275" s="42" t="s">
        <v>25</v>
      </c>
      <c r="D275" s="44">
        <v>22.61</v>
      </c>
      <c r="E275" s="44">
        <v>20.13</v>
      </c>
      <c r="F275">
        <v>2014</v>
      </c>
    </row>
    <row r="276" spans="1:6" ht="15" customHeight="1" x14ac:dyDescent="0.3">
      <c r="A276" s="42" t="s">
        <v>405</v>
      </c>
      <c r="B276" s="43">
        <v>41856</v>
      </c>
      <c r="C276" s="42" t="s">
        <v>25</v>
      </c>
      <c r="D276" s="44">
        <v>22.72</v>
      </c>
      <c r="E276" s="44">
        <v>20.47</v>
      </c>
      <c r="F276">
        <v>2014</v>
      </c>
    </row>
    <row r="277" spans="1:6" ht="15" customHeight="1" x14ac:dyDescent="0.3">
      <c r="A277" s="42" t="s">
        <v>406</v>
      </c>
      <c r="B277" s="43">
        <v>41869</v>
      </c>
      <c r="C277" s="42" t="s">
        <v>25</v>
      </c>
      <c r="D277" s="44">
        <v>22.44</v>
      </c>
      <c r="E277" s="44">
        <v>21.28</v>
      </c>
      <c r="F277">
        <v>2014</v>
      </c>
    </row>
    <row r="278" spans="1:6" ht="15" customHeight="1" x14ac:dyDescent="0.3">
      <c r="A278" s="42" t="s">
        <v>407</v>
      </c>
      <c r="B278" s="43">
        <v>41886</v>
      </c>
      <c r="C278" s="42" t="s">
        <v>25</v>
      </c>
      <c r="D278" s="44">
        <v>22.9</v>
      </c>
      <c r="E278" s="44">
        <v>21.73</v>
      </c>
      <c r="F278">
        <v>2014</v>
      </c>
    </row>
    <row r="279" spans="1:6" ht="15" customHeight="1" x14ac:dyDescent="0.3">
      <c r="A279" s="42" t="s">
        <v>408</v>
      </c>
      <c r="B279" s="43">
        <v>41897</v>
      </c>
      <c r="C279" s="42" t="s">
        <v>25</v>
      </c>
      <c r="D279" s="44">
        <v>20.87</v>
      </c>
      <c r="E279" s="44">
        <v>20.85</v>
      </c>
      <c r="F279">
        <v>2014</v>
      </c>
    </row>
    <row r="280" spans="1:6" ht="15" customHeight="1" x14ac:dyDescent="0.3">
      <c r="A280" s="42" t="s">
        <v>409</v>
      </c>
      <c r="B280" s="43">
        <v>41912</v>
      </c>
      <c r="C280" s="42" t="s">
        <v>25</v>
      </c>
      <c r="D280" s="44">
        <v>20.079999999999998</v>
      </c>
      <c r="E280" s="44">
        <v>20.079999999999998</v>
      </c>
      <c r="F280">
        <v>2014</v>
      </c>
    </row>
    <row r="281" spans="1:6" ht="15" customHeight="1" x14ac:dyDescent="0.3">
      <c r="A281" s="42" t="s">
        <v>410</v>
      </c>
      <c r="B281" s="43">
        <v>41949</v>
      </c>
      <c r="C281" s="42" t="s">
        <v>25</v>
      </c>
      <c r="D281" s="44">
        <v>14.41</v>
      </c>
      <c r="E281" s="44">
        <v>14.48</v>
      </c>
      <c r="F281">
        <v>2014</v>
      </c>
    </row>
    <row r="282" spans="1:6" ht="15" customHeight="1" x14ac:dyDescent="0.3">
      <c r="A282" s="42" t="s">
        <v>411</v>
      </c>
      <c r="B282" s="43">
        <v>41988</v>
      </c>
      <c r="C282" s="42" t="s">
        <v>25</v>
      </c>
      <c r="D282" s="44">
        <v>7.03</v>
      </c>
      <c r="E282" s="44">
        <v>7.49</v>
      </c>
      <c r="F282">
        <v>2014</v>
      </c>
    </row>
    <row r="283" spans="1:6" ht="15" customHeight="1" x14ac:dyDescent="0.3">
      <c r="A283" s="42" t="s">
        <v>412</v>
      </c>
      <c r="B283" s="43">
        <v>42016</v>
      </c>
      <c r="C283" s="42" t="s">
        <v>25</v>
      </c>
      <c r="D283" s="44">
        <v>3</v>
      </c>
      <c r="E283" s="44">
        <v>3.18</v>
      </c>
      <c r="F283">
        <v>2015</v>
      </c>
    </row>
    <row r="284" spans="1:6" ht="15" customHeight="1" x14ac:dyDescent="0.3">
      <c r="A284" s="42" t="s">
        <v>413</v>
      </c>
      <c r="B284" s="43">
        <v>42039</v>
      </c>
      <c r="C284" s="42" t="s">
        <v>25</v>
      </c>
      <c r="D284" s="44">
        <v>0.56000000000000005</v>
      </c>
      <c r="E284" s="44">
        <v>0.56999999999999995</v>
      </c>
      <c r="F284">
        <v>2015</v>
      </c>
    </row>
    <row r="285" spans="1:6" ht="15" customHeight="1" x14ac:dyDescent="0.3">
      <c r="A285" s="42" t="s">
        <v>414</v>
      </c>
      <c r="B285" s="43">
        <v>42072</v>
      </c>
      <c r="C285" s="42" t="s">
        <v>25</v>
      </c>
      <c r="D285" s="44">
        <v>-0.5</v>
      </c>
      <c r="E285" s="44">
        <v>-1.07</v>
      </c>
      <c r="F285">
        <v>2015</v>
      </c>
    </row>
    <row r="286" spans="1:6" ht="15" customHeight="1" x14ac:dyDescent="0.3">
      <c r="A286" s="42" t="s">
        <v>416</v>
      </c>
      <c r="B286" s="43">
        <v>42096</v>
      </c>
      <c r="C286" s="42" t="s">
        <v>25</v>
      </c>
      <c r="D286" s="44">
        <v>1.514</v>
      </c>
      <c r="E286" s="44">
        <v>0.94</v>
      </c>
      <c r="F286">
        <v>2015</v>
      </c>
    </row>
    <row r="287" spans="1:6" ht="15" customHeight="1" x14ac:dyDescent="0.3">
      <c r="A287" s="42" t="s">
        <v>417</v>
      </c>
      <c r="B287" s="43">
        <v>42124</v>
      </c>
      <c r="C287" s="42" t="s">
        <v>25</v>
      </c>
      <c r="D287" s="44">
        <v>7.24</v>
      </c>
      <c r="E287" s="44">
        <v>6.87</v>
      </c>
      <c r="F287">
        <v>2015</v>
      </c>
    </row>
    <row r="288" spans="1:6" ht="15" customHeight="1" x14ac:dyDescent="0.3">
      <c r="A288" s="42" t="s">
        <v>418</v>
      </c>
      <c r="B288" s="43">
        <v>42152</v>
      </c>
      <c r="C288" s="42" t="s">
        <v>25</v>
      </c>
      <c r="D288" s="44">
        <v>14.94</v>
      </c>
      <c r="E288" s="44">
        <v>10</v>
      </c>
      <c r="F288">
        <v>2015</v>
      </c>
    </row>
    <row r="289" spans="1:6" ht="15" customHeight="1" x14ac:dyDescent="0.3">
      <c r="A289" s="42" t="s">
        <v>420</v>
      </c>
      <c r="B289" s="43">
        <v>42191</v>
      </c>
      <c r="C289" s="42" t="s">
        <v>25</v>
      </c>
      <c r="D289" s="44">
        <v>21.01</v>
      </c>
      <c r="E289" s="44">
        <v>17.850000000000001</v>
      </c>
      <c r="F289">
        <v>2015</v>
      </c>
    </row>
    <row r="290" spans="1:6" ht="15" customHeight="1" x14ac:dyDescent="0.3">
      <c r="A290" s="42" t="s">
        <v>421</v>
      </c>
      <c r="B290" s="43">
        <v>42208</v>
      </c>
      <c r="C290" s="42" t="s">
        <v>25</v>
      </c>
      <c r="D290" s="44">
        <v>21.63</v>
      </c>
      <c r="E290" s="44">
        <v>18.510000000000002</v>
      </c>
      <c r="F290">
        <v>2015</v>
      </c>
    </row>
    <row r="291" spans="1:6" ht="15" customHeight="1" x14ac:dyDescent="0.3">
      <c r="A291" s="42" t="s">
        <v>422</v>
      </c>
      <c r="B291" s="43">
        <v>42222</v>
      </c>
      <c r="C291" s="42" t="s">
        <v>25</v>
      </c>
      <c r="D291" s="44">
        <v>22.36</v>
      </c>
      <c r="E291" s="44">
        <v>21.21</v>
      </c>
      <c r="F291">
        <v>2015</v>
      </c>
    </row>
    <row r="292" spans="1:6" ht="15" customHeight="1" x14ac:dyDescent="0.3">
      <c r="A292" s="42" t="s">
        <v>423</v>
      </c>
      <c r="B292" s="43">
        <v>42235</v>
      </c>
      <c r="C292" s="42" t="s">
        <v>25</v>
      </c>
      <c r="D292" s="44">
        <v>24.87</v>
      </c>
      <c r="E292" s="44">
        <v>22.04</v>
      </c>
      <c r="F292">
        <v>2015</v>
      </c>
    </row>
    <row r="293" spans="1:6" ht="15" customHeight="1" x14ac:dyDescent="0.3">
      <c r="A293" s="42" t="s">
        <v>424</v>
      </c>
      <c r="B293" s="43">
        <v>42249</v>
      </c>
      <c r="C293" s="42" t="s">
        <v>25</v>
      </c>
      <c r="D293" s="44">
        <v>24.37</v>
      </c>
      <c r="E293" s="44">
        <v>23.11</v>
      </c>
      <c r="F293">
        <v>2015</v>
      </c>
    </row>
    <row r="294" spans="1:6" ht="15" customHeight="1" x14ac:dyDescent="0.3">
      <c r="A294" s="42" t="s">
        <v>426</v>
      </c>
      <c r="B294" s="43">
        <v>42284</v>
      </c>
      <c r="C294" s="42" t="s">
        <v>25</v>
      </c>
      <c r="D294" s="44">
        <v>19.329999999999998</v>
      </c>
      <c r="E294" s="44">
        <v>18.98</v>
      </c>
      <c r="F294">
        <v>2015</v>
      </c>
    </row>
    <row r="295" spans="1:6" ht="15" customHeight="1" x14ac:dyDescent="0.3">
      <c r="A295" s="42" t="s">
        <v>427</v>
      </c>
      <c r="B295" s="43">
        <v>42314</v>
      </c>
      <c r="C295" s="42" t="s">
        <v>25</v>
      </c>
      <c r="D295" s="44">
        <v>15.78</v>
      </c>
      <c r="E295" s="44">
        <v>15.69</v>
      </c>
      <c r="F295">
        <v>2015</v>
      </c>
    </row>
    <row r="296" spans="1:6" ht="15" customHeight="1" x14ac:dyDescent="0.3">
      <c r="A296" s="42" t="s">
        <v>428</v>
      </c>
      <c r="B296" s="43">
        <v>42352</v>
      </c>
      <c r="C296" s="42" t="s">
        <v>25</v>
      </c>
      <c r="D296" s="44">
        <v>10.86</v>
      </c>
      <c r="E296" s="44">
        <v>10.8</v>
      </c>
      <c r="F296">
        <v>2015</v>
      </c>
    </row>
    <row r="297" spans="1:6" ht="15" customHeight="1" x14ac:dyDescent="0.3">
      <c r="A297" s="42" t="s">
        <v>429</v>
      </c>
      <c r="B297" s="43">
        <v>42376</v>
      </c>
      <c r="C297" s="42" t="s">
        <v>25</v>
      </c>
      <c r="D297" s="44">
        <v>6.99</v>
      </c>
      <c r="E297" s="44">
        <v>7.22</v>
      </c>
      <c r="F297">
        <v>2016</v>
      </c>
    </row>
    <row r="298" spans="1:6" ht="15" customHeight="1" x14ac:dyDescent="0.3">
      <c r="A298" s="42" t="s">
        <v>430</v>
      </c>
      <c r="B298" s="43">
        <v>42402</v>
      </c>
      <c r="C298" s="42" t="s">
        <v>25</v>
      </c>
      <c r="D298" s="44">
        <v>4.41</v>
      </c>
      <c r="E298" s="44">
        <v>4.2</v>
      </c>
      <c r="F298">
        <v>2016</v>
      </c>
    </row>
    <row r="299" spans="1:6" ht="15" customHeight="1" x14ac:dyDescent="0.3">
      <c r="A299" s="42" t="s">
        <v>432</v>
      </c>
      <c r="B299" s="43">
        <v>42439</v>
      </c>
      <c r="C299" s="42" t="s">
        <v>25</v>
      </c>
      <c r="D299" s="44">
        <v>4.3099999999999996</v>
      </c>
      <c r="E299" s="44">
        <v>3.59</v>
      </c>
      <c r="F299">
        <v>2016</v>
      </c>
    </row>
    <row r="300" spans="1:6" ht="15" customHeight="1" x14ac:dyDescent="0.3">
      <c r="A300" s="42" t="s">
        <v>434</v>
      </c>
      <c r="B300" s="43">
        <v>42473</v>
      </c>
      <c r="C300" s="42" t="s">
        <v>25</v>
      </c>
      <c r="D300" s="44">
        <v>6.65</v>
      </c>
      <c r="E300" s="44">
        <v>6.52</v>
      </c>
      <c r="F300">
        <v>2016</v>
      </c>
    </row>
    <row r="301" spans="1:6" ht="15" customHeight="1" x14ac:dyDescent="0.3">
      <c r="A301" s="42" t="s">
        <v>435</v>
      </c>
      <c r="B301" s="43">
        <v>42501</v>
      </c>
      <c r="C301" s="42" t="s">
        <v>25</v>
      </c>
      <c r="D301" s="44">
        <v>12.28</v>
      </c>
      <c r="E301" s="44">
        <v>10.1</v>
      </c>
      <c r="F301">
        <v>2016</v>
      </c>
    </row>
    <row r="302" spans="1:6" ht="15" customHeight="1" x14ac:dyDescent="0.3">
      <c r="A302" s="42" t="s">
        <v>436</v>
      </c>
      <c r="B302" s="43">
        <v>42529</v>
      </c>
      <c r="C302" s="42" t="s">
        <v>25</v>
      </c>
      <c r="D302" s="44">
        <v>16.8</v>
      </c>
      <c r="E302" s="44">
        <v>13.54</v>
      </c>
      <c r="F302">
        <v>2016</v>
      </c>
    </row>
    <row r="303" spans="1:6" ht="15" customHeight="1" x14ac:dyDescent="0.3">
      <c r="A303" s="42" t="s">
        <v>438</v>
      </c>
      <c r="B303" s="43">
        <v>42558</v>
      </c>
      <c r="C303" s="42" t="s">
        <v>25</v>
      </c>
      <c r="D303" s="44">
        <v>22.47</v>
      </c>
      <c r="E303" s="44">
        <v>18.09</v>
      </c>
      <c r="F303">
        <v>2016</v>
      </c>
    </row>
    <row r="304" spans="1:6" ht="15" customHeight="1" x14ac:dyDescent="0.3">
      <c r="A304" s="42" t="s">
        <v>439</v>
      </c>
      <c r="B304" s="43">
        <v>42569</v>
      </c>
      <c r="C304" s="42" t="s">
        <v>25</v>
      </c>
      <c r="D304" s="44">
        <v>25.23</v>
      </c>
      <c r="E304" s="44">
        <v>18.670000000000002</v>
      </c>
      <c r="F304">
        <v>2016</v>
      </c>
    </row>
    <row r="305" spans="1:6" ht="15" customHeight="1" x14ac:dyDescent="0.3">
      <c r="A305" s="42" t="s">
        <v>440</v>
      </c>
      <c r="B305" s="43">
        <v>42583</v>
      </c>
      <c r="C305" s="42" t="s">
        <v>25</v>
      </c>
      <c r="D305" s="44">
        <v>23.92</v>
      </c>
      <c r="E305" s="44">
        <v>23.62</v>
      </c>
      <c r="F305">
        <v>2016</v>
      </c>
    </row>
    <row r="306" spans="1:6" ht="15" customHeight="1" x14ac:dyDescent="0.3">
      <c r="A306" s="42" t="s">
        <v>441</v>
      </c>
      <c r="B306" s="43">
        <v>42598</v>
      </c>
      <c r="C306" s="42" t="s">
        <v>25</v>
      </c>
      <c r="D306" s="44">
        <v>24.69</v>
      </c>
      <c r="E306" s="44">
        <v>22.15</v>
      </c>
      <c r="F306">
        <v>2016</v>
      </c>
    </row>
    <row r="307" spans="1:6" ht="15" customHeight="1" x14ac:dyDescent="0.3">
      <c r="A307" s="42" t="s">
        <v>442</v>
      </c>
      <c r="B307" s="43">
        <v>42613</v>
      </c>
      <c r="C307" s="42" t="s">
        <v>25</v>
      </c>
      <c r="D307" s="44">
        <v>25.03</v>
      </c>
      <c r="E307" s="44">
        <v>24.17</v>
      </c>
      <c r="F307">
        <v>2016</v>
      </c>
    </row>
    <row r="308" spans="1:6" ht="15" customHeight="1" x14ac:dyDescent="0.3">
      <c r="A308" s="42" t="s">
        <v>443</v>
      </c>
      <c r="B308" s="43">
        <v>42625</v>
      </c>
      <c r="C308" s="42" t="s">
        <v>25</v>
      </c>
      <c r="D308" s="44">
        <v>23.7</v>
      </c>
      <c r="E308" s="44">
        <v>23.16</v>
      </c>
      <c r="F308">
        <v>2016</v>
      </c>
    </row>
    <row r="309" spans="1:6" ht="15" customHeight="1" x14ac:dyDescent="0.3">
      <c r="A309" s="42" t="s">
        <v>444</v>
      </c>
      <c r="B309" s="43">
        <v>42646</v>
      </c>
      <c r="C309" s="42" t="s">
        <v>25</v>
      </c>
      <c r="D309" s="44">
        <v>20.89</v>
      </c>
      <c r="E309" s="44">
        <v>20.61</v>
      </c>
      <c r="F309">
        <v>2016</v>
      </c>
    </row>
    <row r="310" spans="1:6" ht="15" customHeight="1" x14ac:dyDescent="0.3">
      <c r="A310" s="42" t="s">
        <v>445</v>
      </c>
      <c r="B310" s="43">
        <v>42681</v>
      </c>
      <c r="C310" s="42" t="s">
        <v>25</v>
      </c>
      <c r="D310" s="44">
        <v>14.41</v>
      </c>
      <c r="E310" s="44">
        <v>14.43</v>
      </c>
      <c r="F310">
        <v>2016</v>
      </c>
    </row>
    <row r="311" spans="1:6" ht="15" customHeight="1" x14ac:dyDescent="0.3">
      <c r="A311" s="42" t="s">
        <v>446</v>
      </c>
      <c r="B311" s="43">
        <v>42704</v>
      </c>
      <c r="C311" s="42" t="s">
        <v>25</v>
      </c>
      <c r="D311" s="44">
        <v>10.67</v>
      </c>
      <c r="E311" s="44">
        <v>10.61</v>
      </c>
      <c r="F311">
        <v>2016</v>
      </c>
    </row>
    <row r="312" spans="1:6" ht="15" customHeight="1" x14ac:dyDescent="0.3">
      <c r="A312" s="42" t="s">
        <v>447</v>
      </c>
      <c r="B312" s="43">
        <v>42741</v>
      </c>
      <c r="C312" s="42" t="s">
        <v>25</v>
      </c>
      <c r="D312" s="44">
        <v>5.14</v>
      </c>
      <c r="E312" s="44">
        <v>5.29</v>
      </c>
      <c r="F312">
        <v>2017</v>
      </c>
    </row>
    <row r="313" spans="1:6" ht="15" customHeight="1" x14ac:dyDescent="0.3">
      <c r="A313" s="42" t="s">
        <v>448</v>
      </c>
      <c r="B313" s="43">
        <v>42773</v>
      </c>
      <c r="C313" s="42" t="s">
        <v>25</v>
      </c>
      <c r="D313" s="44">
        <v>3.47</v>
      </c>
      <c r="E313" s="44">
        <v>3.47</v>
      </c>
      <c r="F313">
        <v>2017</v>
      </c>
    </row>
    <row r="314" spans="1:6" ht="15" customHeight="1" x14ac:dyDescent="0.3">
      <c r="A314" s="42" t="s">
        <v>450</v>
      </c>
      <c r="B314" s="43">
        <v>42800</v>
      </c>
      <c r="C314" s="42" t="s">
        <v>25</v>
      </c>
      <c r="D314" s="44">
        <v>3.31</v>
      </c>
      <c r="E314" s="44">
        <v>2.76</v>
      </c>
      <c r="F314">
        <v>2017</v>
      </c>
    </row>
    <row r="315" spans="1:6" ht="15" customHeight="1" x14ac:dyDescent="0.3">
      <c r="A315" s="42" t="s">
        <v>451</v>
      </c>
      <c r="B315" s="43">
        <v>42828</v>
      </c>
      <c r="C315" s="42" t="s">
        <v>25</v>
      </c>
      <c r="D315" s="45"/>
      <c r="E315" s="45"/>
      <c r="F315">
        <v>2017</v>
      </c>
    </row>
    <row r="316" spans="1:6" ht="15" customHeight="1" x14ac:dyDescent="0.3">
      <c r="A316" s="42" t="s">
        <v>452</v>
      </c>
      <c r="B316" s="43">
        <v>42856</v>
      </c>
      <c r="C316" s="42" t="s">
        <v>25</v>
      </c>
      <c r="D316" s="44">
        <v>9.56</v>
      </c>
      <c r="E316" s="44">
        <v>9</v>
      </c>
      <c r="F316">
        <v>2017</v>
      </c>
    </row>
    <row r="317" spans="1:6" ht="15" customHeight="1" x14ac:dyDescent="0.3">
      <c r="A317" s="42" t="s">
        <v>453</v>
      </c>
      <c r="B317" s="43">
        <v>42891</v>
      </c>
      <c r="C317" s="42" t="s">
        <v>25</v>
      </c>
      <c r="D317" s="44">
        <v>15.21</v>
      </c>
      <c r="E317" s="44">
        <v>14.05</v>
      </c>
      <c r="F317">
        <v>2017</v>
      </c>
    </row>
    <row r="318" spans="1:6" ht="15" customHeight="1" x14ac:dyDescent="0.3">
      <c r="A318" s="42" t="s">
        <v>455</v>
      </c>
      <c r="B318" s="43">
        <v>42921</v>
      </c>
      <c r="C318" s="42" t="s">
        <v>25</v>
      </c>
      <c r="D318" s="44">
        <v>21.88</v>
      </c>
      <c r="E318" s="44">
        <v>17.7</v>
      </c>
      <c r="F318">
        <v>2017</v>
      </c>
    </row>
    <row r="319" spans="1:6" ht="15" customHeight="1" x14ac:dyDescent="0.3">
      <c r="A319" s="42" t="s">
        <v>456</v>
      </c>
      <c r="B319" s="43">
        <v>42936</v>
      </c>
      <c r="C319" s="42" t="s">
        <v>25</v>
      </c>
      <c r="D319" s="44">
        <v>23.6</v>
      </c>
      <c r="E319" s="44">
        <v>19.05</v>
      </c>
      <c r="F319">
        <v>2017</v>
      </c>
    </row>
    <row r="320" spans="1:6" ht="15" customHeight="1" x14ac:dyDescent="0.3">
      <c r="A320" s="42" t="s">
        <v>457</v>
      </c>
      <c r="B320" s="43">
        <v>42947</v>
      </c>
      <c r="C320" s="42" t="s">
        <v>25</v>
      </c>
      <c r="D320" s="44">
        <v>23.7</v>
      </c>
      <c r="E320" s="44">
        <v>21.15</v>
      </c>
      <c r="F320">
        <v>2017</v>
      </c>
    </row>
    <row r="321" spans="1:6" ht="15" customHeight="1" x14ac:dyDescent="0.3">
      <c r="A321" s="42" t="s">
        <v>458</v>
      </c>
      <c r="B321" s="43">
        <v>42961</v>
      </c>
      <c r="C321" s="42" t="s">
        <v>25</v>
      </c>
      <c r="D321" s="44">
        <v>23.91</v>
      </c>
      <c r="E321" s="44">
        <v>21.25</v>
      </c>
      <c r="F321">
        <v>2017</v>
      </c>
    </row>
    <row r="322" spans="1:6" ht="15" customHeight="1" x14ac:dyDescent="0.3">
      <c r="A322" s="42" t="s">
        <v>459</v>
      </c>
      <c r="B322" s="43">
        <v>42979</v>
      </c>
      <c r="C322" s="42" t="s">
        <v>25</v>
      </c>
      <c r="D322" s="46">
        <v>21.8</v>
      </c>
      <c r="E322" s="46">
        <v>21.82</v>
      </c>
      <c r="F322">
        <v>2017</v>
      </c>
    </row>
    <row r="323" spans="1:6" ht="15" customHeight="1" x14ac:dyDescent="0.3">
      <c r="A323" s="42" t="s">
        <v>460</v>
      </c>
      <c r="B323" s="43">
        <v>43019</v>
      </c>
      <c r="C323" s="42" t="s">
        <v>25</v>
      </c>
      <c r="D323" s="44">
        <v>21.19</v>
      </c>
      <c r="E323" s="44">
        <v>20.86</v>
      </c>
      <c r="F323">
        <v>2017</v>
      </c>
    </row>
    <row r="324" spans="1:6" ht="15" customHeight="1" x14ac:dyDescent="0.3">
      <c r="A324" s="42" t="s">
        <v>461</v>
      </c>
      <c r="B324" s="43">
        <v>43048</v>
      </c>
      <c r="C324" s="42" t="s">
        <v>25</v>
      </c>
      <c r="D324" s="44">
        <v>15.67</v>
      </c>
      <c r="E324" s="44">
        <v>15.65</v>
      </c>
      <c r="F324">
        <v>2017</v>
      </c>
    </row>
    <row r="325" spans="1:6" ht="15" customHeight="1" x14ac:dyDescent="0.3">
      <c r="A325" s="42" t="s">
        <v>462</v>
      </c>
      <c r="B325" s="43">
        <v>43070</v>
      </c>
      <c r="C325" s="42" t="s">
        <v>25</v>
      </c>
      <c r="D325" s="44">
        <v>10.99</v>
      </c>
      <c r="E325" s="44">
        <v>10.99</v>
      </c>
      <c r="F325">
        <v>2017</v>
      </c>
    </row>
    <row r="326" spans="1:6" ht="15" customHeight="1" x14ac:dyDescent="0.3">
      <c r="A326" s="42" t="s">
        <v>463</v>
      </c>
      <c r="B326" s="43">
        <v>43110</v>
      </c>
      <c r="C326" s="42" t="s">
        <v>25</v>
      </c>
      <c r="D326" s="44">
        <v>1.34</v>
      </c>
      <c r="E326" s="44">
        <v>1.52</v>
      </c>
      <c r="F326">
        <v>2018</v>
      </c>
    </row>
    <row r="327" spans="1:6" ht="15" customHeight="1" x14ac:dyDescent="0.3">
      <c r="A327" s="42" t="s">
        <v>464</v>
      </c>
      <c r="B327" s="43">
        <v>43140</v>
      </c>
      <c r="C327" s="42" t="s">
        <v>25</v>
      </c>
      <c r="D327" s="45"/>
      <c r="E327" s="45"/>
      <c r="F327">
        <v>2018</v>
      </c>
    </row>
    <row r="328" spans="1:6" ht="15" customHeight="1" x14ac:dyDescent="0.3">
      <c r="A328" s="42" t="s">
        <v>466</v>
      </c>
      <c r="B328" s="43">
        <v>43165</v>
      </c>
      <c r="C328" s="42" t="s">
        <v>25</v>
      </c>
      <c r="D328" s="44">
        <v>3.68</v>
      </c>
      <c r="E328" s="44">
        <v>3.47</v>
      </c>
      <c r="F328">
        <v>2018</v>
      </c>
    </row>
    <row r="329" spans="1:6" ht="15" customHeight="1" x14ac:dyDescent="0.3">
      <c r="A329" s="42" t="s">
        <v>467</v>
      </c>
      <c r="B329" s="43">
        <v>43199</v>
      </c>
      <c r="C329" s="42" t="s">
        <v>25</v>
      </c>
      <c r="D329" s="44">
        <v>4.38</v>
      </c>
      <c r="E329" s="44">
        <v>4.2</v>
      </c>
      <c r="F329">
        <v>2018</v>
      </c>
    </row>
    <row r="330" spans="1:6" ht="15" customHeight="1" x14ac:dyDescent="0.3">
      <c r="A330" s="42" t="s">
        <v>468</v>
      </c>
      <c r="B330" s="43">
        <v>43221</v>
      </c>
      <c r="C330" s="42" t="s">
        <v>25</v>
      </c>
      <c r="D330" s="44">
        <v>9.07</v>
      </c>
      <c r="E330" s="44">
        <v>7.51</v>
      </c>
      <c r="F330">
        <v>2018</v>
      </c>
    </row>
    <row r="331" spans="1:6" ht="15" customHeight="1" x14ac:dyDescent="0.3">
      <c r="A331" s="42" t="s">
        <v>469</v>
      </c>
      <c r="B331" s="43">
        <v>43250</v>
      </c>
      <c r="C331" s="42" t="s">
        <v>25</v>
      </c>
      <c r="D331" s="44">
        <v>15.71</v>
      </c>
      <c r="E331" s="44">
        <v>12.04</v>
      </c>
      <c r="F331">
        <v>2018</v>
      </c>
    </row>
    <row r="332" spans="1:6" ht="15" customHeight="1" x14ac:dyDescent="0.3">
      <c r="A332" s="42" t="s">
        <v>471</v>
      </c>
      <c r="B332" s="43">
        <v>43283</v>
      </c>
      <c r="C332" s="42" t="s">
        <v>25</v>
      </c>
      <c r="D332" s="44">
        <v>22.62</v>
      </c>
      <c r="E332" s="44">
        <v>15.61</v>
      </c>
      <c r="F332">
        <v>2018</v>
      </c>
    </row>
    <row r="333" spans="1:6" ht="15" customHeight="1" x14ac:dyDescent="0.3">
      <c r="A333" s="42" t="s">
        <v>472</v>
      </c>
      <c r="B333" s="43">
        <v>43299</v>
      </c>
      <c r="C333" s="42" t="s">
        <v>25</v>
      </c>
      <c r="D333" s="44">
        <v>22.75</v>
      </c>
      <c r="E333" s="44">
        <v>19.38</v>
      </c>
      <c r="F333">
        <v>2018</v>
      </c>
    </row>
    <row r="334" spans="1:6" ht="15" customHeight="1" x14ac:dyDescent="0.3">
      <c r="A334" s="42" t="s">
        <v>473</v>
      </c>
      <c r="B334" s="43">
        <v>43311</v>
      </c>
      <c r="C334" s="42" t="s">
        <v>25</v>
      </c>
      <c r="D334" s="44">
        <v>24.58</v>
      </c>
      <c r="E334" s="44">
        <v>20.75</v>
      </c>
      <c r="F334">
        <v>2018</v>
      </c>
    </row>
    <row r="335" spans="1:6" ht="15" customHeight="1" x14ac:dyDescent="0.3">
      <c r="A335" s="42" t="s">
        <v>474</v>
      </c>
      <c r="B335" s="43">
        <v>43325</v>
      </c>
      <c r="C335" s="42" t="s">
        <v>25</v>
      </c>
      <c r="D335" s="44">
        <v>24.9</v>
      </c>
      <c r="E335" s="44">
        <v>23.36</v>
      </c>
      <c r="F335">
        <v>2018</v>
      </c>
    </row>
    <row r="336" spans="1:6" ht="15" customHeight="1" x14ac:dyDescent="0.3">
      <c r="A336" s="42" t="s">
        <v>475</v>
      </c>
      <c r="B336" s="43">
        <v>43341</v>
      </c>
      <c r="C336" s="42" t="s">
        <v>25</v>
      </c>
      <c r="D336" s="44">
        <v>24.59</v>
      </c>
      <c r="E336" s="44">
        <v>23.01</v>
      </c>
      <c r="F336">
        <v>2018</v>
      </c>
    </row>
    <row r="337" spans="1:6" ht="15" customHeight="1" x14ac:dyDescent="0.3">
      <c r="A337" s="42" t="s">
        <v>477</v>
      </c>
      <c r="B337" s="43">
        <v>43375</v>
      </c>
      <c r="C337" s="42" t="s">
        <v>25</v>
      </c>
      <c r="D337" s="44">
        <v>21.59</v>
      </c>
      <c r="E337" s="44">
        <v>21.09</v>
      </c>
      <c r="F337">
        <v>2018</v>
      </c>
    </row>
    <row r="338" spans="1:6" ht="15" customHeight="1" x14ac:dyDescent="0.3">
      <c r="A338" s="42" t="s">
        <v>478</v>
      </c>
      <c r="B338" s="43">
        <v>43412</v>
      </c>
      <c r="C338" s="42" t="s">
        <v>25</v>
      </c>
      <c r="D338" s="44">
        <v>14.13</v>
      </c>
      <c r="E338" s="46">
        <v>14.69</v>
      </c>
      <c r="F338">
        <v>2018</v>
      </c>
    </row>
    <row r="339" spans="1:6" ht="15" customHeight="1" x14ac:dyDescent="0.3">
      <c r="A339" s="42" t="s">
        <v>479</v>
      </c>
      <c r="B339" s="43">
        <v>43434</v>
      </c>
      <c r="C339" s="42" t="s">
        <v>25</v>
      </c>
      <c r="D339" s="44">
        <v>8.14</v>
      </c>
      <c r="E339" s="44">
        <v>9.5399999999999991</v>
      </c>
      <c r="F339">
        <v>2018</v>
      </c>
    </row>
    <row r="340" spans="1:6" ht="15" customHeight="1" x14ac:dyDescent="0.3">
      <c r="A340" s="42" t="s">
        <v>6</v>
      </c>
      <c r="B340" s="43">
        <v>43467</v>
      </c>
      <c r="C340" s="42" t="s">
        <v>25</v>
      </c>
      <c r="D340" s="44">
        <v>5.71</v>
      </c>
      <c r="E340" s="44">
        <v>6.1</v>
      </c>
      <c r="F340">
        <v>2019</v>
      </c>
    </row>
    <row r="341" spans="1:6" ht="15" customHeight="1" x14ac:dyDescent="0.3">
      <c r="A341" s="42" t="s">
        <v>7</v>
      </c>
      <c r="B341" s="43">
        <v>43500</v>
      </c>
      <c r="C341" s="42" t="s">
        <v>25</v>
      </c>
      <c r="D341" s="44">
        <v>2.48</v>
      </c>
      <c r="E341" s="44">
        <v>2.04</v>
      </c>
      <c r="F341">
        <v>2019</v>
      </c>
    </row>
    <row r="342" spans="1:6" ht="15" customHeight="1" x14ac:dyDescent="0.3">
      <c r="A342" s="42" t="s">
        <v>9</v>
      </c>
      <c r="B342" s="43">
        <v>43531</v>
      </c>
      <c r="C342" s="42" t="s">
        <v>25</v>
      </c>
      <c r="D342" s="44">
        <v>1.82</v>
      </c>
      <c r="E342" s="44">
        <v>1.87</v>
      </c>
      <c r="F342">
        <v>2019</v>
      </c>
    </row>
    <row r="343" spans="1:6" ht="15" customHeight="1" x14ac:dyDescent="0.3">
      <c r="A343" s="42" t="s">
        <v>10</v>
      </c>
      <c r="B343" s="43">
        <v>43557</v>
      </c>
      <c r="C343" s="42" t="s">
        <v>25</v>
      </c>
      <c r="D343" s="44">
        <v>4.76</v>
      </c>
      <c r="E343" s="44">
        <v>4.08</v>
      </c>
      <c r="F343">
        <v>2019</v>
      </c>
    </row>
    <row r="344" spans="1:6" ht="15" customHeight="1" x14ac:dyDescent="0.3">
      <c r="A344" s="42" t="s">
        <v>11</v>
      </c>
      <c r="B344" s="43">
        <v>43591</v>
      </c>
      <c r="C344" s="42" t="s">
        <v>25</v>
      </c>
      <c r="D344" s="44">
        <v>10.44</v>
      </c>
      <c r="E344" s="44">
        <v>10.11</v>
      </c>
      <c r="F344">
        <v>2019</v>
      </c>
    </row>
    <row r="345" spans="1:6" ht="15" customHeight="1" x14ac:dyDescent="0.3">
      <c r="A345" s="42" t="s">
        <v>12</v>
      </c>
      <c r="B345" s="43">
        <v>43614</v>
      </c>
      <c r="C345" s="42" t="s">
        <v>25</v>
      </c>
      <c r="D345" s="44">
        <v>14.14</v>
      </c>
      <c r="E345" s="44">
        <v>12.91</v>
      </c>
      <c r="F345">
        <v>2019</v>
      </c>
    </row>
    <row r="346" spans="1:6" ht="15" customHeight="1" x14ac:dyDescent="0.3">
      <c r="A346" s="42" t="s">
        <v>14</v>
      </c>
      <c r="B346" s="43">
        <v>43647</v>
      </c>
      <c r="C346" s="42" t="s">
        <v>25</v>
      </c>
      <c r="D346" s="46">
        <v>19.2</v>
      </c>
      <c r="E346" s="46">
        <v>15.06</v>
      </c>
      <c r="F346">
        <v>2019</v>
      </c>
    </row>
    <row r="347" spans="1:6" ht="15" customHeight="1" x14ac:dyDescent="0.3">
      <c r="A347" s="42" t="s">
        <v>15</v>
      </c>
      <c r="B347" s="43">
        <v>43663</v>
      </c>
      <c r="C347" s="42" t="s">
        <v>25</v>
      </c>
      <c r="D347" s="44">
        <v>22.66</v>
      </c>
      <c r="E347" s="44">
        <v>18.88</v>
      </c>
      <c r="F347">
        <v>2019</v>
      </c>
    </row>
    <row r="348" spans="1:6" ht="15" customHeight="1" x14ac:dyDescent="0.3">
      <c r="A348" s="42" t="s">
        <v>16</v>
      </c>
      <c r="B348" s="43">
        <v>43675</v>
      </c>
      <c r="C348" s="42" t="s">
        <v>25</v>
      </c>
      <c r="D348" s="44">
        <v>24.35</v>
      </c>
      <c r="E348" s="44">
        <v>19.16</v>
      </c>
      <c r="F348">
        <v>2019</v>
      </c>
    </row>
    <row r="349" spans="1:6" ht="15" customHeight="1" x14ac:dyDescent="0.3">
      <c r="A349" s="42" t="s">
        <v>17</v>
      </c>
      <c r="B349" s="43">
        <v>43691</v>
      </c>
      <c r="C349" s="42" t="s">
        <v>25</v>
      </c>
      <c r="D349" s="44">
        <v>22.52</v>
      </c>
      <c r="E349" s="44">
        <v>21.21</v>
      </c>
      <c r="F349">
        <v>2019</v>
      </c>
    </row>
    <row r="350" spans="1:6" ht="15" customHeight="1" x14ac:dyDescent="0.3">
      <c r="A350" s="42" t="s">
        <v>18</v>
      </c>
      <c r="B350" s="43">
        <v>43704</v>
      </c>
      <c r="C350" s="42" t="s">
        <v>25</v>
      </c>
      <c r="D350" s="44">
        <v>23.34</v>
      </c>
      <c r="E350" s="44">
        <v>22.51</v>
      </c>
      <c r="F350">
        <v>2019</v>
      </c>
    </row>
    <row r="351" spans="1:6" ht="15" customHeight="1" x14ac:dyDescent="0.3">
      <c r="A351" s="42" t="s">
        <v>39</v>
      </c>
      <c r="B351" s="43">
        <v>43738</v>
      </c>
      <c r="C351" s="42" t="s">
        <v>25</v>
      </c>
      <c r="D351" s="44">
        <v>21.03</v>
      </c>
      <c r="E351" s="44">
        <v>20.99</v>
      </c>
      <c r="F351">
        <v>2019</v>
      </c>
    </row>
    <row r="352" spans="1:6" ht="15" customHeight="1" x14ac:dyDescent="0.3">
      <c r="A352" s="42" t="s">
        <v>40</v>
      </c>
      <c r="B352" s="43">
        <v>43773</v>
      </c>
      <c r="C352" s="42" t="s">
        <v>25</v>
      </c>
      <c r="D352" s="44">
        <v>15.16</v>
      </c>
      <c r="E352" s="44">
        <v>16.07</v>
      </c>
      <c r="F352">
        <v>2019</v>
      </c>
    </row>
    <row r="353" spans="1:6" ht="15" customHeight="1" x14ac:dyDescent="0.3">
      <c r="A353" s="42" t="s">
        <v>41</v>
      </c>
      <c r="B353" s="43">
        <v>43803</v>
      </c>
      <c r="C353" s="42" t="s">
        <v>25</v>
      </c>
      <c r="D353" s="44">
        <v>7.37</v>
      </c>
      <c r="E353" s="44">
        <v>7.43</v>
      </c>
      <c r="F353">
        <v>2019</v>
      </c>
    </row>
    <row r="354" spans="1:6" ht="15" customHeight="1" x14ac:dyDescent="0.3">
      <c r="A354" s="42" t="s">
        <v>502</v>
      </c>
      <c r="B354" s="43">
        <v>43837</v>
      </c>
      <c r="C354" s="42" t="s">
        <v>25</v>
      </c>
      <c r="D354" s="44">
        <v>5.29</v>
      </c>
      <c r="E354" s="44">
        <v>5.4</v>
      </c>
      <c r="F354">
        <v>2020</v>
      </c>
    </row>
    <row r="355" spans="1:6" ht="15" customHeight="1" x14ac:dyDescent="0.3">
      <c r="A355" s="42" t="s">
        <v>503</v>
      </c>
      <c r="B355" s="43">
        <v>43874</v>
      </c>
      <c r="C355" s="42" t="s">
        <v>25</v>
      </c>
      <c r="D355" s="44">
        <v>3.96</v>
      </c>
      <c r="E355" s="44">
        <v>4.03</v>
      </c>
      <c r="F355">
        <v>2020</v>
      </c>
    </row>
    <row r="356" spans="1:6" ht="15" customHeight="1" x14ac:dyDescent="0.3">
      <c r="A356" s="42" t="s">
        <v>504</v>
      </c>
      <c r="B356" s="43">
        <v>43899</v>
      </c>
      <c r="C356" s="42" t="s">
        <v>25</v>
      </c>
      <c r="D356" s="45"/>
      <c r="E356" s="45"/>
      <c r="F356">
        <v>2020</v>
      </c>
    </row>
    <row r="357" spans="1:6" ht="15" customHeight="1" x14ac:dyDescent="0.3">
      <c r="A357" s="42" t="s">
        <v>510</v>
      </c>
      <c r="B357" s="43">
        <v>43998</v>
      </c>
      <c r="C357" s="42" t="s">
        <v>25</v>
      </c>
      <c r="D357" s="44">
        <v>16.760000000000002</v>
      </c>
      <c r="E357" s="44">
        <v>14.3</v>
      </c>
      <c r="F357">
        <v>2020</v>
      </c>
    </row>
    <row r="358" spans="1:6" ht="15" customHeight="1" x14ac:dyDescent="0.3">
      <c r="A358" s="42" t="s">
        <v>505</v>
      </c>
      <c r="B358" s="43">
        <v>44018</v>
      </c>
      <c r="C358" s="42" t="s">
        <v>25</v>
      </c>
      <c r="D358" s="44">
        <v>24.58</v>
      </c>
      <c r="E358" s="44">
        <v>17.739999999999998</v>
      </c>
      <c r="F358">
        <v>2020</v>
      </c>
    </row>
    <row r="359" spans="1:6" ht="15" customHeight="1" x14ac:dyDescent="0.3">
      <c r="A359" s="42" t="s">
        <v>511</v>
      </c>
      <c r="B359" s="43">
        <v>44034</v>
      </c>
      <c r="C359" s="42" t="s">
        <v>25</v>
      </c>
      <c r="D359" s="44">
        <v>24.29</v>
      </c>
      <c r="E359" s="44">
        <v>19.02</v>
      </c>
      <c r="F359">
        <v>2020</v>
      </c>
    </row>
    <row r="360" spans="1:6" ht="15" customHeight="1" x14ac:dyDescent="0.3">
      <c r="A360" s="42" t="s">
        <v>506</v>
      </c>
      <c r="B360" s="43">
        <v>44053</v>
      </c>
      <c r="C360" s="42" t="s">
        <v>25</v>
      </c>
      <c r="D360" s="44">
        <v>25.62</v>
      </c>
      <c r="E360" s="44">
        <v>22.85</v>
      </c>
      <c r="F360">
        <v>2020</v>
      </c>
    </row>
    <row r="361" spans="1:6" ht="15" customHeight="1" x14ac:dyDescent="0.3">
      <c r="A361" s="42" t="s">
        <v>512</v>
      </c>
      <c r="B361" s="43">
        <v>44068</v>
      </c>
      <c r="C361" s="42" t="s">
        <v>25</v>
      </c>
      <c r="D361" s="44">
        <v>24.43</v>
      </c>
      <c r="E361" s="46">
        <v>22.58</v>
      </c>
      <c r="F361">
        <v>2020</v>
      </c>
    </row>
    <row r="362" spans="1:6" ht="15" customHeight="1" x14ac:dyDescent="0.3">
      <c r="A362" s="42" t="s">
        <v>507</v>
      </c>
      <c r="B362" s="43">
        <v>44084</v>
      </c>
      <c r="C362" s="42" t="s">
        <v>25</v>
      </c>
      <c r="D362" s="44">
        <v>23.72</v>
      </c>
      <c r="E362" s="44">
        <v>22.97</v>
      </c>
      <c r="F362">
        <v>2020</v>
      </c>
    </row>
    <row r="363" spans="1:6" ht="15" customHeight="1" x14ac:dyDescent="0.3">
      <c r="A363" s="42" t="s">
        <v>508</v>
      </c>
      <c r="B363" s="43">
        <v>44110</v>
      </c>
      <c r="C363" s="42" t="s">
        <v>25</v>
      </c>
      <c r="D363" s="44">
        <v>19.96</v>
      </c>
      <c r="E363" s="44">
        <v>19.86</v>
      </c>
      <c r="F363">
        <v>2020</v>
      </c>
    </row>
    <row r="364" spans="1:6" ht="15" customHeight="1" x14ac:dyDescent="0.3">
      <c r="A364" s="42" t="s">
        <v>509</v>
      </c>
      <c r="B364" s="43">
        <v>44140</v>
      </c>
      <c r="C364" s="42" t="s">
        <v>25</v>
      </c>
      <c r="D364" s="44">
        <v>14.54</v>
      </c>
      <c r="E364" s="44">
        <v>14.58</v>
      </c>
      <c r="F364">
        <v>2020</v>
      </c>
    </row>
    <row r="365" spans="1:6" ht="15" customHeight="1" x14ac:dyDescent="0.3">
      <c r="A365" s="74" t="s">
        <v>522</v>
      </c>
      <c r="B365" s="75">
        <v>44263</v>
      </c>
      <c r="C365" s="74" t="s">
        <v>25</v>
      </c>
      <c r="D365" s="76">
        <v>2.5099999999999998</v>
      </c>
      <c r="E365" s="76">
        <v>2.35</v>
      </c>
      <c r="F365">
        <v>2021</v>
      </c>
    </row>
    <row r="366" spans="1:6" ht="15" customHeight="1" x14ac:dyDescent="0.3">
      <c r="A366" s="74" t="s">
        <v>523</v>
      </c>
      <c r="B366" s="75">
        <v>44292</v>
      </c>
      <c r="C366" s="74" t="s">
        <v>25</v>
      </c>
      <c r="D366" s="76">
        <v>6.67</v>
      </c>
      <c r="E366" s="76">
        <v>5.6</v>
      </c>
      <c r="F366">
        <v>2021</v>
      </c>
    </row>
    <row r="367" spans="1:6" ht="15" customHeight="1" x14ac:dyDescent="0.3">
      <c r="A367" s="74" t="s">
        <v>524</v>
      </c>
      <c r="B367" s="75">
        <v>44322</v>
      </c>
      <c r="C367" s="74" t="s">
        <v>25</v>
      </c>
      <c r="D367" s="76">
        <v>10.3</v>
      </c>
      <c r="E367" s="76">
        <v>9.57</v>
      </c>
      <c r="F367">
        <v>2021</v>
      </c>
    </row>
    <row r="368" spans="1:6" ht="15" customHeight="1" x14ac:dyDescent="0.3">
      <c r="A368" s="74" t="s">
        <v>525</v>
      </c>
      <c r="B368" s="75">
        <v>44350</v>
      </c>
      <c r="C368" s="74" t="s">
        <v>25</v>
      </c>
      <c r="D368" s="77"/>
      <c r="E368" s="77"/>
      <c r="F368">
        <v>2021</v>
      </c>
    </row>
    <row r="369" spans="1:6" ht="15" customHeight="1" x14ac:dyDescent="0.3">
      <c r="A369" s="74" t="s">
        <v>527</v>
      </c>
      <c r="B369" s="75">
        <v>44383</v>
      </c>
      <c r="C369" s="74" t="s">
        <v>25</v>
      </c>
      <c r="D369" s="76">
        <v>21.67</v>
      </c>
      <c r="E369" s="76">
        <v>20.41</v>
      </c>
      <c r="F369">
        <v>2021</v>
      </c>
    </row>
    <row r="370" spans="1:6" ht="15" customHeight="1" x14ac:dyDescent="0.3">
      <c r="A370" s="74" t="s">
        <v>528</v>
      </c>
      <c r="B370" s="75">
        <v>44398</v>
      </c>
      <c r="C370" s="74" t="s">
        <v>25</v>
      </c>
      <c r="D370" s="76">
        <v>23</v>
      </c>
      <c r="E370" s="76">
        <v>20.350000000000001</v>
      </c>
      <c r="F370">
        <v>2021</v>
      </c>
    </row>
    <row r="371" spans="1:6" ht="15" customHeight="1" x14ac:dyDescent="0.3">
      <c r="A371" s="74" t="s">
        <v>529</v>
      </c>
      <c r="B371" s="75">
        <v>44410</v>
      </c>
      <c r="C371" s="74" t="s">
        <v>25</v>
      </c>
      <c r="D371" s="76">
        <v>22.88</v>
      </c>
      <c r="E371" s="76">
        <v>22.28</v>
      </c>
      <c r="F371">
        <v>2021</v>
      </c>
    </row>
    <row r="372" spans="1:6" ht="15" customHeight="1" x14ac:dyDescent="0.3">
      <c r="A372" s="74" t="s">
        <v>530</v>
      </c>
      <c r="B372" s="75">
        <v>44426</v>
      </c>
      <c r="C372" s="74" t="s">
        <v>25</v>
      </c>
      <c r="D372" s="76">
        <v>23.66</v>
      </c>
      <c r="E372" s="76">
        <v>21.13</v>
      </c>
      <c r="F372">
        <v>2021</v>
      </c>
    </row>
    <row r="373" spans="1:6" ht="15" customHeight="1" x14ac:dyDescent="0.3">
      <c r="A373" s="74" t="s">
        <v>531</v>
      </c>
      <c r="B373" s="75">
        <v>44438</v>
      </c>
      <c r="C373" s="74" t="s">
        <v>25</v>
      </c>
      <c r="D373" s="76">
        <v>23.7</v>
      </c>
      <c r="E373" s="76">
        <v>23.44</v>
      </c>
      <c r="F373">
        <v>2021</v>
      </c>
    </row>
    <row r="374" spans="1:6" ht="15" customHeight="1" x14ac:dyDescent="0.3">
      <c r="A374" s="74" t="s">
        <v>533</v>
      </c>
      <c r="B374" s="75">
        <v>44475</v>
      </c>
      <c r="C374" s="74" t="s">
        <v>25</v>
      </c>
      <c r="D374" s="76">
        <v>21.08</v>
      </c>
      <c r="E374" s="76">
        <v>20.87</v>
      </c>
      <c r="F374">
        <v>2021</v>
      </c>
    </row>
    <row r="375" spans="1:6" ht="15" customHeight="1" x14ac:dyDescent="0.3">
      <c r="A375" s="74" t="s">
        <v>534</v>
      </c>
      <c r="B375" s="75">
        <v>44504</v>
      </c>
      <c r="C375" s="74" t="s">
        <v>25</v>
      </c>
      <c r="D375" s="76">
        <v>16.95</v>
      </c>
      <c r="E375" s="76">
        <v>16.829999999999998</v>
      </c>
      <c r="F375">
        <v>2021</v>
      </c>
    </row>
    <row r="376" spans="1:6" ht="15" customHeight="1" x14ac:dyDescent="0.3">
      <c r="A376" s="74" t="s">
        <v>535</v>
      </c>
      <c r="B376" s="75">
        <v>44532</v>
      </c>
      <c r="C376" s="74" t="s">
        <v>25</v>
      </c>
      <c r="D376" s="76">
        <v>10.68</v>
      </c>
      <c r="E376" s="76">
        <v>10.69</v>
      </c>
      <c r="F376">
        <v>2021</v>
      </c>
    </row>
    <row r="377" spans="1:6" ht="15" customHeight="1" x14ac:dyDescent="0.3">
      <c r="A377" s="103" t="s">
        <v>539</v>
      </c>
      <c r="B377" s="104">
        <v>44593</v>
      </c>
      <c r="C377" s="103" t="s">
        <v>25</v>
      </c>
      <c r="D377" s="105">
        <v>2.2599999999999998</v>
      </c>
      <c r="E377" s="105">
        <v>2.2999999999999998</v>
      </c>
      <c r="F377">
        <v>2022</v>
      </c>
    </row>
    <row r="378" spans="1:6" ht="15" customHeight="1" x14ac:dyDescent="0.3">
      <c r="A378" s="103" t="s">
        <v>541</v>
      </c>
      <c r="B378" s="104">
        <v>44622</v>
      </c>
      <c r="C378" s="103" t="s">
        <v>25</v>
      </c>
      <c r="D378" s="105">
        <v>3.12</v>
      </c>
      <c r="E378" s="105">
        <v>2.81</v>
      </c>
      <c r="F378">
        <v>2022</v>
      </c>
    </row>
    <row r="379" spans="1:6" ht="15" customHeight="1" x14ac:dyDescent="0.3">
      <c r="A379" s="103" t="s">
        <v>542</v>
      </c>
      <c r="B379" s="104">
        <v>44655</v>
      </c>
      <c r="C379" s="103" t="s">
        <v>25</v>
      </c>
      <c r="D379" s="105">
        <v>5.82</v>
      </c>
      <c r="E379" s="105">
        <v>4.7699999999999996</v>
      </c>
      <c r="F379">
        <v>2022</v>
      </c>
    </row>
    <row r="380" spans="1:6" ht="15" customHeight="1" x14ac:dyDescent="0.3">
      <c r="A380" s="103" t="s">
        <v>543</v>
      </c>
      <c r="B380" s="104">
        <v>44685</v>
      </c>
      <c r="C380" s="103" t="s">
        <v>25</v>
      </c>
      <c r="D380" s="105">
        <v>9.67</v>
      </c>
      <c r="E380" s="105">
        <v>9.48</v>
      </c>
      <c r="F380">
        <v>2022</v>
      </c>
    </row>
    <row r="381" spans="1:6" ht="15" customHeight="1" x14ac:dyDescent="0.3">
      <c r="A381" s="103" t="s">
        <v>544</v>
      </c>
      <c r="B381" s="104">
        <v>44714</v>
      </c>
      <c r="C381" s="103" t="s">
        <v>25</v>
      </c>
      <c r="D381" s="105">
        <v>17.079999999999998</v>
      </c>
      <c r="E381" s="105">
        <v>14.4</v>
      </c>
      <c r="F381">
        <v>2022</v>
      </c>
    </row>
    <row r="382" spans="1:6" ht="15" customHeight="1" x14ac:dyDescent="0.3">
      <c r="A382" s="103" t="s">
        <v>546</v>
      </c>
      <c r="B382" s="104">
        <v>44750</v>
      </c>
      <c r="C382" s="103" t="s">
        <v>25</v>
      </c>
      <c r="D382" s="105">
        <v>21.37</v>
      </c>
      <c r="E382" s="105">
        <v>17.23</v>
      </c>
      <c r="F382">
        <v>2022</v>
      </c>
    </row>
    <row r="383" spans="1:6" ht="15" customHeight="1" x14ac:dyDescent="0.3">
      <c r="A383" s="103" t="s">
        <v>547</v>
      </c>
      <c r="B383" s="104">
        <v>44762</v>
      </c>
      <c r="C383" s="103" t="s">
        <v>25</v>
      </c>
      <c r="D383" s="105">
        <v>24.15</v>
      </c>
      <c r="E383" s="105">
        <v>20.239999999999998</v>
      </c>
      <c r="F383">
        <v>2022</v>
      </c>
    </row>
    <row r="384" spans="1:6" ht="15" customHeight="1" x14ac:dyDescent="0.3">
      <c r="A384" s="103" t="s">
        <v>548</v>
      </c>
      <c r="B384" s="104">
        <v>44774</v>
      </c>
      <c r="C384" s="103" t="s">
        <v>25</v>
      </c>
      <c r="D384" s="105">
        <v>23.3</v>
      </c>
      <c r="E384" s="105">
        <v>20.04</v>
      </c>
      <c r="F384">
        <v>2022</v>
      </c>
    </row>
    <row r="385" spans="1:6" ht="15" customHeight="1" x14ac:dyDescent="0.3">
      <c r="A385" s="103" t="s">
        <v>549</v>
      </c>
      <c r="B385" s="104">
        <v>44792</v>
      </c>
      <c r="C385" s="103" t="s">
        <v>25</v>
      </c>
      <c r="D385" s="105">
        <v>23.77</v>
      </c>
      <c r="E385" s="105">
        <v>23.51</v>
      </c>
      <c r="F385">
        <v>2022</v>
      </c>
    </row>
    <row r="386" spans="1:6" ht="15" customHeight="1" x14ac:dyDescent="0.3">
      <c r="A386" s="103" t="s">
        <v>550</v>
      </c>
      <c r="B386" s="104">
        <v>44804</v>
      </c>
      <c r="C386" s="103" t="s">
        <v>25</v>
      </c>
      <c r="D386" s="105">
        <v>25.47</v>
      </c>
      <c r="E386" s="105">
        <v>23.29</v>
      </c>
      <c r="F386">
        <v>2022</v>
      </c>
    </row>
    <row r="387" spans="1:6" ht="15" customHeight="1" x14ac:dyDescent="0.3">
      <c r="A387" s="103" t="s">
        <v>552</v>
      </c>
      <c r="B387" s="104">
        <v>44840</v>
      </c>
      <c r="C387" s="103" t="s">
        <v>25</v>
      </c>
      <c r="D387" s="105">
        <v>18.86</v>
      </c>
      <c r="E387" s="105">
        <v>18.36</v>
      </c>
      <c r="F387">
        <v>2022</v>
      </c>
    </row>
    <row r="388" spans="1:6" ht="15" customHeight="1" x14ac:dyDescent="0.3">
      <c r="A388" s="103" t="s">
        <v>553</v>
      </c>
      <c r="B388" s="104">
        <v>44872</v>
      </c>
      <c r="C388" s="103" t="s">
        <v>25</v>
      </c>
      <c r="D388" s="106"/>
      <c r="E388" s="106"/>
      <c r="F388">
        <v>2022</v>
      </c>
    </row>
    <row r="389" spans="1:6" ht="15" customHeight="1" x14ac:dyDescent="0.3">
      <c r="A389" s="103" t="s">
        <v>556</v>
      </c>
      <c r="B389" s="104">
        <v>44904</v>
      </c>
      <c r="C389" s="103" t="s">
        <v>25</v>
      </c>
      <c r="D389" s="105">
        <v>10.26</v>
      </c>
      <c r="E389" s="105">
        <v>10.28</v>
      </c>
      <c r="F389">
        <v>2022</v>
      </c>
    </row>
    <row r="390" spans="1:6" ht="15" customHeight="1" x14ac:dyDescent="0.3">
      <c r="A390" s="103" t="s">
        <v>557</v>
      </c>
      <c r="B390" s="104">
        <v>44929</v>
      </c>
      <c r="C390" s="103" t="s">
        <v>25</v>
      </c>
      <c r="D390" s="105">
        <v>5.44</v>
      </c>
      <c r="E390" s="105">
        <v>5.48</v>
      </c>
      <c r="F390">
        <v>2023</v>
      </c>
    </row>
    <row r="391" spans="1:6" ht="15" customHeight="1" x14ac:dyDescent="0.3">
      <c r="A391" s="103" t="s">
        <v>558</v>
      </c>
      <c r="B391" s="104">
        <v>44963</v>
      </c>
      <c r="C391" s="103" t="s">
        <v>25</v>
      </c>
      <c r="D391" s="105">
        <v>4.17</v>
      </c>
      <c r="E391" s="105">
        <v>4.0599999999999996</v>
      </c>
      <c r="F391">
        <v>2023</v>
      </c>
    </row>
    <row r="392" spans="1:6" ht="15" customHeight="1" x14ac:dyDescent="0.3">
      <c r="A392" s="103" t="s">
        <v>559</v>
      </c>
      <c r="B392" s="104">
        <v>45033</v>
      </c>
      <c r="C392" s="103" t="s">
        <v>25</v>
      </c>
      <c r="D392" s="105">
        <v>9.77</v>
      </c>
      <c r="E392" s="105">
        <v>9.66</v>
      </c>
      <c r="F392">
        <v>2023</v>
      </c>
    </row>
    <row r="393" spans="1:6" ht="15" customHeight="1" x14ac:dyDescent="0.3">
      <c r="A393" s="103" t="s">
        <v>560</v>
      </c>
      <c r="B393" s="104">
        <v>45054</v>
      </c>
      <c r="C393" s="103" t="s">
        <v>25</v>
      </c>
      <c r="D393" s="105">
        <v>11.87</v>
      </c>
      <c r="E393" s="105">
        <v>10.220000000000001</v>
      </c>
      <c r="F393">
        <v>2023</v>
      </c>
    </row>
    <row r="394" spans="1:6" ht="15" customHeight="1" x14ac:dyDescent="0.3">
      <c r="A394" s="103" t="s">
        <v>561</v>
      </c>
      <c r="B394" s="104">
        <v>45077</v>
      </c>
      <c r="C394" s="103" t="s">
        <v>25</v>
      </c>
      <c r="D394" s="105">
        <v>16.46</v>
      </c>
      <c r="E394" s="105">
        <v>15.2</v>
      </c>
      <c r="F394">
        <v>2023</v>
      </c>
    </row>
    <row r="395" spans="1:6" ht="15" customHeight="1" x14ac:dyDescent="0.3">
      <c r="A395" s="103" t="s">
        <v>563</v>
      </c>
      <c r="B395" s="104">
        <v>45112</v>
      </c>
      <c r="C395" s="103" t="s">
        <v>25</v>
      </c>
      <c r="D395" s="105">
        <v>23.37</v>
      </c>
      <c r="E395" s="105">
        <v>17.809999999999999</v>
      </c>
      <c r="F395">
        <v>2023</v>
      </c>
    </row>
    <row r="396" spans="1:6" ht="15" customHeight="1" x14ac:dyDescent="0.3">
      <c r="A396" s="103" t="s">
        <v>564</v>
      </c>
      <c r="B396" s="104">
        <v>45126</v>
      </c>
      <c r="C396" s="103" t="s">
        <v>25</v>
      </c>
      <c r="D396" s="105">
        <v>24.45</v>
      </c>
      <c r="E396" s="105">
        <v>22.82</v>
      </c>
      <c r="F396">
        <v>2023</v>
      </c>
    </row>
    <row r="397" spans="1:6" ht="15" customHeight="1" x14ac:dyDescent="0.3">
      <c r="A397" s="103" t="s">
        <v>565</v>
      </c>
      <c r="B397" s="104">
        <v>45138</v>
      </c>
      <c r="C397" s="103" t="s">
        <v>25</v>
      </c>
      <c r="D397" s="105">
        <v>24.03</v>
      </c>
      <c r="E397" s="105">
        <v>21.6</v>
      </c>
      <c r="F397">
        <v>2023</v>
      </c>
    </row>
    <row r="398" spans="1:6" ht="15" customHeight="1" x14ac:dyDescent="0.3">
      <c r="A398" s="103" t="s">
        <v>566</v>
      </c>
      <c r="B398" s="104">
        <v>45154</v>
      </c>
      <c r="C398" s="103" t="s">
        <v>25</v>
      </c>
      <c r="D398" s="105">
        <v>23.43</v>
      </c>
      <c r="E398" s="105">
        <v>22.86</v>
      </c>
      <c r="F398">
        <v>2023</v>
      </c>
    </row>
    <row r="399" spans="1:6" ht="15" customHeight="1" x14ac:dyDescent="0.3">
      <c r="A399" s="103" t="s">
        <v>567</v>
      </c>
      <c r="B399" s="104">
        <v>45167</v>
      </c>
      <c r="C399" s="103" t="s">
        <v>25</v>
      </c>
      <c r="D399" s="105">
        <v>23.37</v>
      </c>
      <c r="E399" s="105">
        <v>22.82</v>
      </c>
      <c r="F399">
        <v>2023</v>
      </c>
    </row>
    <row r="400" spans="1:6" ht="15" customHeight="1" x14ac:dyDescent="0.3">
      <c r="A400" s="103" t="s">
        <v>568</v>
      </c>
      <c r="B400" s="104">
        <v>45204</v>
      </c>
      <c r="C400" s="103" t="s">
        <v>25</v>
      </c>
      <c r="D400" s="105">
        <v>20.49</v>
      </c>
      <c r="E400" s="105">
        <v>19.34</v>
      </c>
      <c r="F400">
        <v>2023</v>
      </c>
    </row>
    <row r="401" spans="1:6" ht="15" customHeight="1" x14ac:dyDescent="0.3">
      <c r="A401" s="103" t="s">
        <v>569</v>
      </c>
      <c r="B401" s="104">
        <v>45239</v>
      </c>
      <c r="C401" s="103" t="s">
        <v>25</v>
      </c>
      <c r="D401" s="105">
        <v>14.8</v>
      </c>
      <c r="E401" s="105">
        <v>14.81</v>
      </c>
      <c r="F401">
        <v>2023</v>
      </c>
    </row>
    <row r="402" spans="1:6" ht="15" customHeight="1" x14ac:dyDescent="0.3">
      <c r="A402" s="103" t="s">
        <v>570</v>
      </c>
      <c r="B402" s="104">
        <v>45265</v>
      </c>
      <c r="C402" s="103" t="s">
        <v>25</v>
      </c>
      <c r="D402" s="105">
        <v>9.3699999999999992</v>
      </c>
      <c r="E402" s="105">
        <v>10.17</v>
      </c>
      <c r="F402">
        <v>2023</v>
      </c>
    </row>
    <row r="403" spans="1:6" ht="15" customHeight="1" x14ac:dyDescent="0.3">
      <c r="A403" s="103" t="s">
        <v>571</v>
      </c>
      <c r="B403" s="104">
        <v>45294</v>
      </c>
      <c r="C403" s="103" t="s">
        <v>25</v>
      </c>
      <c r="D403" s="105">
        <v>6.7</v>
      </c>
      <c r="E403" s="105">
        <v>8.0500000000000007</v>
      </c>
      <c r="F403">
        <v>2024</v>
      </c>
    </row>
    <row r="404" spans="1:6" ht="15" customHeight="1" x14ac:dyDescent="0.3">
      <c r="A404" s="103" t="s">
        <v>572</v>
      </c>
      <c r="B404" s="104">
        <v>45327</v>
      </c>
      <c r="C404" s="103" t="s">
        <v>25</v>
      </c>
      <c r="D404" s="105">
        <v>4.28</v>
      </c>
      <c r="E404" s="105">
        <v>4.17</v>
      </c>
      <c r="F404">
        <v>2024</v>
      </c>
    </row>
    <row r="405" spans="1:6" ht="15" customHeight="1" x14ac:dyDescent="0.3">
      <c r="A405" s="103" t="s">
        <v>574</v>
      </c>
      <c r="B405" s="104">
        <v>45355</v>
      </c>
      <c r="C405" s="103" t="s">
        <v>25</v>
      </c>
      <c r="D405" s="105">
        <v>5.07</v>
      </c>
      <c r="E405" s="105">
        <v>4.13</v>
      </c>
      <c r="F405">
        <v>2024</v>
      </c>
    </row>
    <row r="406" spans="1:6" ht="15" customHeight="1" x14ac:dyDescent="0.3">
      <c r="A406" s="103" t="s">
        <v>576</v>
      </c>
      <c r="B406" s="104">
        <v>45383</v>
      </c>
      <c r="C406" s="103" t="s">
        <v>25</v>
      </c>
      <c r="D406" s="105">
        <v>6.53</v>
      </c>
      <c r="E406" s="105">
        <v>5.66</v>
      </c>
      <c r="F406">
        <v>2024</v>
      </c>
    </row>
    <row r="407" spans="1:6" ht="15" customHeight="1" x14ac:dyDescent="0.3">
      <c r="A407" s="103" t="s">
        <v>577</v>
      </c>
      <c r="B407" s="104">
        <v>45414</v>
      </c>
      <c r="C407" s="103" t="s">
        <v>25</v>
      </c>
      <c r="D407" s="105">
        <v>11.65</v>
      </c>
      <c r="E407" s="105">
        <v>9.65</v>
      </c>
      <c r="F407">
        <v>2024</v>
      </c>
    </row>
    <row r="408" spans="1:6" ht="15" customHeight="1" x14ac:dyDescent="0.3">
      <c r="A408" s="103" t="s">
        <v>578</v>
      </c>
      <c r="B408" s="104">
        <v>45443</v>
      </c>
      <c r="C408" s="103" t="s">
        <v>25</v>
      </c>
      <c r="D408" s="105">
        <v>13.97</v>
      </c>
      <c r="E408" s="105">
        <v>12.93</v>
      </c>
      <c r="F408">
        <v>2024</v>
      </c>
    </row>
    <row r="409" spans="1:6" ht="15" customHeight="1" x14ac:dyDescent="0.3">
      <c r="A409" s="103" t="s">
        <v>580</v>
      </c>
      <c r="B409" s="104">
        <v>45474</v>
      </c>
      <c r="C409" s="103" t="s">
        <v>25</v>
      </c>
      <c r="D409" s="105">
        <v>18.89</v>
      </c>
      <c r="E409" s="105">
        <v>17.57</v>
      </c>
      <c r="F409">
        <v>2024</v>
      </c>
    </row>
    <row r="410" spans="1:6" ht="15" customHeight="1" x14ac:dyDescent="0.3">
      <c r="A410" s="103" t="s">
        <v>581</v>
      </c>
      <c r="B410" s="104">
        <v>45488</v>
      </c>
      <c r="C410" s="103" t="s">
        <v>25</v>
      </c>
      <c r="D410" s="105">
        <v>22.58</v>
      </c>
      <c r="E410" s="105">
        <v>18.579999999999998</v>
      </c>
      <c r="F410">
        <v>2024</v>
      </c>
    </row>
    <row r="411" spans="1:6" ht="15" customHeight="1" x14ac:dyDescent="0.3">
      <c r="A411" s="103" t="s">
        <v>582</v>
      </c>
      <c r="B411" s="104">
        <v>45502</v>
      </c>
      <c r="C411" s="103" t="s">
        <v>25</v>
      </c>
      <c r="D411" s="105">
        <v>23.39</v>
      </c>
      <c r="E411" s="105">
        <v>20.100000000000001</v>
      </c>
      <c r="F411">
        <v>2024</v>
      </c>
    </row>
    <row r="412" spans="1:6" ht="15" customHeight="1" x14ac:dyDescent="0.3">
      <c r="A412" s="103" t="s">
        <v>583</v>
      </c>
      <c r="B412" s="104">
        <v>45518</v>
      </c>
      <c r="C412" s="103" t="s">
        <v>25</v>
      </c>
      <c r="D412" s="105">
        <v>22.6</v>
      </c>
      <c r="E412" s="105">
        <v>21.02</v>
      </c>
      <c r="F412">
        <v>2024</v>
      </c>
    </row>
    <row r="413" spans="1:6" ht="15" customHeight="1" x14ac:dyDescent="0.3">
      <c r="A413" s="103" t="s">
        <v>584</v>
      </c>
      <c r="B413" s="104">
        <v>45530</v>
      </c>
      <c r="C413" s="103" t="s">
        <v>25</v>
      </c>
      <c r="D413" s="105">
        <v>22.74</v>
      </c>
      <c r="E413" s="105">
        <v>21.55</v>
      </c>
      <c r="F413">
        <v>2024</v>
      </c>
    </row>
    <row r="414" spans="1:6" ht="15" customHeight="1" x14ac:dyDescent="0.3">
      <c r="A414" s="147" t="s">
        <v>585</v>
      </c>
      <c r="B414" s="34">
        <v>45567</v>
      </c>
      <c r="C414" s="147" t="s">
        <v>25</v>
      </c>
      <c r="D414" s="148">
        <v>20.399999999999999</v>
      </c>
      <c r="E414" s="148">
        <v>20.27</v>
      </c>
      <c r="F414">
        <v>2024</v>
      </c>
    </row>
    <row r="415" spans="1:6" ht="15" customHeight="1" x14ac:dyDescent="0.3">
      <c r="A415" t="s">
        <v>602</v>
      </c>
      <c r="B415" s="34">
        <v>45670</v>
      </c>
      <c r="C415" t="s">
        <v>25</v>
      </c>
      <c r="D415">
        <v>3.61</v>
      </c>
      <c r="E415">
        <v>3.62</v>
      </c>
      <c r="F415">
        <v>2025</v>
      </c>
    </row>
    <row r="416" spans="1:6" ht="15" customHeight="1" x14ac:dyDescent="0.3">
      <c r="A416" t="s">
        <v>601</v>
      </c>
      <c r="B416" s="34">
        <v>45688</v>
      </c>
      <c r="C416" t="s">
        <v>25</v>
      </c>
      <c r="D416">
        <v>1.99</v>
      </c>
      <c r="E416">
        <v>1.99</v>
      </c>
      <c r="F416">
        <v>2025</v>
      </c>
    </row>
    <row r="417" spans="1:6" ht="15" customHeight="1" x14ac:dyDescent="0.3">
      <c r="A417" t="s">
        <v>593</v>
      </c>
      <c r="B417" s="34">
        <v>45720</v>
      </c>
      <c r="C417" t="s">
        <v>25</v>
      </c>
      <c r="D417">
        <v>1.88</v>
      </c>
      <c r="E417">
        <v>1.65</v>
      </c>
      <c r="F417">
        <v>2025</v>
      </c>
    </row>
    <row r="418" spans="1:6" ht="15" customHeight="1" x14ac:dyDescent="0.3">
      <c r="A418" t="s">
        <v>594</v>
      </c>
      <c r="B418" s="34">
        <v>45751</v>
      </c>
      <c r="C418" t="s">
        <v>25</v>
      </c>
      <c r="D418">
        <v>6.11</v>
      </c>
      <c r="E418">
        <v>6.03</v>
      </c>
      <c r="F418">
        <v>2025</v>
      </c>
    </row>
    <row r="419" spans="1:6" ht="15" customHeight="1" x14ac:dyDescent="0.3">
      <c r="A419" t="s">
        <v>595</v>
      </c>
      <c r="B419" s="34">
        <v>45782</v>
      </c>
      <c r="C419" t="s">
        <v>25</v>
      </c>
      <c r="D419">
        <v>11.14</v>
      </c>
      <c r="E419">
        <v>11.2</v>
      </c>
      <c r="F419">
        <v>2025</v>
      </c>
    </row>
    <row r="420" spans="1:6" ht="15" customHeight="1" x14ac:dyDescent="0.3">
      <c r="A420" t="s">
        <v>596</v>
      </c>
      <c r="B420" s="34">
        <v>45810</v>
      </c>
      <c r="C420" t="s">
        <v>25</v>
      </c>
      <c r="D420">
        <v>14.92</v>
      </c>
      <c r="E420">
        <v>12.79</v>
      </c>
      <c r="F420">
        <v>2025</v>
      </c>
    </row>
    <row r="421" spans="1:6" ht="15" customHeight="1" x14ac:dyDescent="0.3">
      <c r="A421" t="s">
        <v>597</v>
      </c>
      <c r="B421" s="34">
        <v>45840</v>
      </c>
      <c r="C421" t="s">
        <v>25</v>
      </c>
      <c r="D421">
        <v>21.84</v>
      </c>
      <c r="E421">
        <v>16.29</v>
      </c>
      <c r="F421">
        <v>2025</v>
      </c>
    </row>
    <row r="422" spans="1:6" ht="15" customHeight="1" x14ac:dyDescent="0.3">
      <c r="A422" t="s">
        <v>598</v>
      </c>
      <c r="B422" s="34">
        <v>45854</v>
      </c>
      <c r="C422" t="s">
        <v>25</v>
      </c>
      <c r="D422">
        <v>25.05</v>
      </c>
      <c r="E422">
        <v>18.809999999999999</v>
      </c>
      <c r="F422">
        <v>2025</v>
      </c>
    </row>
    <row r="423" spans="1:6" ht="15" customHeight="1" x14ac:dyDescent="0.3">
      <c r="A423" t="s">
        <v>599</v>
      </c>
      <c r="B423" s="34">
        <v>45867</v>
      </c>
      <c r="C423" t="s">
        <v>25</v>
      </c>
      <c r="D423">
        <v>25.44</v>
      </c>
      <c r="E423">
        <v>20.059999999999999</v>
      </c>
      <c r="F423">
        <v>2025</v>
      </c>
    </row>
    <row r="424" spans="1:6" ht="15" customHeight="1" x14ac:dyDescent="0.3">
      <c r="A424" t="s">
        <v>600</v>
      </c>
      <c r="B424" s="34">
        <v>45882</v>
      </c>
      <c r="C424" t="s">
        <v>25</v>
      </c>
      <c r="D424">
        <v>23.96</v>
      </c>
      <c r="E424">
        <v>21.19</v>
      </c>
      <c r="F424">
        <v>2025</v>
      </c>
    </row>
    <row r="425" spans="1:6" ht="15" customHeight="1" x14ac:dyDescent="0.3">
      <c r="A425" t="s">
        <v>603</v>
      </c>
      <c r="B425" s="34">
        <v>45895</v>
      </c>
      <c r="C425" t="s">
        <v>25</v>
      </c>
      <c r="D425">
        <v>22.59</v>
      </c>
      <c r="E425">
        <v>22.11</v>
      </c>
      <c r="F425">
        <v>2025</v>
      </c>
    </row>
  </sheetData>
  <pageMargins left="0.7" right="0.7" top="0.75" bottom="0.75" header="0.3" footer="0.3"/>
  <pageSetup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29"/>
  <sheetViews>
    <sheetView workbookViewId="0">
      <pane ySplit="1" topLeftCell="A413" activePane="bottomLeft" state="frozen"/>
      <selection pane="bottomLeft" activeCell="F421" sqref="F421:F429"/>
    </sheetView>
  </sheetViews>
  <sheetFormatPr defaultRowHeight="15" customHeight="1" x14ac:dyDescent="0.3"/>
  <cols>
    <col min="1" max="1" width="10.44140625" bestFit="1" customWidth="1"/>
    <col min="2" max="2" width="10.6640625" bestFit="1" customWidth="1"/>
    <col min="3" max="3" width="13.109375" bestFit="1" customWidth="1"/>
    <col min="4" max="4" width="7.44140625" bestFit="1" customWidth="1"/>
    <col min="5" max="5" width="7.5546875" bestFit="1" customWidth="1"/>
    <col min="8" max="8" width="12.5546875" bestFit="1" customWidth="1"/>
    <col min="9" max="9" width="16.88671875" bestFit="1" customWidth="1"/>
    <col min="10" max="10" width="17" bestFit="1" customWidth="1"/>
    <col min="11" max="11" width="20.44140625" bestFit="1" customWidth="1"/>
  </cols>
  <sheetData>
    <row r="1" spans="1:16" ht="15" customHeight="1" x14ac:dyDescent="0.3">
      <c r="A1" s="41" t="s">
        <v>1</v>
      </c>
      <c r="B1" s="41" t="s">
        <v>3</v>
      </c>
      <c r="C1" s="41" t="s">
        <v>2</v>
      </c>
      <c r="D1" s="41" t="s">
        <v>4</v>
      </c>
      <c r="E1" s="41" t="s">
        <v>5</v>
      </c>
      <c r="F1" s="48" t="s">
        <v>521</v>
      </c>
      <c r="H1" s="47" t="s">
        <v>515</v>
      </c>
      <c r="I1" t="s">
        <v>519</v>
      </c>
      <c r="J1" t="s">
        <v>518</v>
      </c>
      <c r="K1" t="s">
        <v>520</v>
      </c>
      <c r="M1" t="s">
        <v>515</v>
      </c>
      <c r="N1" t="s">
        <v>519</v>
      </c>
      <c r="O1" t="s">
        <v>518</v>
      </c>
      <c r="P1" t="s">
        <v>520</v>
      </c>
    </row>
    <row r="2" spans="1:16" ht="15" customHeight="1" x14ac:dyDescent="0.3">
      <c r="A2" s="42" t="s">
        <v>79</v>
      </c>
      <c r="B2" s="43">
        <v>34508</v>
      </c>
      <c r="C2" s="42" t="s">
        <v>36</v>
      </c>
      <c r="D2" s="44">
        <v>19.55</v>
      </c>
      <c r="E2" s="45"/>
      <c r="F2">
        <v>1994</v>
      </c>
      <c r="H2" s="9">
        <v>1994</v>
      </c>
      <c r="I2">
        <v>20.388571428571431</v>
      </c>
      <c r="J2">
        <v>10.18</v>
      </c>
      <c r="K2">
        <v>7</v>
      </c>
      <c r="M2">
        <v>1995</v>
      </c>
      <c r="N2">
        <v>12.936666666666667</v>
      </c>
      <c r="O2">
        <v>12.544592857142858</v>
      </c>
      <c r="P2">
        <v>14</v>
      </c>
    </row>
    <row r="3" spans="1:16" ht="15" customHeight="1" x14ac:dyDescent="0.3">
      <c r="A3" s="42" t="s">
        <v>80</v>
      </c>
      <c r="B3" s="43">
        <v>34523</v>
      </c>
      <c r="C3" s="42" t="s">
        <v>36</v>
      </c>
      <c r="D3" s="44">
        <v>24.32</v>
      </c>
      <c r="E3" s="45"/>
      <c r="F3">
        <v>1994</v>
      </c>
      <c r="H3" s="9">
        <v>1995</v>
      </c>
      <c r="I3">
        <v>12.936666666666667</v>
      </c>
      <c r="J3">
        <v>12.544592857142858</v>
      </c>
      <c r="K3">
        <v>14</v>
      </c>
      <c r="M3">
        <v>1996</v>
      </c>
      <c r="N3">
        <v>13.127999999999997</v>
      </c>
      <c r="O3">
        <v>11.694666666666667</v>
      </c>
      <c r="P3">
        <v>15</v>
      </c>
    </row>
    <row r="4" spans="1:16" ht="15" customHeight="1" x14ac:dyDescent="0.3">
      <c r="A4" s="42" t="s">
        <v>81</v>
      </c>
      <c r="B4" s="43">
        <v>34537</v>
      </c>
      <c r="C4" s="42" t="s">
        <v>36</v>
      </c>
      <c r="D4" s="44">
        <v>22.65</v>
      </c>
      <c r="E4" s="45"/>
      <c r="F4">
        <v>1994</v>
      </c>
      <c r="H4" s="9">
        <v>1996</v>
      </c>
      <c r="I4">
        <v>13.127999999999997</v>
      </c>
      <c r="J4">
        <v>11.694666666666667</v>
      </c>
      <c r="K4">
        <v>15</v>
      </c>
      <c r="M4">
        <v>1997</v>
      </c>
      <c r="N4">
        <v>13.120714285714286</v>
      </c>
      <c r="O4">
        <v>11.813076923076922</v>
      </c>
      <c r="P4">
        <v>14</v>
      </c>
    </row>
    <row r="5" spans="1:16" ht="15" customHeight="1" x14ac:dyDescent="0.3">
      <c r="A5" s="42" t="s">
        <v>82</v>
      </c>
      <c r="B5" s="43">
        <v>34550</v>
      </c>
      <c r="C5" s="42" t="s">
        <v>36</v>
      </c>
      <c r="D5" s="44">
        <v>22.17</v>
      </c>
      <c r="E5" s="45"/>
      <c r="F5">
        <v>1994</v>
      </c>
      <c r="H5" s="9">
        <v>1997</v>
      </c>
      <c r="I5">
        <v>13.120714285714286</v>
      </c>
      <c r="J5">
        <v>11.813076923076922</v>
      </c>
      <c r="K5">
        <v>14</v>
      </c>
      <c r="M5">
        <v>1998</v>
      </c>
      <c r="N5">
        <v>15.035333333333332</v>
      </c>
      <c r="O5">
        <v>13.059285714285716</v>
      </c>
      <c r="P5">
        <v>15</v>
      </c>
    </row>
    <row r="6" spans="1:16" ht="15" customHeight="1" x14ac:dyDescent="0.3">
      <c r="A6" s="42" t="s">
        <v>83</v>
      </c>
      <c r="B6" s="43">
        <v>34564</v>
      </c>
      <c r="C6" s="42" t="s">
        <v>36</v>
      </c>
      <c r="D6" s="44">
        <v>21.76</v>
      </c>
      <c r="F6">
        <v>1994</v>
      </c>
      <c r="H6" s="9">
        <v>1998</v>
      </c>
      <c r="I6">
        <v>15.035333333333332</v>
      </c>
      <c r="J6">
        <v>13.059285714285716</v>
      </c>
      <c r="K6">
        <v>15</v>
      </c>
      <c r="M6">
        <v>1999</v>
      </c>
      <c r="N6">
        <v>14.830000000000002</v>
      </c>
      <c r="O6">
        <v>13.410666666666666</v>
      </c>
      <c r="P6">
        <v>15</v>
      </c>
    </row>
    <row r="7" spans="1:16" ht="15" customHeight="1" x14ac:dyDescent="0.3">
      <c r="A7" s="42" t="s">
        <v>84</v>
      </c>
      <c r="B7" s="43">
        <v>34578</v>
      </c>
      <c r="C7" s="42" t="s">
        <v>36</v>
      </c>
      <c r="D7" s="44">
        <v>21.72</v>
      </c>
      <c r="E7" s="45"/>
      <c r="F7">
        <v>1994</v>
      </c>
      <c r="H7" s="9">
        <v>1999</v>
      </c>
      <c r="I7">
        <v>14.830000000000002</v>
      </c>
      <c r="J7">
        <v>13.410666666666666</v>
      </c>
      <c r="K7">
        <v>15</v>
      </c>
      <c r="M7">
        <v>2000</v>
      </c>
      <c r="N7">
        <v>14.428571428571431</v>
      </c>
      <c r="O7">
        <v>13.020714285714286</v>
      </c>
      <c r="P7">
        <v>14</v>
      </c>
    </row>
    <row r="8" spans="1:16" ht="15" customHeight="1" x14ac:dyDescent="0.3">
      <c r="A8" s="42" t="s">
        <v>88</v>
      </c>
      <c r="B8" s="43">
        <v>34675</v>
      </c>
      <c r="C8" s="42" t="s">
        <v>36</v>
      </c>
      <c r="D8" s="44">
        <v>10.55</v>
      </c>
      <c r="E8" s="44">
        <v>10.18</v>
      </c>
      <c r="F8">
        <v>1994</v>
      </c>
      <c r="H8" s="9">
        <v>2000</v>
      </c>
      <c r="I8">
        <v>14.428571428571431</v>
      </c>
      <c r="J8">
        <v>13.020714285714286</v>
      </c>
      <c r="K8">
        <v>14</v>
      </c>
      <c r="M8">
        <v>2001</v>
      </c>
      <c r="N8">
        <v>14.538181818181817</v>
      </c>
      <c r="O8">
        <v>13.17818181818182</v>
      </c>
      <c r="P8">
        <v>13</v>
      </c>
    </row>
    <row r="9" spans="1:16" ht="15" customHeight="1" x14ac:dyDescent="0.3">
      <c r="A9" s="42" t="s">
        <v>89</v>
      </c>
      <c r="B9" s="43">
        <v>34709</v>
      </c>
      <c r="C9" s="42" t="s">
        <v>36</v>
      </c>
      <c r="D9" s="44">
        <v>4.71</v>
      </c>
      <c r="E9" s="44">
        <v>5.27</v>
      </c>
      <c r="F9">
        <v>1995</v>
      </c>
      <c r="H9" s="9">
        <v>2001</v>
      </c>
      <c r="I9">
        <v>14.538181818181817</v>
      </c>
      <c r="J9">
        <v>13.17818181818182</v>
      </c>
      <c r="K9">
        <v>13</v>
      </c>
      <c r="M9">
        <v>2002</v>
      </c>
      <c r="N9">
        <v>14.297142857142857</v>
      </c>
      <c r="O9">
        <v>13.150714285714287</v>
      </c>
      <c r="P9">
        <v>14</v>
      </c>
    </row>
    <row r="10" spans="1:16" ht="15" customHeight="1" x14ac:dyDescent="0.3">
      <c r="A10" s="42" t="s">
        <v>90</v>
      </c>
      <c r="B10" s="43">
        <v>34745</v>
      </c>
      <c r="C10" s="42" t="s">
        <v>36</v>
      </c>
      <c r="D10" s="44">
        <v>1.41</v>
      </c>
      <c r="E10" s="44">
        <v>1.37</v>
      </c>
      <c r="F10">
        <v>1995</v>
      </c>
      <c r="H10" s="9">
        <v>2002</v>
      </c>
      <c r="I10">
        <v>14.297142857142857</v>
      </c>
      <c r="J10">
        <v>13.150714285714287</v>
      </c>
      <c r="K10">
        <v>14</v>
      </c>
      <c r="M10">
        <v>2003</v>
      </c>
      <c r="N10">
        <v>13.613846153846152</v>
      </c>
      <c r="O10">
        <v>11.800769230769228</v>
      </c>
      <c r="P10">
        <v>13</v>
      </c>
    </row>
    <row r="11" spans="1:16" ht="15" customHeight="1" x14ac:dyDescent="0.3">
      <c r="A11" s="42" t="s">
        <v>91</v>
      </c>
      <c r="B11" s="43">
        <v>34765</v>
      </c>
      <c r="C11" s="42" t="s">
        <v>36</v>
      </c>
      <c r="D11" s="44">
        <v>2.21</v>
      </c>
      <c r="E11" s="44">
        <v>1.84</v>
      </c>
      <c r="F11">
        <v>1995</v>
      </c>
      <c r="H11" s="9">
        <v>2003</v>
      </c>
      <c r="I11">
        <v>13.613846153846152</v>
      </c>
      <c r="J11">
        <v>11.800769230769228</v>
      </c>
      <c r="K11">
        <v>13</v>
      </c>
      <c r="M11">
        <v>2004</v>
      </c>
      <c r="N11">
        <v>13.186923076923078</v>
      </c>
      <c r="O11">
        <v>11.762307692307692</v>
      </c>
      <c r="P11">
        <v>13</v>
      </c>
    </row>
    <row r="12" spans="1:16" ht="15" customHeight="1" x14ac:dyDescent="0.3">
      <c r="A12" s="42" t="s">
        <v>92</v>
      </c>
      <c r="B12" s="43">
        <v>34799</v>
      </c>
      <c r="C12" s="42" t="s">
        <v>36</v>
      </c>
      <c r="D12" s="44">
        <v>5.01</v>
      </c>
      <c r="E12" s="46">
        <v>5.01</v>
      </c>
      <c r="F12">
        <v>1995</v>
      </c>
      <c r="H12" s="9">
        <v>2004</v>
      </c>
      <c r="I12">
        <v>13.186923076923078</v>
      </c>
      <c r="J12">
        <v>11.762307692307692</v>
      </c>
      <c r="K12">
        <v>13</v>
      </c>
      <c r="M12">
        <v>2005</v>
      </c>
      <c r="N12">
        <v>14.133571428571429</v>
      </c>
      <c r="O12">
        <v>12.049285714285718</v>
      </c>
      <c r="P12">
        <v>14</v>
      </c>
    </row>
    <row r="13" spans="1:16" ht="15" customHeight="1" x14ac:dyDescent="0.3">
      <c r="A13" s="42" t="s">
        <v>93</v>
      </c>
      <c r="B13" s="43">
        <v>34828</v>
      </c>
      <c r="C13" s="42" t="s">
        <v>36</v>
      </c>
      <c r="D13" s="44">
        <v>9.57</v>
      </c>
      <c r="E13" s="44">
        <v>8.1</v>
      </c>
      <c r="F13">
        <v>1995</v>
      </c>
      <c r="H13" s="9">
        <v>2005</v>
      </c>
      <c r="I13">
        <v>14.133571428571429</v>
      </c>
      <c r="J13">
        <v>12.049285714285718</v>
      </c>
      <c r="K13">
        <v>14</v>
      </c>
      <c r="M13">
        <v>2006</v>
      </c>
      <c r="N13">
        <v>15.817500000000001</v>
      </c>
      <c r="O13">
        <v>14.112500000000002</v>
      </c>
      <c r="P13">
        <v>12</v>
      </c>
    </row>
    <row r="14" spans="1:16" ht="15" customHeight="1" x14ac:dyDescent="0.3">
      <c r="A14" s="42" t="s">
        <v>94</v>
      </c>
      <c r="B14" s="43">
        <v>34855</v>
      </c>
      <c r="C14" s="42" t="s">
        <v>36</v>
      </c>
      <c r="D14" s="44">
        <v>15.66</v>
      </c>
      <c r="E14" s="44">
        <v>11.6008</v>
      </c>
      <c r="F14">
        <v>1995</v>
      </c>
      <c r="H14" s="9">
        <v>2006</v>
      </c>
      <c r="I14">
        <v>15.817500000000001</v>
      </c>
      <c r="J14">
        <v>14.112500000000002</v>
      </c>
      <c r="K14">
        <v>12</v>
      </c>
      <c r="M14">
        <v>2007</v>
      </c>
      <c r="N14">
        <v>14.124999999999998</v>
      </c>
      <c r="O14">
        <v>12.293571428571429</v>
      </c>
      <c r="P14">
        <v>14</v>
      </c>
    </row>
    <row r="15" spans="1:16" ht="15" customHeight="1" x14ac:dyDescent="0.3">
      <c r="A15" s="42" t="s">
        <v>95</v>
      </c>
      <c r="B15" s="43">
        <v>34872</v>
      </c>
      <c r="C15" s="42" t="s">
        <v>36</v>
      </c>
      <c r="D15" s="44">
        <v>17.57</v>
      </c>
      <c r="E15" s="44">
        <v>14.167199999999999</v>
      </c>
      <c r="F15">
        <v>1995</v>
      </c>
      <c r="H15" s="9">
        <v>2007</v>
      </c>
      <c r="I15">
        <v>14.124999999999998</v>
      </c>
      <c r="J15">
        <v>12.293571428571429</v>
      </c>
      <c r="K15">
        <v>14</v>
      </c>
      <c r="M15">
        <v>2008</v>
      </c>
      <c r="N15">
        <v>13.110769230769229</v>
      </c>
      <c r="O15">
        <v>11.926923076923076</v>
      </c>
      <c r="P15">
        <v>14</v>
      </c>
    </row>
    <row r="16" spans="1:16" ht="15" customHeight="1" x14ac:dyDescent="0.3">
      <c r="A16" s="42" t="s">
        <v>96</v>
      </c>
      <c r="B16" s="43">
        <v>34890</v>
      </c>
      <c r="C16" s="42" t="s">
        <v>36</v>
      </c>
      <c r="D16" s="45"/>
      <c r="E16" s="44">
        <v>17.095500000000001</v>
      </c>
      <c r="F16">
        <v>1995</v>
      </c>
      <c r="H16" s="9">
        <v>2008</v>
      </c>
      <c r="I16">
        <v>13.110769230769229</v>
      </c>
      <c r="J16">
        <v>11.926923076923076</v>
      </c>
      <c r="K16">
        <v>14</v>
      </c>
      <c r="M16">
        <v>2009</v>
      </c>
      <c r="N16">
        <v>13.638571428571428</v>
      </c>
      <c r="O16">
        <v>11.828571428571427</v>
      </c>
      <c r="P16">
        <v>14</v>
      </c>
    </row>
    <row r="17" spans="1:16" ht="15" customHeight="1" x14ac:dyDescent="0.3">
      <c r="A17" s="42" t="s">
        <v>97</v>
      </c>
      <c r="B17" s="43">
        <v>34900</v>
      </c>
      <c r="C17" s="42" t="s">
        <v>36</v>
      </c>
      <c r="D17" s="44">
        <v>22.07</v>
      </c>
      <c r="E17" s="44">
        <v>18.52</v>
      </c>
      <c r="F17">
        <v>1995</v>
      </c>
      <c r="H17" s="9">
        <v>2009</v>
      </c>
      <c r="I17">
        <v>13.638571428571428</v>
      </c>
      <c r="J17">
        <v>11.828571428571427</v>
      </c>
      <c r="K17">
        <v>14</v>
      </c>
      <c r="M17">
        <v>2010</v>
      </c>
      <c r="N17">
        <v>14.674285714285714</v>
      </c>
      <c r="O17">
        <v>12.79857142857143</v>
      </c>
      <c r="P17">
        <v>14</v>
      </c>
    </row>
    <row r="18" spans="1:16" ht="15" customHeight="1" x14ac:dyDescent="0.3">
      <c r="A18" s="42" t="s">
        <v>98</v>
      </c>
      <c r="B18" s="43">
        <v>34913</v>
      </c>
      <c r="C18" s="42" t="s">
        <v>36</v>
      </c>
      <c r="D18" s="44">
        <v>23.19</v>
      </c>
      <c r="E18" s="44">
        <v>20.170000000000002</v>
      </c>
      <c r="F18">
        <v>1995</v>
      </c>
      <c r="H18" s="9">
        <v>2010</v>
      </c>
      <c r="I18">
        <v>14.674285714285714</v>
      </c>
      <c r="J18">
        <v>12.79857142857143</v>
      </c>
      <c r="K18">
        <v>14</v>
      </c>
      <c r="M18">
        <v>2011</v>
      </c>
      <c r="N18">
        <v>14.346428571428572</v>
      </c>
      <c r="O18">
        <v>12.725714285714288</v>
      </c>
      <c r="P18">
        <v>14</v>
      </c>
    </row>
    <row r="19" spans="1:16" ht="15" customHeight="1" x14ac:dyDescent="0.3">
      <c r="A19" s="42" t="s">
        <v>99</v>
      </c>
      <c r="B19" s="43">
        <v>34926</v>
      </c>
      <c r="C19" s="42" t="s">
        <v>36</v>
      </c>
      <c r="D19" s="44">
        <v>24.8</v>
      </c>
      <c r="E19" s="44">
        <v>21.348500000000001</v>
      </c>
      <c r="F19">
        <v>1995</v>
      </c>
      <c r="H19" s="9">
        <v>2011</v>
      </c>
      <c r="I19">
        <v>14.346428571428572</v>
      </c>
      <c r="J19">
        <v>12.725714285714288</v>
      </c>
      <c r="K19">
        <v>14</v>
      </c>
      <c r="M19">
        <v>2012</v>
      </c>
      <c r="N19">
        <v>14.957142857142856</v>
      </c>
      <c r="O19">
        <v>13.959999999999999</v>
      </c>
      <c r="P19">
        <v>14</v>
      </c>
    </row>
    <row r="20" spans="1:16" ht="15" customHeight="1" x14ac:dyDescent="0.3">
      <c r="A20" s="42" t="s">
        <v>100</v>
      </c>
      <c r="B20" s="43">
        <v>34953</v>
      </c>
      <c r="C20" s="42" t="s">
        <v>36</v>
      </c>
      <c r="D20" s="45"/>
      <c r="E20" s="44">
        <v>21.9223</v>
      </c>
      <c r="F20">
        <v>1995</v>
      </c>
      <c r="H20" s="9">
        <v>2012</v>
      </c>
      <c r="I20">
        <v>14.957142857142856</v>
      </c>
      <c r="J20">
        <v>13.959999999999999</v>
      </c>
      <c r="K20">
        <v>14</v>
      </c>
      <c r="M20">
        <v>2013</v>
      </c>
      <c r="N20">
        <v>14.495000000000001</v>
      </c>
      <c r="O20">
        <v>12.682142857142859</v>
      </c>
      <c r="P20">
        <v>14</v>
      </c>
    </row>
    <row r="21" spans="1:16" ht="15" customHeight="1" x14ac:dyDescent="0.3">
      <c r="A21" s="42" t="s">
        <v>101</v>
      </c>
      <c r="B21" s="43">
        <v>34975</v>
      </c>
      <c r="C21" s="42" t="s">
        <v>36</v>
      </c>
      <c r="D21" s="44">
        <v>19.66</v>
      </c>
      <c r="E21" s="44">
        <v>19.82</v>
      </c>
      <c r="F21">
        <v>1995</v>
      </c>
      <c r="H21" s="9">
        <v>2013</v>
      </c>
      <c r="I21">
        <v>14.495000000000001</v>
      </c>
      <c r="J21">
        <v>12.682142857142859</v>
      </c>
      <c r="K21">
        <v>14</v>
      </c>
      <c r="M21">
        <v>2014</v>
      </c>
      <c r="N21">
        <v>13.756666666666666</v>
      </c>
      <c r="O21">
        <v>12.464</v>
      </c>
      <c r="P21">
        <v>15</v>
      </c>
    </row>
    <row r="22" spans="1:16" ht="15" customHeight="1" x14ac:dyDescent="0.3">
      <c r="A22" s="42" t="s">
        <v>103</v>
      </c>
      <c r="B22" s="43">
        <v>35038</v>
      </c>
      <c r="C22" s="42" t="s">
        <v>36</v>
      </c>
      <c r="D22" s="44">
        <v>9.3800000000000008</v>
      </c>
      <c r="E22" s="44">
        <v>9.39</v>
      </c>
      <c r="F22">
        <v>1995</v>
      </c>
      <c r="H22" s="9">
        <v>2014</v>
      </c>
      <c r="I22">
        <v>13.756666666666666</v>
      </c>
      <c r="J22">
        <v>12.464</v>
      </c>
      <c r="K22">
        <v>15</v>
      </c>
      <c r="M22">
        <v>2015</v>
      </c>
      <c r="N22">
        <v>13.935333333333331</v>
      </c>
      <c r="O22">
        <v>12.079333333333333</v>
      </c>
      <c r="P22">
        <v>15</v>
      </c>
    </row>
    <row r="23" spans="1:16" ht="15" customHeight="1" x14ac:dyDescent="0.3">
      <c r="A23" s="42" t="s">
        <v>495</v>
      </c>
      <c r="B23" s="43">
        <v>35074</v>
      </c>
      <c r="C23" s="42" t="s">
        <v>36</v>
      </c>
      <c r="D23" s="44">
        <v>1.42</v>
      </c>
      <c r="E23" s="44">
        <v>1.41</v>
      </c>
      <c r="F23">
        <v>1996</v>
      </c>
      <c r="H23" s="9">
        <v>2015</v>
      </c>
      <c r="I23">
        <v>13.935333333333331</v>
      </c>
      <c r="J23">
        <v>12.079333333333333</v>
      </c>
      <c r="K23">
        <v>15</v>
      </c>
      <c r="M23">
        <v>2016</v>
      </c>
      <c r="N23">
        <v>15.256428571428572</v>
      </c>
      <c r="O23">
        <v>14.307142857142855</v>
      </c>
      <c r="P23">
        <v>15</v>
      </c>
    </row>
    <row r="24" spans="1:16" ht="15" customHeight="1" x14ac:dyDescent="0.3">
      <c r="A24" s="42" t="s">
        <v>104</v>
      </c>
      <c r="B24" s="43">
        <v>35102</v>
      </c>
      <c r="C24" s="42" t="s">
        <v>36</v>
      </c>
      <c r="D24" s="44">
        <v>0.48</v>
      </c>
      <c r="E24" s="44">
        <v>0.67</v>
      </c>
      <c r="F24">
        <v>1996</v>
      </c>
      <c r="H24" s="9">
        <v>2016</v>
      </c>
      <c r="I24">
        <v>15.256428571428572</v>
      </c>
      <c r="J24">
        <v>14.307142857142855</v>
      </c>
      <c r="K24">
        <v>15</v>
      </c>
      <c r="M24">
        <v>2017</v>
      </c>
      <c r="N24">
        <v>14.748571428571429</v>
      </c>
      <c r="O24">
        <v>13.147142857142857</v>
      </c>
      <c r="P24">
        <v>14</v>
      </c>
    </row>
    <row r="25" spans="1:16" ht="15" customHeight="1" x14ac:dyDescent="0.3">
      <c r="A25" s="42" t="s">
        <v>105</v>
      </c>
      <c r="B25" s="43">
        <v>35130</v>
      </c>
      <c r="C25" s="42" t="s">
        <v>36</v>
      </c>
      <c r="D25" s="44">
        <v>0.81</v>
      </c>
      <c r="E25" s="46">
        <v>0.67</v>
      </c>
      <c r="F25">
        <v>1996</v>
      </c>
      <c r="H25" s="9">
        <v>2017</v>
      </c>
      <c r="I25">
        <v>14.748571428571429</v>
      </c>
      <c r="J25">
        <v>13.147142857142857</v>
      </c>
      <c r="K25">
        <v>14</v>
      </c>
      <c r="M25">
        <v>2018</v>
      </c>
      <c r="N25">
        <v>14.330714285714285</v>
      </c>
      <c r="O25">
        <v>12.422857142857142</v>
      </c>
      <c r="P25">
        <v>14</v>
      </c>
    </row>
    <row r="26" spans="1:16" ht="15" customHeight="1" x14ac:dyDescent="0.3">
      <c r="A26" s="42" t="s">
        <v>106</v>
      </c>
      <c r="B26" s="43">
        <v>35158</v>
      </c>
      <c r="C26" s="42" t="s">
        <v>36</v>
      </c>
      <c r="D26" s="44">
        <v>2.78</v>
      </c>
      <c r="E26" s="44">
        <v>2.6</v>
      </c>
      <c r="F26">
        <v>1996</v>
      </c>
      <c r="H26" s="9">
        <v>2018</v>
      </c>
      <c r="I26">
        <v>14.330714285714285</v>
      </c>
      <c r="J26">
        <v>12.422857142857142</v>
      </c>
      <c r="K26">
        <v>14</v>
      </c>
      <c r="M26">
        <v>2019</v>
      </c>
      <c r="N26">
        <v>14.178571428571431</v>
      </c>
      <c r="O26">
        <v>12.597857142857142</v>
      </c>
      <c r="P26">
        <v>14</v>
      </c>
    </row>
    <row r="27" spans="1:16" ht="15" customHeight="1" x14ac:dyDescent="0.3">
      <c r="A27" s="42" t="s">
        <v>107</v>
      </c>
      <c r="B27" s="43">
        <v>35195</v>
      </c>
      <c r="C27" s="42" t="s">
        <v>36</v>
      </c>
      <c r="D27" s="44">
        <v>9.7100000000000009</v>
      </c>
      <c r="E27" s="44">
        <v>8.1199999999999992</v>
      </c>
      <c r="F27">
        <v>1996</v>
      </c>
      <c r="H27" s="9">
        <v>2019</v>
      </c>
      <c r="I27">
        <v>14.178571428571431</v>
      </c>
      <c r="J27">
        <v>12.597857142857142</v>
      </c>
      <c r="K27">
        <v>14</v>
      </c>
      <c r="M27">
        <v>2020</v>
      </c>
      <c r="N27">
        <v>16.829090909090908</v>
      </c>
      <c r="O27">
        <v>15.05818181818182</v>
      </c>
      <c r="P27">
        <v>11</v>
      </c>
    </row>
    <row r="28" spans="1:16" ht="15" customHeight="1" x14ac:dyDescent="0.3">
      <c r="A28" s="42" t="s">
        <v>108</v>
      </c>
      <c r="B28" s="43">
        <v>35221</v>
      </c>
      <c r="C28" s="42" t="s">
        <v>36</v>
      </c>
      <c r="D28" s="44">
        <v>13.57</v>
      </c>
      <c r="E28" s="44">
        <v>10.36</v>
      </c>
      <c r="F28">
        <v>1996</v>
      </c>
      <c r="H28" s="9">
        <v>2020</v>
      </c>
      <c r="I28">
        <v>16.829090909090908</v>
      </c>
      <c r="J28">
        <v>15.05818181818182</v>
      </c>
      <c r="K28">
        <v>11</v>
      </c>
      <c r="M28">
        <v>2021</v>
      </c>
      <c r="N28">
        <v>16.716666666666665</v>
      </c>
      <c r="O28">
        <v>14.639999999999999</v>
      </c>
      <c r="P28">
        <v>12</v>
      </c>
    </row>
    <row r="29" spans="1:16" ht="15" customHeight="1" x14ac:dyDescent="0.3">
      <c r="A29" s="42" t="s">
        <v>109</v>
      </c>
      <c r="B29" s="43">
        <v>35241</v>
      </c>
      <c r="C29" s="42" t="s">
        <v>36</v>
      </c>
      <c r="D29" s="44">
        <v>19.809999999999999</v>
      </c>
      <c r="E29" s="44">
        <v>14.02</v>
      </c>
      <c r="F29">
        <v>1996</v>
      </c>
      <c r="H29" s="9">
        <v>2021</v>
      </c>
      <c r="I29">
        <v>16.716666666666665</v>
      </c>
      <c r="J29">
        <v>14.639999999999999</v>
      </c>
      <c r="K29">
        <v>12</v>
      </c>
      <c r="M29">
        <v>2022</v>
      </c>
      <c r="N29">
        <v>15.638461538461534</v>
      </c>
      <c r="O29">
        <v>14.00923076923077</v>
      </c>
      <c r="P29">
        <v>13</v>
      </c>
    </row>
    <row r="30" spans="1:16" ht="15" customHeight="1" x14ac:dyDescent="0.3">
      <c r="A30" s="42" t="s">
        <v>110</v>
      </c>
      <c r="B30" s="43">
        <v>35256</v>
      </c>
      <c r="C30" s="42" t="s">
        <v>36</v>
      </c>
      <c r="D30" s="44">
        <v>19.11</v>
      </c>
      <c r="E30" s="44">
        <v>16.34</v>
      </c>
      <c r="F30">
        <v>1996</v>
      </c>
      <c r="H30" s="9">
        <v>2022</v>
      </c>
      <c r="I30">
        <v>15.638461538461534</v>
      </c>
      <c r="J30">
        <v>14.00923076923077</v>
      </c>
      <c r="K30">
        <v>13</v>
      </c>
      <c r="M30" s="9">
        <v>2023</v>
      </c>
      <c r="N30">
        <v>17.022499999999997</v>
      </c>
      <c r="O30">
        <v>14.847500000000002</v>
      </c>
      <c r="P30">
        <v>12</v>
      </c>
    </row>
    <row r="31" spans="1:16" ht="15" customHeight="1" thickBot="1" x14ac:dyDescent="0.35">
      <c r="A31" s="42" t="s">
        <v>111</v>
      </c>
      <c r="B31" s="43">
        <v>35269</v>
      </c>
      <c r="C31" s="42" t="s">
        <v>36</v>
      </c>
      <c r="D31" s="44">
        <v>19.329999999999998</v>
      </c>
      <c r="E31" s="44">
        <v>18.45</v>
      </c>
      <c r="F31">
        <v>1996</v>
      </c>
      <c r="H31" s="9">
        <v>2023</v>
      </c>
      <c r="I31">
        <v>17.022499999999997</v>
      </c>
      <c r="J31">
        <v>14.847500000000002</v>
      </c>
      <c r="K31">
        <v>12</v>
      </c>
      <c r="M31" s="122">
        <v>2024</v>
      </c>
      <c r="N31" s="115">
        <v>15.469999999999999</v>
      </c>
      <c r="O31" s="115">
        <v>13.424166666666665</v>
      </c>
      <c r="P31" s="115">
        <v>12</v>
      </c>
    </row>
    <row r="32" spans="1:16" ht="15" customHeight="1" x14ac:dyDescent="0.3">
      <c r="A32" s="42" t="s">
        <v>112</v>
      </c>
      <c r="B32" s="43">
        <v>35283</v>
      </c>
      <c r="C32" s="42" t="s">
        <v>36</v>
      </c>
      <c r="D32" s="44">
        <v>23.63</v>
      </c>
      <c r="E32" s="44">
        <v>19.100000000000001</v>
      </c>
      <c r="F32">
        <v>1996</v>
      </c>
      <c r="H32" s="9">
        <v>2024</v>
      </c>
      <c r="I32">
        <v>15.469999999999999</v>
      </c>
      <c r="J32">
        <v>13.424166666666665</v>
      </c>
      <c r="K32">
        <v>12</v>
      </c>
      <c r="M32" t="s">
        <v>517</v>
      </c>
      <c r="N32">
        <v>14.601893203883492</v>
      </c>
      <c r="O32">
        <v>12.91402536945813</v>
      </c>
      <c r="P32">
        <v>418</v>
      </c>
    </row>
    <row r="33" spans="1:11" ht="15" customHeight="1" x14ac:dyDescent="0.3">
      <c r="A33" s="42" t="s">
        <v>113</v>
      </c>
      <c r="B33" s="43">
        <v>35299</v>
      </c>
      <c r="C33" s="42" t="s">
        <v>36</v>
      </c>
      <c r="D33" s="44">
        <v>21.43</v>
      </c>
      <c r="E33" s="44">
        <v>19.920000000000002</v>
      </c>
      <c r="F33">
        <v>1996</v>
      </c>
      <c r="H33" s="9" t="s">
        <v>517</v>
      </c>
      <c r="I33">
        <v>14.601893203883492</v>
      </c>
      <c r="J33">
        <v>12.91402536945813</v>
      </c>
      <c r="K33">
        <v>418</v>
      </c>
    </row>
    <row r="34" spans="1:11" ht="15" customHeight="1" x14ac:dyDescent="0.3">
      <c r="A34" s="42" t="s">
        <v>114</v>
      </c>
      <c r="B34" s="43">
        <v>35312</v>
      </c>
      <c r="C34" s="42" t="s">
        <v>36</v>
      </c>
      <c r="D34" s="44">
        <v>22.71</v>
      </c>
      <c r="E34" s="44">
        <v>20.65</v>
      </c>
      <c r="F34">
        <v>1996</v>
      </c>
    </row>
    <row r="35" spans="1:11" ht="15" customHeight="1" x14ac:dyDescent="0.3">
      <c r="A35" s="42" t="s">
        <v>115</v>
      </c>
      <c r="B35" s="43">
        <v>35340</v>
      </c>
      <c r="C35" s="42" t="s">
        <v>36</v>
      </c>
      <c r="D35" s="44">
        <v>19.36</v>
      </c>
      <c r="E35" s="46">
        <v>19.48</v>
      </c>
      <c r="F35">
        <v>1996</v>
      </c>
    </row>
    <row r="36" spans="1:11" ht="15" customHeight="1" x14ac:dyDescent="0.3">
      <c r="A36" s="42" t="s">
        <v>116</v>
      </c>
      <c r="B36" s="43">
        <v>35376</v>
      </c>
      <c r="C36" s="42" t="s">
        <v>36</v>
      </c>
      <c r="D36" s="44">
        <v>14.01</v>
      </c>
      <c r="E36" s="44">
        <v>14.16</v>
      </c>
      <c r="F36">
        <v>1996</v>
      </c>
    </row>
    <row r="37" spans="1:11" ht="15" customHeight="1" x14ac:dyDescent="0.3">
      <c r="A37" s="42" t="s">
        <v>117</v>
      </c>
      <c r="B37" s="43">
        <v>35402</v>
      </c>
      <c r="C37" s="42" t="s">
        <v>36</v>
      </c>
      <c r="D37" s="44">
        <v>8.76</v>
      </c>
      <c r="E37" s="44">
        <v>9.4700000000000006</v>
      </c>
      <c r="F37">
        <v>1996</v>
      </c>
    </row>
    <row r="38" spans="1:11" ht="15" customHeight="1" x14ac:dyDescent="0.3">
      <c r="A38" s="42" t="s">
        <v>496</v>
      </c>
      <c r="B38" s="43">
        <v>35444</v>
      </c>
      <c r="C38" s="42" t="s">
        <v>36</v>
      </c>
      <c r="D38" s="44">
        <v>4.3</v>
      </c>
      <c r="E38" s="44">
        <v>4.43</v>
      </c>
      <c r="F38">
        <v>1997</v>
      </c>
    </row>
    <row r="39" spans="1:11" ht="15" customHeight="1" x14ac:dyDescent="0.3">
      <c r="A39" s="42" t="s">
        <v>118</v>
      </c>
      <c r="B39" s="43">
        <v>35467</v>
      </c>
      <c r="C39" s="42" t="s">
        <v>36</v>
      </c>
      <c r="D39" s="44">
        <v>2.2599999999999998</v>
      </c>
      <c r="E39" s="44">
        <v>2.54</v>
      </c>
      <c r="F39">
        <v>1997</v>
      </c>
    </row>
    <row r="40" spans="1:11" ht="15" customHeight="1" x14ac:dyDescent="0.3">
      <c r="A40" s="42" t="s">
        <v>119</v>
      </c>
      <c r="B40" s="43">
        <v>35494</v>
      </c>
      <c r="C40" s="42" t="s">
        <v>36</v>
      </c>
      <c r="D40" s="44">
        <v>3.09</v>
      </c>
      <c r="E40" s="44">
        <v>3.18</v>
      </c>
      <c r="F40">
        <v>1997</v>
      </c>
    </row>
    <row r="41" spans="1:11" ht="15" customHeight="1" x14ac:dyDescent="0.3">
      <c r="A41" s="42" t="s">
        <v>120</v>
      </c>
      <c r="B41" s="43">
        <v>35524</v>
      </c>
      <c r="C41" s="42" t="s">
        <v>36</v>
      </c>
      <c r="D41" s="44">
        <v>5.2</v>
      </c>
      <c r="E41" s="44">
        <v>4.22</v>
      </c>
      <c r="F41">
        <v>1997</v>
      </c>
    </row>
    <row r="42" spans="1:11" ht="15" customHeight="1" x14ac:dyDescent="0.3">
      <c r="A42" s="42" t="s">
        <v>121</v>
      </c>
      <c r="B42" s="43">
        <v>35559</v>
      </c>
      <c r="C42" s="42" t="s">
        <v>36</v>
      </c>
      <c r="D42" s="44">
        <v>8.99</v>
      </c>
      <c r="E42" s="44">
        <v>8.7899999999999991</v>
      </c>
      <c r="F42">
        <v>1997</v>
      </c>
    </row>
    <row r="43" spans="1:11" ht="15" customHeight="1" x14ac:dyDescent="0.3">
      <c r="A43" s="42" t="s">
        <v>122</v>
      </c>
      <c r="B43" s="43">
        <v>35584</v>
      </c>
      <c r="C43" s="42" t="s">
        <v>36</v>
      </c>
      <c r="D43" s="44">
        <v>12.49</v>
      </c>
      <c r="E43" s="44">
        <v>10.58</v>
      </c>
      <c r="F43">
        <v>1997</v>
      </c>
    </row>
    <row r="44" spans="1:11" ht="15" customHeight="1" x14ac:dyDescent="0.3">
      <c r="A44" s="42" t="s">
        <v>491</v>
      </c>
      <c r="B44" s="43">
        <v>35619</v>
      </c>
      <c r="C44" s="42" t="s">
        <v>36</v>
      </c>
      <c r="D44" s="44">
        <v>20.010000000000002</v>
      </c>
      <c r="E44" s="44">
        <v>16.62</v>
      </c>
      <c r="F44">
        <v>1997</v>
      </c>
    </row>
    <row r="45" spans="1:11" ht="15" customHeight="1" x14ac:dyDescent="0.3">
      <c r="A45" s="42" t="s">
        <v>124</v>
      </c>
      <c r="B45" s="43">
        <v>35635</v>
      </c>
      <c r="C45" s="42" t="s">
        <v>36</v>
      </c>
      <c r="D45" s="44">
        <v>20.02</v>
      </c>
      <c r="E45" s="45"/>
      <c r="F45">
        <v>1997</v>
      </c>
    </row>
    <row r="46" spans="1:11" ht="15" customHeight="1" x14ac:dyDescent="0.3">
      <c r="A46" s="42" t="s">
        <v>125</v>
      </c>
      <c r="B46" s="43">
        <v>35648</v>
      </c>
      <c r="C46" s="42" t="s">
        <v>36</v>
      </c>
      <c r="D46" s="44">
        <v>21.98</v>
      </c>
      <c r="E46" s="44">
        <v>19.48</v>
      </c>
      <c r="F46">
        <v>1997</v>
      </c>
    </row>
    <row r="47" spans="1:11" ht="15" customHeight="1" x14ac:dyDescent="0.3">
      <c r="A47" s="42" t="s">
        <v>126</v>
      </c>
      <c r="B47" s="43">
        <v>35664</v>
      </c>
      <c r="C47" s="42" t="s">
        <v>36</v>
      </c>
      <c r="D47" s="44">
        <v>21.49</v>
      </c>
      <c r="E47" s="46">
        <v>20.89</v>
      </c>
      <c r="F47">
        <v>1997</v>
      </c>
    </row>
    <row r="48" spans="1:11" ht="15" customHeight="1" x14ac:dyDescent="0.3">
      <c r="A48" s="42" t="s">
        <v>127</v>
      </c>
      <c r="B48" s="43">
        <v>35678</v>
      </c>
      <c r="C48" s="42" t="s">
        <v>36</v>
      </c>
      <c r="D48" s="44">
        <v>21.25</v>
      </c>
      <c r="E48" s="44">
        <v>21.12</v>
      </c>
      <c r="F48">
        <v>1997</v>
      </c>
    </row>
    <row r="49" spans="1:6" ht="15" customHeight="1" x14ac:dyDescent="0.3">
      <c r="A49" s="42" t="s">
        <v>128</v>
      </c>
      <c r="B49" s="43">
        <v>35709</v>
      </c>
      <c r="C49" s="42" t="s">
        <v>36</v>
      </c>
      <c r="D49" s="44">
        <v>19.37</v>
      </c>
      <c r="E49" s="46">
        <v>18.72</v>
      </c>
      <c r="F49">
        <v>1997</v>
      </c>
    </row>
    <row r="50" spans="1:6" ht="15" customHeight="1" x14ac:dyDescent="0.3">
      <c r="A50" s="42" t="s">
        <v>129</v>
      </c>
      <c r="B50" s="43">
        <v>35739</v>
      </c>
      <c r="C50" s="42" t="s">
        <v>36</v>
      </c>
      <c r="D50" s="44">
        <v>14.55</v>
      </c>
      <c r="E50" s="44">
        <v>14.31</v>
      </c>
      <c r="F50">
        <v>1997</v>
      </c>
    </row>
    <row r="51" spans="1:6" ht="15" customHeight="1" x14ac:dyDescent="0.3">
      <c r="A51" s="42" t="s">
        <v>130</v>
      </c>
      <c r="B51" s="43">
        <v>35769</v>
      </c>
      <c r="C51" s="42" t="s">
        <v>36</v>
      </c>
      <c r="D51" s="44">
        <v>8.69</v>
      </c>
      <c r="E51" s="44">
        <v>8.69</v>
      </c>
      <c r="F51">
        <v>1997</v>
      </c>
    </row>
    <row r="52" spans="1:6" ht="15" customHeight="1" x14ac:dyDescent="0.3">
      <c r="A52" s="42" t="s">
        <v>131</v>
      </c>
      <c r="B52" s="43">
        <v>35803</v>
      </c>
      <c r="C52" s="42" t="s">
        <v>36</v>
      </c>
      <c r="D52" s="44">
        <v>4.79</v>
      </c>
      <c r="E52" s="44">
        <v>4.82</v>
      </c>
      <c r="F52">
        <v>1998</v>
      </c>
    </row>
    <row r="53" spans="1:6" ht="15" customHeight="1" x14ac:dyDescent="0.3">
      <c r="A53" s="42" t="s">
        <v>132</v>
      </c>
      <c r="B53" s="43">
        <v>35829</v>
      </c>
      <c r="C53" s="42" t="s">
        <v>36</v>
      </c>
      <c r="D53" s="44">
        <v>3.61</v>
      </c>
      <c r="E53" s="44">
        <v>3.73</v>
      </c>
      <c r="F53">
        <v>1998</v>
      </c>
    </row>
    <row r="54" spans="1:6" ht="15" customHeight="1" x14ac:dyDescent="0.3">
      <c r="A54" s="42" t="s">
        <v>134</v>
      </c>
      <c r="B54" s="43">
        <v>35857</v>
      </c>
      <c r="C54" s="42" t="s">
        <v>36</v>
      </c>
      <c r="D54" s="44">
        <v>4.07</v>
      </c>
      <c r="E54" s="44">
        <v>3.99</v>
      </c>
      <c r="F54">
        <v>1998</v>
      </c>
    </row>
    <row r="55" spans="1:6" ht="15" customHeight="1" x14ac:dyDescent="0.3">
      <c r="A55" s="42" t="s">
        <v>136</v>
      </c>
      <c r="B55" s="43">
        <v>35899</v>
      </c>
      <c r="C55" s="42" t="s">
        <v>36</v>
      </c>
      <c r="D55" s="44">
        <v>7.48</v>
      </c>
      <c r="E55" s="44">
        <v>6.27</v>
      </c>
      <c r="F55">
        <v>1998</v>
      </c>
    </row>
    <row r="56" spans="1:6" ht="15" customHeight="1" x14ac:dyDescent="0.3">
      <c r="A56" s="42" t="s">
        <v>137</v>
      </c>
      <c r="B56" s="43">
        <v>35923</v>
      </c>
      <c r="C56" s="42" t="s">
        <v>36</v>
      </c>
      <c r="D56" s="44">
        <v>12.07</v>
      </c>
      <c r="E56" s="44">
        <v>9.0500000000000007</v>
      </c>
      <c r="F56">
        <v>1998</v>
      </c>
    </row>
    <row r="57" spans="1:6" ht="15" customHeight="1" x14ac:dyDescent="0.3">
      <c r="A57" s="42" t="s">
        <v>138</v>
      </c>
      <c r="B57" s="43">
        <v>35947</v>
      </c>
      <c r="C57" s="42" t="s">
        <v>36</v>
      </c>
      <c r="D57" s="44">
        <v>14.47</v>
      </c>
      <c r="E57" s="46">
        <v>12.95</v>
      </c>
      <c r="F57">
        <v>1998</v>
      </c>
    </row>
    <row r="58" spans="1:6" ht="15" customHeight="1" x14ac:dyDescent="0.3">
      <c r="A58" s="42" t="s">
        <v>139</v>
      </c>
      <c r="B58" s="43">
        <v>35970</v>
      </c>
      <c r="C58" s="42" t="s">
        <v>36</v>
      </c>
      <c r="D58" s="44">
        <v>19.899999999999999</v>
      </c>
      <c r="E58" s="45"/>
      <c r="F58">
        <v>1998</v>
      </c>
    </row>
    <row r="59" spans="1:6" ht="15" customHeight="1" x14ac:dyDescent="0.3">
      <c r="A59" s="42" t="s">
        <v>140</v>
      </c>
      <c r="B59" s="43">
        <v>35983</v>
      </c>
      <c r="C59" s="42" t="s">
        <v>36</v>
      </c>
      <c r="D59" s="44">
        <v>21.16</v>
      </c>
      <c r="E59" s="44">
        <v>16.95</v>
      </c>
      <c r="F59">
        <v>1998</v>
      </c>
    </row>
    <row r="60" spans="1:6" ht="15" customHeight="1" x14ac:dyDescent="0.3">
      <c r="A60" s="42" t="s">
        <v>141</v>
      </c>
      <c r="B60" s="43">
        <v>35999</v>
      </c>
      <c r="C60" s="42" t="s">
        <v>36</v>
      </c>
      <c r="D60" s="44">
        <v>23.6</v>
      </c>
      <c r="E60" s="44">
        <v>18.86</v>
      </c>
      <c r="F60">
        <v>1998</v>
      </c>
    </row>
    <row r="61" spans="1:6" ht="15" customHeight="1" x14ac:dyDescent="0.3">
      <c r="A61" s="42" t="s">
        <v>142</v>
      </c>
      <c r="B61" s="43">
        <v>36011</v>
      </c>
      <c r="C61" s="42" t="s">
        <v>36</v>
      </c>
      <c r="D61" s="44">
        <v>22.01</v>
      </c>
      <c r="E61" s="44">
        <v>19.760000000000002</v>
      </c>
      <c r="F61">
        <v>1998</v>
      </c>
    </row>
    <row r="62" spans="1:6" ht="15" customHeight="1" x14ac:dyDescent="0.3">
      <c r="A62" s="42" t="s">
        <v>143</v>
      </c>
      <c r="B62" s="43">
        <v>36025</v>
      </c>
      <c r="C62" s="42" t="s">
        <v>36</v>
      </c>
      <c r="D62" s="44">
        <v>24.06</v>
      </c>
      <c r="E62" s="44">
        <v>20.55</v>
      </c>
      <c r="F62">
        <v>1998</v>
      </c>
    </row>
    <row r="63" spans="1:6" ht="15" customHeight="1" x14ac:dyDescent="0.3">
      <c r="A63" s="42" t="s">
        <v>144</v>
      </c>
      <c r="B63" s="43">
        <v>36039</v>
      </c>
      <c r="C63" s="42" t="s">
        <v>36</v>
      </c>
      <c r="D63" s="44">
        <v>23.92</v>
      </c>
      <c r="E63" s="44">
        <v>21.53</v>
      </c>
      <c r="F63">
        <v>1998</v>
      </c>
    </row>
    <row r="64" spans="1:6" ht="15" customHeight="1" x14ac:dyDescent="0.3">
      <c r="A64" s="42" t="s">
        <v>146</v>
      </c>
      <c r="B64" s="43">
        <v>36073</v>
      </c>
      <c r="C64" s="42" t="s">
        <v>36</v>
      </c>
      <c r="D64" s="44">
        <v>19.48</v>
      </c>
      <c r="E64" s="44">
        <v>19.559999999999999</v>
      </c>
      <c r="F64">
        <v>1998</v>
      </c>
    </row>
    <row r="65" spans="1:6" ht="15" customHeight="1" x14ac:dyDescent="0.3">
      <c r="A65" s="42" t="s">
        <v>147</v>
      </c>
      <c r="B65" s="43">
        <v>36105</v>
      </c>
      <c r="C65" s="42" t="s">
        <v>36</v>
      </c>
      <c r="D65" s="44">
        <v>14.25</v>
      </c>
      <c r="E65" s="44">
        <v>14.24</v>
      </c>
      <c r="F65">
        <v>1998</v>
      </c>
    </row>
    <row r="66" spans="1:6" ht="15" customHeight="1" x14ac:dyDescent="0.3">
      <c r="A66" s="42" t="s">
        <v>148</v>
      </c>
      <c r="B66" s="43">
        <v>36132</v>
      </c>
      <c r="C66" s="42" t="s">
        <v>36</v>
      </c>
      <c r="D66" s="44">
        <v>10.66</v>
      </c>
      <c r="E66" s="44">
        <v>10.57</v>
      </c>
      <c r="F66">
        <v>1998</v>
      </c>
    </row>
    <row r="67" spans="1:6" ht="15" customHeight="1" x14ac:dyDescent="0.3">
      <c r="A67" s="42" t="s">
        <v>149</v>
      </c>
      <c r="B67" s="43">
        <v>36166</v>
      </c>
      <c r="C67" s="42" t="s">
        <v>36</v>
      </c>
      <c r="D67" s="44">
        <v>4.9800000000000004</v>
      </c>
      <c r="E67" s="44">
        <v>5.33</v>
      </c>
      <c r="F67">
        <v>1999</v>
      </c>
    </row>
    <row r="68" spans="1:6" ht="15" customHeight="1" x14ac:dyDescent="0.3">
      <c r="A68" s="42" t="s">
        <v>150</v>
      </c>
      <c r="B68" s="43">
        <v>36194</v>
      </c>
      <c r="C68" s="42" t="s">
        <v>36</v>
      </c>
      <c r="D68" s="44">
        <v>3.3</v>
      </c>
      <c r="E68" s="44">
        <v>3.13</v>
      </c>
      <c r="F68">
        <v>1999</v>
      </c>
    </row>
    <row r="69" spans="1:6" ht="15" customHeight="1" x14ac:dyDescent="0.3">
      <c r="A69" s="42" t="s">
        <v>152</v>
      </c>
      <c r="B69" s="43">
        <v>36224</v>
      </c>
      <c r="C69" s="42" t="s">
        <v>36</v>
      </c>
      <c r="D69" s="44">
        <v>3.54</v>
      </c>
      <c r="E69" s="46">
        <v>3.16</v>
      </c>
      <c r="F69">
        <v>1999</v>
      </c>
    </row>
    <row r="70" spans="1:6" ht="15" customHeight="1" x14ac:dyDescent="0.3">
      <c r="A70" s="42" t="s">
        <v>154</v>
      </c>
      <c r="B70" s="43">
        <v>36256</v>
      </c>
      <c r="C70" s="42" t="s">
        <v>36</v>
      </c>
      <c r="D70" s="44">
        <v>5.38</v>
      </c>
      <c r="E70" s="44">
        <v>5.05</v>
      </c>
      <c r="F70">
        <v>1999</v>
      </c>
    </row>
    <row r="71" spans="1:6" ht="15" customHeight="1" x14ac:dyDescent="0.3">
      <c r="A71" s="42" t="s">
        <v>155</v>
      </c>
      <c r="B71" s="43">
        <v>36287</v>
      </c>
      <c r="C71" s="42" t="s">
        <v>36</v>
      </c>
      <c r="D71" s="44">
        <v>10.26</v>
      </c>
      <c r="E71" s="44">
        <v>8.2200000000000006</v>
      </c>
      <c r="F71">
        <v>1999</v>
      </c>
    </row>
    <row r="72" spans="1:6" ht="15" customHeight="1" x14ac:dyDescent="0.3">
      <c r="A72" s="42" t="s">
        <v>156</v>
      </c>
      <c r="B72" s="43">
        <v>36313</v>
      </c>
      <c r="C72" s="42" t="s">
        <v>36</v>
      </c>
      <c r="D72" s="44">
        <v>16.190000000000001</v>
      </c>
      <c r="E72" s="44">
        <v>11.91</v>
      </c>
      <c r="F72">
        <v>1999</v>
      </c>
    </row>
    <row r="73" spans="1:6" ht="15" customHeight="1" x14ac:dyDescent="0.3">
      <c r="A73" s="42" t="s">
        <v>157</v>
      </c>
      <c r="B73" s="43">
        <v>36333</v>
      </c>
      <c r="C73" s="42" t="s">
        <v>36</v>
      </c>
      <c r="D73" s="44">
        <v>18.77</v>
      </c>
      <c r="E73" s="44">
        <v>15.87</v>
      </c>
      <c r="F73">
        <v>1999</v>
      </c>
    </row>
    <row r="74" spans="1:6" ht="15" customHeight="1" x14ac:dyDescent="0.3">
      <c r="A74" s="42" t="s">
        <v>158</v>
      </c>
      <c r="B74" s="43">
        <v>36349</v>
      </c>
      <c r="C74" s="42" t="s">
        <v>36</v>
      </c>
      <c r="D74" s="44">
        <v>21.84</v>
      </c>
      <c r="E74" s="44">
        <v>18.95</v>
      </c>
      <c r="F74">
        <v>1999</v>
      </c>
    </row>
    <row r="75" spans="1:6" ht="15" customHeight="1" x14ac:dyDescent="0.3">
      <c r="A75" s="42" t="s">
        <v>159</v>
      </c>
      <c r="B75" s="43">
        <v>36363</v>
      </c>
      <c r="C75" s="42" t="s">
        <v>36</v>
      </c>
      <c r="D75" s="44">
        <v>22.8</v>
      </c>
      <c r="E75" s="44">
        <v>20.079999999999998</v>
      </c>
      <c r="F75">
        <v>1999</v>
      </c>
    </row>
    <row r="76" spans="1:6" ht="15" customHeight="1" x14ac:dyDescent="0.3">
      <c r="A76" s="42" t="s">
        <v>160</v>
      </c>
      <c r="B76" s="43">
        <v>36377</v>
      </c>
      <c r="C76" s="42" t="s">
        <v>36</v>
      </c>
      <c r="D76" s="44">
        <v>24.09</v>
      </c>
      <c r="E76" s="44">
        <v>20.51</v>
      </c>
      <c r="F76">
        <v>1999</v>
      </c>
    </row>
    <row r="77" spans="1:6" ht="15" customHeight="1" x14ac:dyDescent="0.3">
      <c r="A77" s="42" t="s">
        <v>161</v>
      </c>
      <c r="B77" s="43">
        <v>36391</v>
      </c>
      <c r="C77" s="42" t="s">
        <v>36</v>
      </c>
      <c r="D77" s="44">
        <v>23.43</v>
      </c>
      <c r="E77" s="44">
        <v>21.84</v>
      </c>
      <c r="F77">
        <v>1999</v>
      </c>
    </row>
    <row r="78" spans="1:6" ht="15" customHeight="1" x14ac:dyDescent="0.3">
      <c r="A78" s="42" t="s">
        <v>162</v>
      </c>
      <c r="B78" s="43">
        <v>36405</v>
      </c>
      <c r="C78" s="42" t="s">
        <v>36</v>
      </c>
      <c r="D78" s="44">
        <v>22.21</v>
      </c>
      <c r="E78" s="44">
        <v>21.93</v>
      </c>
      <c r="F78">
        <v>1999</v>
      </c>
    </row>
    <row r="79" spans="1:6" ht="15" customHeight="1" x14ac:dyDescent="0.3">
      <c r="A79" s="42" t="s">
        <v>163</v>
      </c>
      <c r="B79" s="43">
        <v>36432</v>
      </c>
      <c r="C79" s="42" t="s">
        <v>36</v>
      </c>
      <c r="D79" s="46">
        <v>21.16</v>
      </c>
      <c r="E79" s="46">
        <v>20.77</v>
      </c>
      <c r="F79">
        <v>1999</v>
      </c>
    </row>
    <row r="80" spans="1:6" ht="15" customHeight="1" x14ac:dyDescent="0.3">
      <c r="A80" s="42" t="s">
        <v>164</v>
      </c>
      <c r="B80" s="43">
        <v>36472</v>
      </c>
      <c r="C80" s="42" t="s">
        <v>36</v>
      </c>
      <c r="D80" s="44">
        <v>14.41</v>
      </c>
      <c r="E80" s="44">
        <v>14.32</v>
      </c>
      <c r="F80">
        <v>1999</v>
      </c>
    </row>
    <row r="81" spans="1:6" ht="15" customHeight="1" x14ac:dyDescent="0.3">
      <c r="A81" s="42" t="s">
        <v>165</v>
      </c>
      <c r="B81" s="43">
        <v>36502</v>
      </c>
      <c r="C81" s="42" t="s">
        <v>36</v>
      </c>
      <c r="D81" s="44">
        <v>10.09</v>
      </c>
      <c r="E81" s="44">
        <v>10.09</v>
      </c>
      <c r="F81">
        <v>1999</v>
      </c>
    </row>
    <row r="82" spans="1:6" ht="15" customHeight="1" x14ac:dyDescent="0.3">
      <c r="A82" s="42" t="s">
        <v>166</v>
      </c>
      <c r="B82" s="43">
        <v>36532</v>
      </c>
      <c r="C82" s="42" t="s">
        <v>36</v>
      </c>
      <c r="D82" s="44">
        <v>6.18</v>
      </c>
      <c r="E82" s="44">
        <v>6.09</v>
      </c>
      <c r="F82">
        <v>2000</v>
      </c>
    </row>
    <row r="83" spans="1:6" ht="15" customHeight="1" x14ac:dyDescent="0.3">
      <c r="A83" s="42" t="s">
        <v>167</v>
      </c>
      <c r="B83" s="43">
        <v>36560</v>
      </c>
      <c r="C83" s="42" t="s">
        <v>36</v>
      </c>
      <c r="D83" s="44">
        <v>1.05</v>
      </c>
      <c r="E83" s="44">
        <v>1.03</v>
      </c>
      <c r="F83">
        <v>2000</v>
      </c>
    </row>
    <row r="84" spans="1:6" ht="15" customHeight="1" x14ac:dyDescent="0.3">
      <c r="A84" s="42" t="s">
        <v>171</v>
      </c>
      <c r="B84" s="43">
        <v>36623</v>
      </c>
      <c r="C84" s="42" t="s">
        <v>36</v>
      </c>
      <c r="D84" s="44">
        <v>5.8</v>
      </c>
      <c r="E84" s="44">
        <v>5.32</v>
      </c>
      <c r="F84">
        <v>2000</v>
      </c>
    </row>
    <row r="85" spans="1:6" ht="15" customHeight="1" x14ac:dyDescent="0.3">
      <c r="A85" s="42" t="s">
        <v>172</v>
      </c>
      <c r="B85" s="43">
        <v>36648</v>
      </c>
      <c r="C85" s="42" t="s">
        <v>36</v>
      </c>
      <c r="D85" s="44">
        <v>8.83</v>
      </c>
      <c r="E85" s="44">
        <v>7.23</v>
      </c>
      <c r="F85">
        <v>2000</v>
      </c>
    </row>
    <row r="86" spans="1:6" ht="15" customHeight="1" x14ac:dyDescent="0.3">
      <c r="A86" s="42" t="s">
        <v>173</v>
      </c>
      <c r="B86" s="43">
        <v>36679</v>
      </c>
      <c r="C86" s="42" t="s">
        <v>36</v>
      </c>
      <c r="D86" s="44">
        <v>15.98</v>
      </c>
      <c r="E86" s="44">
        <v>11.74</v>
      </c>
      <c r="F86">
        <v>2000</v>
      </c>
    </row>
    <row r="87" spans="1:6" ht="15" customHeight="1" x14ac:dyDescent="0.3">
      <c r="A87" s="42" t="s">
        <v>174</v>
      </c>
      <c r="B87" s="43">
        <v>36700</v>
      </c>
      <c r="C87" s="42" t="s">
        <v>36</v>
      </c>
      <c r="D87" s="44">
        <v>18.23</v>
      </c>
      <c r="E87" s="44">
        <v>14.81</v>
      </c>
      <c r="F87">
        <v>2000</v>
      </c>
    </row>
    <row r="88" spans="1:6" ht="15" customHeight="1" x14ac:dyDescent="0.3">
      <c r="A88" s="42" t="s">
        <v>175</v>
      </c>
      <c r="B88" s="43">
        <v>36713</v>
      </c>
      <c r="C88" s="42" t="s">
        <v>36</v>
      </c>
      <c r="D88" s="44">
        <v>20.05</v>
      </c>
      <c r="E88" s="44">
        <v>16.149999999999999</v>
      </c>
      <c r="F88">
        <v>2000</v>
      </c>
    </row>
    <row r="89" spans="1:6" ht="15" customHeight="1" x14ac:dyDescent="0.3">
      <c r="A89" s="42" t="s">
        <v>176</v>
      </c>
      <c r="B89" s="43">
        <v>36727</v>
      </c>
      <c r="C89" s="42" t="s">
        <v>36</v>
      </c>
      <c r="D89" s="44">
        <v>20.65</v>
      </c>
      <c r="E89" s="44">
        <v>18.3</v>
      </c>
      <c r="F89">
        <v>2000</v>
      </c>
    </row>
    <row r="90" spans="1:6" ht="15" customHeight="1" x14ac:dyDescent="0.3">
      <c r="A90" s="42" t="s">
        <v>177</v>
      </c>
      <c r="B90" s="43">
        <v>36741</v>
      </c>
      <c r="C90" s="42" t="s">
        <v>36</v>
      </c>
      <c r="D90" s="44">
        <v>21.24</v>
      </c>
      <c r="E90" s="44">
        <v>19.809999999999999</v>
      </c>
      <c r="F90">
        <v>2000</v>
      </c>
    </row>
    <row r="91" spans="1:6" ht="15" customHeight="1" x14ac:dyDescent="0.3">
      <c r="A91" s="42" t="s">
        <v>178</v>
      </c>
      <c r="B91" s="43">
        <v>36755</v>
      </c>
      <c r="C91" s="42" t="s">
        <v>36</v>
      </c>
      <c r="D91" s="44">
        <v>21.6</v>
      </c>
      <c r="E91" s="44">
        <v>20</v>
      </c>
      <c r="F91">
        <v>2000</v>
      </c>
    </row>
    <row r="92" spans="1:6" ht="15" customHeight="1" x14ac:dyDescent="0.3">
      <c r="A92" s="42" t="s">
        <v>179</v>
      </c>
      <c r="B92" s="43">
        <v>36768</v>
      </c>
      <c r="C92" s="42" t="s">
        <v>36</v>
      </c>
      <c r="D92" s="44">
        <v>21.81</v>
      </c>
      <c r="E92" s="44">
        <v>20.93</v>
      </c>
      <c r="F92">
        <v>2000</v>
      </c>
    </row>
    <row r="93" spans="1:6" ht="15" customHeight="1" x14ac:dyDescent="0.3">
      <c r="A93" s="42" t="s">
        <v>180</v>
      </c>
      <c r="B93" s="43">
        <v>36801</v>
      </c>
      <c r="C93" s="42" t="s">
        <v>36</v>
      </c>
      <c r="D93" s="44">
        <v>18.84</v>
      </c>
      <c r="E93" s="44">
        <v>18.97</v>
      </c>
      <c r="F93">
        <v>2000</v>
      </c>
    </row>
    <row r="94" spans="1:6" ht="15" customHeight="1" x14ac:dyDescent="0.3">
      <c r="A94" s="42" t="s">
        <v>181</v>
      </c>
      <c r="B94" s="43">
        <v>36843</v>
      </c>
      <c r="C94" s="42" t="s">
        <v>36</v>
      </c>
      <c r="D94" s="44">
        <v>13.22</v>
      </c>
      <c r="E94" s="44">
        <v>13.24</v>
      </c>
      <c r="F94">
        <v>2000</v>
      </c>
    </row>
    <row r="95" spans="1:6" ht="15" customHeight="1" x14ac:dyDescent="0.3">
      <c r="A95" s="42" t="s">
        <v>182</v>
      </c>
      <c r="B95" s="43">
        <v>36865</v>
      </c>
      <c r="C95" s="42" t="s">
        <v>36</v>
      </c>
      <c r="D95" s="44">
        <v>8.52</v>
      </c>
      <c r="E95" s="44">
        <v>8.67</v>
      </c>
      <c r="F95">
        <v>2000</v>
      </c>
    </row>
    <row r="96" spans="1:6" ht="15" customHeight="1" x14ac:dyDescent="0.3">
      <c r="A96" s="42" t="s">
        <v>183</v>
      </c>
      <c r="B96" s="43">
        <v>36903</v>
      </c>
      <c r="C96" s="42" t="s">
        <v>36</v>
      </c>
      <c r="D96" s="44">
        <v>2.44</v>
      </c>
      <c r="E96" s="44">
        <v>2.34</v>
      </c>
      <c r="F96">
        <v>2001</v>
      </c>
    </row>
    <row r="97" spans="1:6" ht="15" customHeight="1" x14ac:dyDescent="0.3">
      <c r="A97" s="42" t="s">
        <v>184</v>
      </c>
      <c r="B97" s="43">
        <v>36924</v>
      </c>
      <c r="C97" s="42" t="s">
        <v>36</v>
      </c>
      <c r="D97" s="45"/>
      <c r="E97" s="45"/>
      <c r="F97">
        <v>2001</v>
      </c>
    </row>
    <row r="98" spans="1:6" ht="15" customHeight="1" x14ac:dyDescent="0.3">
      <c r="A98" s="42" t="s">
        <v>186</v>
      </c>
      <c r="B98" s="43">
        <v>36952</v>
      </c>
      <c r="C98" s="42" t="s">
        <v>36</v>
      </c>
      <c r="D98" s="44">
        <v>1.68</v>
      </c>
      <c r="E98" s="44">
        <v>1.85</v>
      </c>
      <c r="F98">
        <v>2001</v>
      </c>
    </row>
    <row r="99" spans="1:6" ht="15" customHeight="1" x14ac:dyDescent="0.3">
      <c r="A99" s="42" t="s">
        <v>187</v>
      </c>
      <c r="B99" s="43">
        <v>36986</v>
      </c>
      <c r="C99" s="42" t="s">
        <v>36</v>
      </c>
      <c r="D99" s="44">
        <v>3.9</v>
      </c>
      <c r="E99" s="44">
        <v>3.68</v>
      </c>
      <c r="F99">
        <v>2001</v>
      </c>
    </row>
    <row r="100" spans="1:6" ht="15" customHeight="1" x14ac:dyDescent="0.3">
      <c r="A100" s="42" t="s">
        <v>188</v>
      </c>
      <c r="B100" s="43">
        <v>37013</v>
      </c>
      <c r="C100" s="42" t="s">
        <v>36</v>
      </c>
      <c r="D100" s="45"/>
      <c r="E100" s="45"/>
      <c r="F100">
        <v>2001</v>
      </c>
    </row>
    <row r="101" spans="1:6" ht="15" customHeight="1" x14ac:dyDescent="0.3">
      <c r="A101" s="42" t="s">
        <v>189</v>
      </c>
      <c r="B101" s="43">
        <v>37047</v>
      </c>
      <c r="C101" s="42" t="s">
        <v>36</v>
      </c>
      <c r="D101" s="44">
        <v>14.19</v>
      </c>
      <c r="E101" s="44">
        <v>11.34</v>
      </c>
      <c r="F101">
        <v>2001</v>
      </c>
    </row>
    <row r="102" spans="1:6" ht="15" customHeight="1" x14ac:dyDescent="0.3">
      <c r="A102" s="42" t="s">
        <v>191</v>
      </c>
      <c r="B102" s="43">
        <v>37083</v>
      </c>
      <c r="C102" s="42" t="s">
        <v>36</v>
      </c>
      <c r="D102" s="44">
        <v>21.45</v>
      </c>
      <c r="E102" s="44">
        <v>18.41</v>
      </c>
      <c r="F102">
        <v>2001</v>
      </c>
    </row>
    <row r="103" spans="1:6" ht="15" customHeight="1" x14ac:dyDescent="0.3">
      <c r="A103" s="42" t="s">
        <v>193</v>
      </c>
      <c r="B103" s="43">
        <v>37109</v>
      </c>
      <c r="C103" s="42" t="s">
        <v>36</v>
      </c>
      <c r="D103" s="44">
        <v>24.61</v>
      </c>
      <c r="E103" s="44">
        <v>20.399999999999999</v>
      </c>
      <c r="F103">
        <v>2001</v>
      </c>
    </row>
    <row r="104" spans="1:6" ht="15" customHeight="1" x14ac:dyDescent="0.3">
      <c r="A104" s="42" t="s">
        <v>194</v>
      </c>
      <c r="B104" s="43">
        <v>37123</v>
      </c>
      <c r="C104" s="42" t="s">
        <v>36</v>
      </c>
      <c r="D104" s="44">
        <v>24.4</v>
      </c>
      <c r="E104" s="44">
        <v>20.92</v>
      </c>
      <c r="F104">
        <v>2001</v>
      </c>
    </row>
    <row r="105" spans="1:6" ht="15" customHeight="1" x14ac:dyDescent="0.3">
      <c r="A105" s="42" t="s">
        <v>196</v>
      </c>
      <c r="B105" s="43">
        <v>37139</v>
      </c>
      <c r="C105" s="42" t="s">
        <v>36</v>
      </c>
      <c r="D105" s="44">
        <v>22.64</v>
      </c>
      <c r="E105" s="44">
        <v>21.92</v>
      </c>
      <c r="F105">
        <v>2001</v>
      </c>
    </row>
    <row r="106" spans="1:6" ht="15" customHeight="1" x14ac:dyDescent="0.3">
      <c r="A106" s="42" t="s">
        <v>198</v>
      </c>
      <c r="B106" s="43">
        <v>37167</v>
      </c>
      <c r="C106" s="42" t="s">
        <v>36</v>
      </c>
      <c r="D106" s="44">
        <v>19.63</v>
      </c>
      <c r="E106" s="44">
        <v>19.2</v>
      </c>
      <c r="F106">
        <v>2001</v>
      </c>
    </row>
    <row r="107" spans="1:6" ht="15" customHeight="1" x14ac:dyDescent="0.3">
      <c r="A107" s="42" t="s">
        <v>199</v>
      </c>
      <c r="B107" s="43">
        <v>37209</v>
      </c>
      <c r="C107" s="42" t="s">
        <v>36</v>
      </c>
      <c r="D107" s="44">
        <v>13.1</v>
      </c>
      <c r="E107" s="44">
        <v>13.11</v>
      </c>
      <c r="F107">
        <v>2001</v>
      </c>
    </row>
    <row r="108" spans="1:6" ht="15" customHeight="1" x14ac:dyDescent="0.3">
      <c r="A108" s="42" t="s">
        <v>200</v>
      </c>
      <c r="B108" s="43">
        <v>37229</v>
      </c>
      <c r="C108" s="42" t="s">
        <v>36</v>
      </c>
      <c r="D108" s="44">
        <v>11.88</v>
      </c>
      <c r="E108" s="44">
        <v>11.79</v>
      </c>
      <c r="F108">
        <v>2001</v>
      </c>
    </row>
    <row r="109" spans="1:6" ht="15" customHeight="1" x14ac:dyDescent="0.3">
      <c r="A109" s="42" t="s">
        <v>201</v>
      </c>
      <c r="B109" s="43">
        <v>37270</v>
      </c>
      <c r="C109" s="42" t="s">
        <v>36</v>
      </c>
      <c r="D109" s="44">
        <v>5.68</v>
      </c>
      <c r="E109" s="44">
        <v>5.56</v>
      </c>
      <c r="F109">
        <v>2002</v>
      </c>
    </row>
    <row r="110" spans="1:6" ht="15" customHeight="1" x14ac:dyDescent="0.3">
      <c r="A110" s="42" t="s">
        <v>202</v>
      </c>
      <c r="B110" s="43">
        <v>37294</v>
      </c>
      <c r="C110" s="42" t="s">
        <v>36</v>
      </c>
      <c r="D110" s="44">
        <v>4.0599999999999996</v>
      </c>
      <c r="E110" s="44">
        <v>4.3</v>
      </c>
      <c r="F110">
        <v>2002</v>
      </c>
    </row>
    <row r="111" spans="1:6" ht="15" customHeight="1" x14ac:dyDescent="0.3">
      <c r="A111" s="42" t="s">
        <v>204</v>
      </c>
      <c r="B111" s="43">
        <v>37316</v>
      </c>
      <c r="C111" s="42" t="s">
        <v>36</v>
      </c>
      <c r="D111" s="44">
        <v>4.34</v>
      </c>
      <c r="E111" s="44">
        <v>4.37</v>
      </c>
      <c r="F111">
        <v>2002</v>
      </c>
    </row>
    <row r="112" spans="1:6" ht="15" customHeight="1" x14ac:dyDescent="0.3">
      <c r="A112" s="42" t="s">
        <v>206</v>
      </c>
      <c r="B112" s="43">
        <v>37351</v>
      </c>
      <c r="C112" s="42" t="s">
        <v>36</v>
      </c>
      <c r="D112" s="44">
        <v>6.23</v>
      </c>
      <c r="E112" s="44">
        <v>5.68</v>
      </c>
      <c r="F112">
        <v>2002</v>
      </c>
    </row>
    <row r="113" spans="1:6" ht="15" customHeight="1" x14ac:dyDescent="0.3">
      <c r="A113" s="42" t="s">
        <v>207</v>
      </c>
      <c r="B113" s="43">
        <v>37385</v>
      </c>
      <c r="C113" s="42" t="s">
        <v>36</v>
      </c>
      <c r="D113" s="44">
        <v>11.79</v>
      </c>
      <c r="E113" s="44">
        <v>9.2799999999999994</v>
      </c>
      <c r="F113">
        <v>2002</v>
      </c>
    </row>
    <row r="114" spans="1:6" ht="15" customHeight="1" x14ac:dyDescent="0.3">
      <c r="A114" s="42" t="s">
        <v>208</v>
      </c>
      <c r="B114" s="43">
        <v>37417</v>
      </c>
      <c r="C114" s="42" t="s">
        <v>36</v>
      </c>
      <c r="D114" s="44">
        <v>17.2</v>
      </c>
      <c r="E114" s="44">
        <v>13.07</v>
      </c>
      <c r="F114">
        <v>2002</v>
      </c>
    </row>
    <row r="115" spans="1:6" ht="15" customHeight="1" x14ac:dyDescent="0.3">
      <c r="A115" s="42" t="s">
        <v>210</v>
      </c>
      <c r="B115" s="43">
        <v>37447</v>
      </c>
      <c r="C115" s="42" t="s">
        <v>36</v>
      </c>
      <c r="D115" s="44">
        <v>22.37</v>
      </c>
      <c r="E115" s="44">
        <v>18.010000000000002</v>
      </c>
      <c r="F115">
        <v>2002</v>
      </c>
    </row>
    <row r="116" spans="1:6" ht="15" customHeight="1" x14ac:dyDescent="0.3">
      <c r="A116" s="42" t="s">
        <v>211</v>
      </c>
      <c r="B116" s="43">
        <v>37462</v>
      </c>
      <c r="C116" s="42" t="s">
        <v>36</v>
      </c>
      <c r="D116" s="44">
        <v>21.9</v>
      </c>
      <c r="E116" s="44">
        <v>19.600000000000001</v>
      </c>
      <c r="F116">
        <v>2002</v>
      </c>
    </row>
    <row r="117" spans="1:6" ht="15" customHeight="1" x14ac:dyDescent="0.3">
      <c r="A117" s="42" t="s">
        <v>212</v>
      </c>
      <c r="B117" s="43">
        <v>37476</v>
      </c>
      <c r="C117" s="42" t="s">
        <v>36</v>
      </c>
      <c r="D117" s="44">
        <v>21.89</v>
      </c>
      <c r="E117" s="44">
        <v>20.61</v>
      </c>
      <c r="F117">
        <v>2002</v>
      </c>
    </row>
    <row r="118" spans="1:6" ht="15" customHeight="1" x14ac:dyDescent="0.3">
      <c r="A118" s="42" t="s">
        <v>213</v>
      </c>
      <c r="B118" s="43">
        <v>37491</v>
      </c>
      <c r="C118" s="42" t="s">
        <v>36</v>
      </c>
      <c r="D118" s="44">
        <v>23.3</v>
      </c>
      <c r="E118" s="44">
        <v>22.51</v>
      </c>
      <c r="F118">
        <v>2002</v>
      </c>
    </row>
    <row r="119" spans="1:6" ht="15" customHeight="1" x14ac:dyDescent="0.3">
      <c r="A119" s="42" t="s">
        <v>214</v>
      </c>
      <c r="B119" s="43">
        <v>37512</v>
      </c>
      <c r="C119" s="42" t="s">
        <v>36</v>
      </c>
      <c r="D119" s="44">
        <v>21.53</v>
      </c>
      <c r="E119" s="44">
        <v>21.43</v>
      </c>
      <c r="F119">
        <v>2002</v>
      </c>
    </row>
    <row r="120" spans="1:6" ht="15" customHeight="1" x14ac:dyDescent="0.3">
      <c r="A120" s="42" t="s">
        <v>215</v>
      </c>
      <c r="B120" s="43">
        <v>37539</v>
      </c>
      <c r="C120" s="42" t="s">
        <v>36</v>
      </c>
      <c r="D120" s="44">
        <v>20.100000000000001</v>
      </c>
      <c r="E120" s="44">
        <v>20.100000000000001</v>
      </c>
      <c r="F120">
        <v>2002</v>
      </c>
    </row>
    <row r="121" spans="1:6" ht="15" customHeight="1" x14ac:dyDescent="0.3">
      <c r="A121" s="42" t="s">
        <v>216</v>
      </c>
      <c r="B121" s="43">
        <v>37574</v>
      </c>
      <c r="C121" s="42" t="s">
        <v>36</v>
      </c>
      <c r="D121" s="44">
        <v>12.8</v>
      </c>
      <c r="E121" s="44">
        <v>12.66</v>
      </c>
      <c r="F121">
        <v>2002</v>
      </c>
    </row>
    <row r="122" spans="1:6" ht="15" customHeight="1" x14ac:dyDescent="0.3">
      <c r="A122" s="42" t="s">
        <v>217</v>
      </c>
      <c r="B122" s="43">
        <v>37603</v>
      </c>
      <c r="C122" s="42" t="s">
        <v>36</v>
      </c>
      <c r="D122" s="44">
        <v>6.97</v>
      </c>
      <c r="E122" s="44">
        <v>6.93</v>
      </c>
      <c r="F122">
        <v>2002</v>
      </c>
    </row>
    <row r="123" spans="1:6" ht="15" customHeight="1" x14ac:dyDescent="0.3">
      <c r="A123" s="42" t="s">
        <v>218</v>
      </c>
      <c r="B123" s="43">
        <v>37655</v>
      </c>
      <c r="C123" s="42" t="s">
        <v>36</v>
      </c>
      <c r="D123" s="44">
        <v>0.56000000000000005</v>
      </c>
      <c r="E123" s="44">
        <v>0.49</v>
      </c>
      <c r="F123">
        <v>2003</v>
      </c>
    </row>
    <row r="124" spans="1:6" ht="15" customHeight="1" x14ac:dyDescent="0.3">
      <c r="A124" s="42" t="s">
        <v>219</v>
      </c>
      <c r="B124" s="43">
        <v>37691</v>
      </c>
      <c r="C124" s="42" t="s">
        <v>36</v>
      </c>
      <c r="D124" s="44">
        <v>-0.05</v>
      </c>
      <c r="E124" s="44">
        <v>0.04</v>
      </c>
      <c r="F124">
        <v>2003</v>
      </c>
    </row>
    <row r="125" spans="1:6" ht="15" customHeight="1" x14ac:dyDescent="0.3">
      <c r="A125" s="42" t="s">
        <v>221</v>
      </c>
      <c r="B125" s="43">
        <v>37713</v>
      </c>
      <c r="C125" s="42" t="s">
        <v>36</v>
      </c>
      <c r="D125" s="44">
        <v>3.7</v>
      </c>
      <c r="E125" s="44">
        <v>2.38</v>
      </c>
      <c r="F125">
        <v>2003</v>
      </c>
    </row>
    <row r="126" spans="1:6" ht="15" customHeight="1" x14ac:dyDescent="0.3">
      <c r="A126" s="42" t="s">
        <v>222</v>
      </c>
      <c r="B126" s="43">
        <v>37748</v>
      </c>
      <c r="C126" s="42" t="s">
        <v>36</v>
      </c>
      <c r="D126" s="44">
        <v>8.41</v>
      </c>
      <c r="E126" s="44">
        <v>6.73</v>
      </c>
      <c r="F126">
        <v>2003</v>
      </c>
    </row>
    <row r="127" spans="1:6" ht="15" customHeight="1" x14ac:dyDescent="0.3">
      <c r="A127" s="42" t="s">
        <v>223</v>
      </c>
      <c r="B127" s="43">
        <v>37776</v>
      </c>
      <c r="C127" s="42" t="s">
        <v>36</v>
      </c>
      <c r="D127" s="44">
        <v>13.49</v>
      </c>
      <c r="E127" s="44">
        <v>9.7799999999999994</v>
      </c>
      <c r="F127">
        <v>2003</v>
      </c>
    </row>
    <row r="128" spans="1:6" ht="15" customHeight="1" x14ac:dyDescent="0.3">
      <c r="A128" s="42" t="s">
        <v>225</v>
      </c>
      <c r="B128" s="43">
        <v>37811</v>
      </c>
      <c r="C128" s="42" t="s">
        <v>36</v>
      </c>
      <c r="D128" s="44">
        <v>21.7</v>
      </c>
      <c r="E128" s="44">
        <v>15.04</v>
      </c>
      <c r="F128">
        <v>2003</v>
      </c>
    </row>
    <row r="129" spans="1:6" ht="15" customHeight="1" x14ac:dyDescent="0.3">
      <c r="A129" s="42" t="s">
        <v>226</v>
      </c>
      <c r="B129" s="43">
        <v>37827</v>
      </c>
      <c r="C129" s="42" t="s">
        <v>36</v>
      </c>
      <c r="D129" s="44">
        <v>19.3</v>
      </c>
      <c r="E129" s="44">
        <v>18.45</v>
      </c>
      <c r="F129">
        <v>2003</v>
      </c>
    </row>
    <row r="130" spans="1:6" ht="15" customHeight="1" x14ac:dyDescent="0.3">
      <c r="A130" s="42" t="s">
        <v>227</v>
      </c>
      <c r="B130" s="43">
        <v>37838</v>
      </c>
      <c r="C130" s="42" t="s">
        <v>36</v>
      </c>
      <c r="D130" s="44">
        <v>22.6</v>
      </c>
      <c r="E130" s="44">
        <v>18.59</v>
      </c>
      <c r="F130">
        <v>2003</v>
      </c>
    </row>
    <row r="131" spans="1:6" ht="15" customHeight="1" x14ac:dyDescent="0.3">
      <c r="A131" s="42" t="s">
        <v>228</v>
      </c>
      <c r="B131" s="43">
        <v>37854</v>
      </c>
      <c r="C131" s="42" t="s">
        <v>36</v>
      </c>
      <c r="D131" s="44">
        <v>24.14</v>
      </c>
      <c r="E131" s="44">
        <v>19.600000000000001</v>
      </c>
      <c r="F131">
        <v>2003</v>
      </c>
    </row>
    <row r="132" spans="1:6" ht="15" customHeight="1" x14ac:dyDescent="0.3">
      <c r="A132" s="42" t="s">
        <v>229</v>
      </c>
      <c r="B132" s="43">
        <v>37872</v>
      </c>
      <c r="C132" s="42" t="s">
        <v>36</v>
      </c>
      <c r="D132" s="44">
        <v>21.23</v>
      </c>
      <c r="E132" s="44">
        <v>20.63</v>
      </c>
      <c r="F132">
        <v>2003</v>
      </c>
    </row>
    <row r="133" spans="1:6" ht="15" customHeight="1" x14ac:dyDescent="0.3">
      <c r="A133" s="42" t="s">
        <v>230</v>
      </c>
      <c r="B133" s="43">
        <v>37901</v>
      </c>
      <c r="C133" s="42" t="s">
        <v>36</v>
      </c>
      <c r="D133" s="44">
        <v>18.97</v>
      </c>
      <c r="E133" s="44">
        <v>18.97</v>
      </c>
      <c r="F133">
        <v>2003</v>
      </c>
    </row>
    <row r="134" spans="1:6" ht="15" customHeight="1" x14ac:dyDescent="0.3">
      <c r="A134" s="42" t="s">
        <v>231</v>
      </c>
      <c r="B134" s="43">
        <v>37929</v>
      </c>
      <c r="C134" s="42" t="s">
        <v>36</v>
      </c>
      <c r="D134" s="44">
        <v>15.2</v>
      </c>
      <c r="E134" s="44">
        <v>14.98</v>
      </c>
      <c r="F134">
        <v>2003</v>
      </c>
    </row>
    <row r="135" spans="1:6" ht="15" customHeight="1" x14ac:dyDescent="0.3">
      <c r="A135" s="42" t="s">
        <v>232</v>
      </c>
      <c r="B135" s="43">
        <v>37965</v>
      </c>
      <c r="C135" s="42" t="s">
        <v>36</v>
      </c>
      <c r="D135" s="44">
        <v>7.73</v>
      </c>
      <c r="E135" s="44">
        <v>7.73</v>
      </c>
      <c r="F135">
        <v>2003</v>
      </c>
    </row>
    <row r="136" spans="1:6" ht="15" customHeight="1" x14ac:dyDescent="0.3">
      <c r="A136" s="42" t="s">
        <v>497</v>
      </c>
      <c r="B136" s="43">
        <v>37999</v>
      </c>
      <c r="C136" s="42" t="s">
        <v>36</v>
      </c>
      <c r="D136" s="44">
        <v>2.88</v>
      </c>
      <c r="E136" s="44">
        <v>3.53</v>
      </c>
      <c r="F136">
        <v>2004</v>
      </c>
    </row>
    <row r="137" spans="1:6" ht="15" customHeight="1" x14ac:dyDescent="0.3">
      <c r="A137" s="42" t="s">
        <v>233</v>
      </c>
      <c r="B137" s="43">
        <v>38020</v>
      </c>
      <c r="C137" s="42" t="s">
        <v>36</v>
      </c>
      <c r="D137" s="44">
        <v>-0.71</v>
      </c>
      <c r="E137" s="44">
        <v>-0.59</v>
      </c>
      <c r="F137">
        <v>2004</v>
      </c>
    </row>
    <row r="138" spans="1:6" ht="15" customHeight="1" x14ac:dyDescent="0.3">
      <c r="A138" s="42" t="s">
        <v>235</v>
      </c>
      <c r="B138" s="43">
        <v>38048</v>
      </c>
      <c r="C138" s="42" t="s">
        <v>36</v>
      </c>
      <c r="D138" s="44">
        <v>0.99</v>
      </c>
      <c r="E138" s="44">
        <v>0.72</v>
      </c>
      <c r="F138">
        <v>2004</v>
      </c>
    </row>
    <row r="139" spans="1:6" ht="15" customHeight="1" x14ac:dyDescent="0.3">
      <c r="A139" s="42" t="s">
        <v>237</v>
      </c>
      <c r="B139" s="43">
        <v>38089</v>
      </c>
      <c r="C139" s="42" t="s">
        <v>36</v>
      </c>
      <c r="D139" s="46">
        <v>4.2300000000000004</v>
      </c>
      <c r="E139" s="46">
        <v>4</v>
      </c>
      <c r="F139">
        <v>2004</v>
      </c>
    </row>
    <row r="140" spans="1:6" ht="15" customHeight="1" x14ac:dyDescent="0.3">
      <c r="A140" s="42" t="s">
        <v>238</v>
      </c>
      <c r="B140" s="43">
        <v>38112</v>
      </c>
      <c r="C140" s="42" t="s">
        <v>36</v>
      </c>
      <c r="D140" s="44">
        <v>9.08</v>
      </c>
      <c r="E140" s="44">
        <v>6.9</v>
      </c>
      <c r="F140">
        <v>2004</v>
      </c>
    </row>
    <row r="141" spans="1:6" ht="15" customHeight="1" x14ac:dyDescent="0.3">
      <c r="A141" s="42" t="s">
        <v>239</v>
      </c>
      <c r="B141" s="43">
        <v>38141</v>
      </c>
      <c r="C141" s="42" t="s">
        <v>36</v>
      </c>
      <c r="D141" s="44">
        <v>14.94</v>
      </c>
      <c r="E141" s="44">
        <v>10.86</v>
      </c>
      <c r="F141">
        <v>2004</v>
      </c>
    </row>
    <row r="142" spans="1:6" ht="15" customHeight="1" x14ac:dyDescent="0.3">
      <c r="A142" s="42" t="s">
        <v>241</v>
      </c>
      <c r="B142" s="43">
        <v>38175</v>
      </c>
      <c r="C142" s="42" t="s">
        <v>36</v>
      </c>
      <c r="D142" s="44">
        <v>20.49</v>
      </c>
      <c r="E142" s="44">
        <v>16.989999999999998</v>
      </c>
      <c r="F142">
        <v>2004</v>
      </c>
    </row>
    <row r="143" spans="1:6" ht="15" customHeight="1" x14ac:dyDescent="0.3">
      <c r="A143" s="42" t="s">
        <v>242</v>
      </c>
      <c r="B143" s="43">
        <v>38187</v>
      </c>
      <c r="C143" s="42" t="s">
        <v>36</v>
      </c>
      <c r="D143" s="44">
        <v>21.84</v>
      </c>
      <c r="E143" s="44">
        <v>17.16</v>
      </c>
      <c r="F143">
        <v>2004</v>
      </c>
    </row>
    <row r="144" spans="1:6" ht="15" customHeight="1" x14ac:dyDescent="0.3">
      <c r="A144" s="42" t="s">
        <v>243</v>
      </c>
      <c r="B144" s="43">
        <v>38205</v>
      </c>
      <c r="C144" s="42" t="s">
        <v>36</v>
      </c>
      <c r="D144" s="44">
        <v>21.3</v>
      </c>
      <c r="E144" s="44">
        <v>20.260000000000002</v>
      </c>
      <c r="F144">
        <v>2004</v>
      </c>
    </row>
    <row r="145" spans="1:6" ht="15" customHeight="1" x14ac:dyDescent="0.3">
      <c r="A145" s="42" t="s">
        <v>244</v>
      </c>
      <c r="B145" s="43">
        <v>38219</v>
      </c>
      <c r="C145" s="42" t="s">
        <v>36</v>
      </c>
      <c r="D145" s="44">
        <v>22.25</v>
      </c>
      <c r="E145" s="44">
        <v>20.78</v>
      </c>
      <c r="F145">
        <v>2004</v>
      </c>
    </row>
    <row r="146" spans="1:6" ht="15" customHeight="1" x14ac:dyDescent="0.3">
      <c r="A146" s="42" t="s">
        <v>245</v>
      </c>
      <c r="B146" s="43">
        <v>38231</v>
      </c>
      <c r="C146" s="42" t="s">
        <v>36</v>
      </c>
      <c r="D146" s="44">
        <v>23.53</v>
      </c>
      <c r="E146" s="44">
        <v>21.44</v>
      </c>
      <c r="F146">
        <v>2004</v>
      </c>
    </row>
    <row r="147" spans="1:6" ht="15" customHeight="1" x14ac:dyDescent="0.3">
      <c r="A147" s="42" t="s">
        <v>246</v>
      </c>
      <c r="B147" s="43">
        <v>38266</v>
      </c>
      <c r="C147" s="42" t="s">
        <v>36</v>
      </c>
      <c r="D147" s="44">
        <v>20.05</v>
      </c>
      <c r="E147" s="44">
        <v>20.309999999999999</v>
      </c>
      <c r="F147">
        <v>2004</v>
      </c>
    </row>
    <row r="148" spans="1:6" ht="15" customHeight="1" x14ac:dyDescent="0.3">
      <c r="A148" s="42" t="s">
        <v>247</v>
      </c>
      <c r="B148" s="43">
        <v>38320</v>
      </c>
      <c r="C148" s="42" t="s">
        <v>36</v>
      </c>
      <c r="D148" s="44">
        <v>10.56</v>
      </c>
      <c r="E148" s="44">
        <v>10.55</v>
      </c>
      <c r="F148">
        <v>2004</v>
      </c>
    </row>
    <row r="149" spans="1:6" ht="15" customHeight="1" x14ac:dyDescent="0.3">
      <c r="A149" s="42" t="s">
        <v>248</v>
      </c>
      <c r="B149" s="43">
        <v>38363</v>
      </c>
      <c r="C149" s="42" t="s">
        <v>36</v>
      </c>
      <c r="D149" s="44">
        <v>4.68</v>
      </c>
      <c r="E149" s="44">
        <v>4.72</v>
      </c>
      <c r="F149">
        <v>2005</v>
      </c>
    </row>
    <row r="150" spans="1:6" ht="15" customHeight="1" x14ac:dyDescent="0.3">
      <c r="A150" s="42" t="s">
        <v>249</v>
      </c>
      <c r="B150" s="43">
        <v>38384</v>
      </c>
      <c r="C150" s="42" t="s">
        <v>36</v>
      </c>
      <c r="D150" s="44">
        <v>1.1599999999999999</v>
      </c>
      <c r="E150" s="44">
        <v>1.1499999999999999</v>
      </c>
      <c r="F150">
        <v>2005</v>
      </c>
    </row>
    <row r="151" spans="1:6" ht="15" customHeight="1" x14ac:dyDescent="0.3">
      <c r="A151" s="42" t="s">
        <v>250</v>
      </c>
      <c r="B151" s="43">
        <v>38422</v>
      </c>
      <c r="C151" s="42" t="s">
        <v>36</v>
      </c>
      <c r="D151" s="44">
        <v>0.96</v>
      </c>
      <c r="E151" s="44">
        <v>1.1200000000000001</v>
      </c>
      <c r="F151">
        <v>2005</v>
      </c>
    </row>
    <row r="152" spans="1:6" ht="15" customHeight="1" x14ac:dyDescent="0.3">
      <c r="A152" s="42" t="s">
        <v>251</v>
      </c>
      <c r="B152" s="43">
        <v>38450</v>
      </c>
      <c r="C152" s="42" t="s">
        <v>36</v>
      </c>
      <c r="D152" s="44">
        <v>5.42</v>
      </c>
      <c r="E152" s="44">
        <v>3.4</v>
      </c>
      <c r="F152">
        <v>2005</v>
      </c>
    </row>
    <row r="153" spans="1:6" ht="15" customHeight="1" x14ac:dyDescent="0.3">
      <c r="A153" s="42" t="s">
        <v>252</v>
      </c>
      <c r="B153" s="43">
        <v>38477</v>
      </c>
      <c r="C153" s="42" t="s">
        <v>36</v>
      </c>
      <c r="D153" s="44">
        <v>11.1</v>
      </c>
      <c r="E153" s="44">
        <v>7.15</v>
      </c>
      <c r="F153">
        <v>2005</v>
      </c>
    </row>
    <row r="154" spans="1:6" ht="15" customHeight="1" x14ac:dyDescent="0.3">
      <c r="A154" s="42" t="s">
        <v>253</v>
      </c>
      <c r="B154" s="43">
        <v>38511</v>
      </c>
      <c r="C154" s="42" t="s">
        <v>36</v>
      </c>
      <c r="D154" s="44">
        <v>16.37</v>
      </c>
      <c r="E154" s="44">
        <v>12.06</v>
      </c>
      <c r="F154">
        <v>2005</v>
      </c>
    </row>
    <row r="155" spans="1:6" ht="15" customHeight="1" x14ac:dyDescent="0.3">
      <c r="A155" s="42" t="s">
        <v>255</v>
      </c>
      <c r="B155" s="43">
        <v>38540</v>
      </c>
      <c r="C155" s="42" t="s">
        <v>36</v>
      </c>
      <c r="D155" s="44">
        <v>20.47</v>
      </c>
      <c r="E155" s="44">
        <v>16.28</v>
      </c>
      <c r="F155">
        <v>2005</v>
      </c>
    </row>
    <row r="156" spans="1:6" ht="15" customHeight="1" x14ac:dyDescent="0.3">
      <c r="A156" s="42" t="s">
        <v>256</v>
      </c>
      <c r="B156" s="43">
        <v>38551</v>
      </c>
      <c r="C156" s="42" t="s">
        <v>36</v>
      </c>
      <c r="D156" s="44">
        <v>23.06</v>
      </c>
      <c r="E156" s="44">
        <v>17.05</v>
      </c>
      <c r="F156">
        <v>2005</v>
      </c>
    </row>
    <row r="157" spans="1:6" ht="15" customHeight="1" x14ac:dyDescent="0.3">
      <c r="A157" s="42" t="s">
        <v>257</v>
      </c>
      <c r="B157" s="43">
        <v>38568</v>
      </c>
      <c r="C157" s="42" t="s">
        <v>36</v>
      </c>
      <c r="D157" s="44">
        <v>24.35</v>
      </c>
      <c r="E157" s="44">
        <v>20.059999999999999</v>
      </c>
      <c r="F157">
        <v>2005</v>
      </c>
    </row>
    <row r="158" spans="1:6" ht="15" customHeight="1" x14ac:dyDescent="0.3">
      <c r="A158" s="42" t="s">
        <v>258</v>
      </c>
      <c r="B158" s="43">
        <v>38580</v>
      </c>
      <c r="C158" s="42" t="s">
        <v>36</v>
      </c>
      <c r="D158" s="44">
        <v>23.96</v>
      </c>
      <c r="E158" s="44">
        <v>20.56</v>
      </c>
      <c r="F158">
        <v>2005</v>
      </c>
    </row>
    <row r="159" spans="1:6" ht="15" customHeight="1" x14ac:dyDescent="0.3">
      <c r="A159" s="42" t="s">
        <v>259</v>
      </c>
      <c r="B159" s="43">
        <v>38597</v>
      </c>
      <c r="C159" s="42" t="s">
        <v>36</v>
      </c>
      <c r="D159" s="44">
        <v>23.46</v>
      </c>
      <c r="E159" s="44">
        <v>21.76</v>
      </c>
      <c r="F159">
        <v>2005</v>
      </c>
    </row>
    <row r="160" spans="1:6" ht="15" customHeight="1" x14ac:dyDescent="0.3">
      <c r="A160" s="42" t="s">
        <v>261</v>
      </c>
      <c r="B160" s="43">
        <v>38636</v>
      </c>
      <c r="C160" s="42" t="s">
        <v>36</v>
      </c>
      <c r="D160" s="44">
        <v>20.68</v>
      </c>
      <c r="E160" s="44">
        <v>20.78</v>
      </c>
      <c r="F160">
        <v>2005</v>
      </c>
    </row>
    <row r="161" spans="1:6" ht="15" customHeight="1" x14ac:dyDescent="0.3">
      <c r="A161" s="42" t="s">
        <v>262</v>
      </c>
      <c r="B161" s="43">
        <v>38670</v>
      </c>
      <c r="C161" s="42" t="s">
        <v>36</v>
      </c>
      <c r="D161" s="44">
        <v>13.53</v>
      </c>
      <c r="E161" s="44">
        <v>13.61</v>
      </c>
      <c r="F161">
        <v>2005</v>
      </c>
    </row>
    <row r="162" spans="1:6" ht="15" customHeight="1" x14ac:dyDescent="0.3">
      <c r="A162" s="42" t="s">
        <v>263</v>
      </c>
      <c r="B162" s="43">
        <v>38694</v>
      </c>
      <c r="C162" s="42" t="s">
        <v>36</v>
      </c>
      <c r="D162" s="44">
        <v>8.67</v>
      </c>
      <c r="E162" s="44">
        <v>8.99</v>
      </c>
      <c r="F162">
        <v>2005</v>
      </c>
    </row>
    <row r="163" spans="1:6" ht="15" customHeight="1" x14ac:dyDescent="0.3">
      <c r="A163" s="42" t="s">
        <v>264</v>
      </c>
      <c r="B163" s="43">
        <v>38783</v>
      </c>
      <c r="C163" s="42" t="s">
        <v>36</v>
      </c>
      <c r="D163" s="44">
        <v>2.14</v>
      </c>
      <c r="E163" s="44">
        <v>2.4500000000000002</v>
      </c>
      <c r="F163">
        <v>2006</v>
      </c>
    </row>
    <row r="164" spans="1:6" ht="15" customHeight="1" x14ac:dyDescent="0.3">
      <c r="A164" s="42" t="s">
        <v>498</v>
      </c>
      <c r="B164" s="43">
        <v>38819</v>
      </c>
      <c r="C164" s="42" t="s">
        <v>36</v>
      </c>
      <c r="D164" s="44">
        <v>6.61</v>
      </c>
      <c r="E164" s="44">
        <v>5.79</v>
      </c>
      <c r="F164">
        <v>2006</v>
      </c>
    </row>
    <row r="165" spans="1:6" ht="15" customHeight="1" x14ac:dyDescent="0.3">
      <c r="A165" s="42" t="s">
        <v>265</v>
      </c>
      <c r="B165" s="43">
        <v>38841</v>
      </c>
      <c r="C165" s="42" t="s">
        <v>36</v>
      </c>
      <c r="D165" s="44">
        <v>10.69</v>
      </c>
      <c r="E165" s="44">
        <v>8.43</v>
      </c>
      <c r="F165">
        <v>2006</v>
      </c>
    </row>
    <row r="166" spans="1:6" ht="15" customHeight="1" x14ac:dyDescent="0.3">
      <c r="A166" s="42" t="s">
        <v>266</v>
      </c>
      <c r="B166" s="43">
        <v>38874</v>
      </c>
      <c r="C166" s="42" t="s">
        <v>36</v>
      </c>
      <c r="D166" s="44">
        <v>16.27</v>
      </c>
      <c r="E166" s="44">
        <v>12.04</v>
      </c>
      <c r="F166">
        <v>2006</v>
      </c>
    </row>
    <row r="167" spans="1:6" ht="15" customHeight="1" x14ac:dyDescent="0.3">
      <c r="A167" s="42" t="s">
        <v>268</v>
      </c>
      <c r="B167" s="43">
        <v>38904</v>
      </c>
      <c r="C167" s="42" t="s">
        <v>36</v>
      </c>
      <c r="D167" s="44">
        <v>20.07</v>
      </c>
      <c r="E167" s="44">
        <v>16.71</v>
      </c>
      <c r="F167">
        <v>2006</v>
      </c>
    </row>
    <row r="168" spans="1:6" ht="15" customHeight="1" x14ac:dyDescent="0.3">
      <c r="A168" s="42" t="s">
        <v>269</v>
      </c>
      <c r="B168" s="43">
        <v>38917</v>
      </c>
      <c r="C168" s="42" t="s">
        <v>36</v>
      </c>
      <c r="D168" s="46">
        <v>22.98</v>
      </c>
      <c r="E168" s="46">
        <v>17.95</v>
      </c>
      <c r="F168">
        <v>2006</v>
      </c>
    </row>
    <row r="169" spans="1:6" ht="15" customHeight="1" x14ac:dyDescent="0.3">
      <c r="A169" s="42" t="s">
        <v>270</v>
      </c>
      <c r="B169" s="43">
        <v>38930</v>
      </c>
      <c r="C169" s="42" t="s">
        <v>36</v>
      </c>
      <c r="D169" s="44">
        <v>23.3</v>
      </c>
      <c r="E169" s="44">
        <v>20.09</v>
      </c>
      <c r="F169">
        <v>2006</v>
      </c>
    </row>
    <row r="170" spans="1:6" ht="15" customHeight="1" x14ac:dyDescent="0.3">
      <c r="A170" s="42" t="s">
        <v>271</v>
      </c>
      <c r="B170" s="43">
        <v>38950</v>
      </c>
      <c r="C170" s="42" t="s">
        <v>36</v>
      </c>
      <c r="D170" s="44">
        <v>22.92</v>
      </c>
      <c r="E170" s="44">
        <v>21.68</v>
      </c>
      <c r="F170">
        <v>2006</v>
      </c>
    </row>
    <row r="171" spans="1:6" ht="15" customHeight="1" x14ac:dyDescent="0.3">
      <c r="A171" s="42" t="s">
        <v>272</v>
      </c>
      <c r="B171" s="43">
        <v>38959</v>
      </c>
      <c r="C171" s="42" t="s">
        <v>36</v>
      </c>
      <c r="D171" s="44">
        <v>22.06</v>
      </c>
      <c r="E171" s="44">
        <v>21.65</v>
      </c>
      <c r="F171">
        <v>2006</v>
      </c>
    </row>
    <row r="172" spans="1:6" ht="15" customHeight="1" x14ac:dyDescent="0.3">
      <c r="A172" s="42" t="s">
        <v>273</v>
      </c>
      <c r="B172" s="43">
        <v>38994</v>
      </c>
      <c r="C172" s="42" t="s">
        <v>36</v>
      </c>
      <c r="D172" s="44">
        <v>19.52</v>
      </c>
      <c r="E172" s="44">
        <v>19.399999999999999</v>
      </c>
      <c r="F172">
        <v>2006</v>
      </c>
    </row>
    <row r="173" spans="1:6" ht="15" customHeight="1" x14ac:dyDescent="0.3">
      <c r="A173" s="42" t="s">
        <v>274</v>
      </c>
      <c r="B173" s="43">
        <v>39028</v>
      </c>
      <c r="C173" s="42" t="s">
        <v>36</v>
      </c>
      <c r="D173" s="44">
        <v>13.76</v>
      </c>
      <c r="E173" s="44">
        <v>13.65</v>
      </c>
      <c r="F173">
        <v>2006</v>
      </c>
    </row>
    <row r="174" spans="1:6" ht="15" customHeight="1" x14ac:dyDescent="0.3">
      <c r="A174" s="42" t="s">
        <v>275</v>
      </c>
      <c r="B174" s="43">
        <v>39063</v>
      </c>
      <c r="C174" s="42" t="s">
        <v>36</v>
      </c>
      <c r="D174" s="44">
        <v>9.49</v>
      </c>
      <c r="E174" s="44">
        <v>9.51</v>
      </c>
      <c r="F174">
        <v>2006</v>
      </c>
    </row>
    <row r="175" spans="1:6" ht="15" customHeight="1" x14ac:dyDescent="0.3">
      <c r="A175" s="42" t="s">
        <v>276</v>
      </c>
      <c r="B175" s="43">
        <v>39093</v>
      </c>
      <c r="C175" s="42" t="s">
        <v>36</v>
      </c>
      <c r="D175" s="44">
        <v>7.2</v>
      </c>
      <c r="E175" s="44">
        <v>7.27</v>
      </c>
      <c r="F175">
        <v>2007</v>
      </c>
    </row>
    <row r="176" spans="1:6" ht="15" customHeight="1" x14ac:dyDescent="0.3">
      <c r="A176" s="42" t="s">
        <v>277</v>
      </c>
      <c r="B176" s="43">
        <v>39126</v>
      </c>
      <c r="C176" s="42" t="s">
        <v>36</v>
      </c>
      <c r="D176" s="44">
        <v>1.63</v>
      </c>
      <c r="E176" s="44">
        <v>1.79</v>
      </c>
      <c r="F176">
        <v>2007</v>
      </c>
    </row>
    <row r="177" spans="1:6" ht="15" customHeight="1" x14ac:dyDescent="0.3">
      <c r="A177" s="42" t="s">
        <v>278</v>
      </c>
      <c r="B177" s="43">
        <v>39154</v>
      </c>
      <c r="C177" s="42" t="s">
        <v>36</v>
      </c>
      <c r="D177" s="44">
        <v>1.43</v>
      </c>
      <c r="E177" s="44">
        <v>0.93</v>
      </c>
      <c r="F177">
        <v>2007</v>
      </c>
    </row>
    <row r="178" spans="1:6" ht="15" customHeight="1" x14ac:dyDescent="0.3">
      <c r="A178" s="42" t="s">
        <v>280</v>
      </c>
      <c r="B178" s="43">
        <v>39174</v>
      </c>
      <c r="C178" s="42" t="s">
        <v>36</v>
      </c>
      <c r="D178" s="44">
        <v>3.86</v>
      </c>
      <c r="E178" s="44">
        <v>2.61</v>
      </c>
      <c r="F178">
        <v>2007</v>
      </c>
    </row>
    <row r="179" spans="1:6" ht="15" customHeight="1" x14ac:dyDescent="0.3">
      <c r="A179" s="42" t="s">
        <v>281</v>
      </c>
      <c r="B179" s="43">
        <v>39209</v>
      </c>
      <c r="C179" s="42" t="s">
        <v>36</v>
      </c>
      <c r="D179" s="44">
        <v>10.82</v>
      </c>
      <c r="E179" s="44">
        <v>6.19</v>
      </c>
      <c r="F179">
        <v>2007</v>
      </c>
    </row>
    <row r="180" spans="1:6" ht="15" customHeight="1" x14ac:dyDescent="0.3">
      <c r="A180" s="42" t="s">
        <v>282</v>
      </c>
      <c r="B180" s="43">
        <v>39238</v>
      </c>
      <c r="C180" s="42" t="s">
        <v>36</v>
      </c>
      <c r="D180" s="44">
        <v>14.52</v>
      </c>
      <c r="E180" s="44">
        <v>12.03</v>
      </c>
      <c r="F180">
        <v>2007</v>
      </c>
    </row>
    <row r="181" spans="1:6" ht="15" customHeight="1" x14ac:dyDescent="0.3">
      <c r="A181" s="42" t="s">
        <v>284</v>
      </c>
      <c r="B181" s="43">
        <v>39272</v>
      </c>
      <c r="C181" s="42" t="s">
        <v>36</v>
      </c>
      <c r="D181" s="44">
        <v>21.05</v>
      </c>
      <c r="E181" s="44">
        <v>17.55</v>
      </c>
      <c r="F181">
        <v>2007</v>
      </c>
    </row>
    <row r="182" spans="1:6" ht="15" customHeight="1" x14ac:dyDescent="0.3">
      <c r="A182" s="42" t="s">
        <v>285</v>
      </c>
      <c r="B182" s="43">
        <v>39282</v>
      </c>
      <c r="C182" s="42" t="s">
        <v>36</v>
      </c>
      <c r="D182" s="44">
        <v>21.15</v>
      </c>
      <c r="E182" s="44">
        <v>17.98</v>
      </c>
      <c r="F182">
        <v>2007</v>
      </c>
    </row>
    <row r="183" spans="1:6" ht="15" customHeight="1" x14ac:dyDescent="0.3">
      <c r="A183" s="42" t="s">
        <v>286</v>
      </c>
      <c r="B183" s="43">
        <v>39294</v>
      </c>
      <c r="C183" s="42" t="s">
        <v>36</v>
      </c>
      <c r="D183" s="44">
        <v>24.69</v>
      </c>
      <c r="E183" s="44">
        <v>19.100000000000001</v>
      </c>
      <c r="F183">
        <v>2007</v>
      </c>
    </row>
    <row r="184" spans="1:6" ht="15" customHeight="1" x14ac:dyDescent="0.3">
      <c r="A184" s="42" t="s">
        <v>287</v>
      </c>
      <c r="B184" s="43">
        <v>39309</v>
      </c>
      <c r="C184" s="42" t="s">
        <v>36</v>
      </c>
      <c r="D184" s="44">
        <v>23.37</v>
      </c>
      <c r="E184" s="44">
        <v>20.56</v>
      </c>
      <c r="F184">
        <v>2007</v>
      </c>
    </row>
    <row r="185" spans="1:6" ht="15" customHeight="1" x14ac:dyDescent="0.3">
      <c r="A185" s="42" t="s">
        <v>288</v>
      </c>
      <c r="B185" s="43">
        <v>39324</v>
      </c>
      <c r="C185" s="42" t="s">
        <v>36</v>
      </c>
      <c r="D185" s="44">
        <v>23.01</v>
      </c>
      <c r="E185" s="44">
        <v>21.45</v>
      </c>
      <c r="F185">
        <v>2007</v>
      </c>
    </row>
    <row r="186" spans="1:6" ht="15" customHeight="1" x14ac:dyDescent="0.3">
      <c r="A186" s="42" t="s">
        <v>290</v>
      </c>
      <c r="B186" s="43">
        <v>39357</v>
      </c>
      <c r="C186" s="42" t="s">
        <v>36</v>
      </c>
      <c r="D186" s="44">
        <v>21.09</v>
      </c>
      <c r="E186" s="46">
        <v>20.77</v>
      </c>
      <c r="F186">
        <v>2007</v>
      </c>
    </row>
    <row r="187" spans="1:6" ht="15" customHeight="1" x14ac:dyDescent="0.3">
      <c r="A187" s="42" t="s">
        <v>291</v>
      </c>
      <c r="B187" s="43">
        <v>39394</v>
      </c>
      <c r="C187" s="42" t="s">
        <v>36</v>
      </c>
      <c r="D187" s="44">
        <v>15.51</v>
      </c>
      <c r="E187" s="44">
        <v>15.45</v>
      </c>
      <c r="F187">
        <v>2007</v>
      </c>
    </row>
    <row r="188" spans="1:6" ht="15" customHeight="1" x14ac:dyDescent="0.3">
      <c r="A188" s="42" t="s">
        <v>292</v>
      </c>
      <c r="B188" s="43">
        <v>39426</v>
      </c>
      <c r="C188" s="42" t="s">
        <v>36</v>
      </c>
      <c r="D188" s="44">
        <v>8.42</v>
      </c>
      <c r="E188" s="44">
        <v>8.43</v>
      </c>
      <c r="F188">
        <v>2007</v>
      </c>
    </row>
    <row r="189" spans="1:6" ht="15" customHeight="1" x14ac:dyDescent="0.3">
      <c r="A189" s="42" t="s">
        <v>293</v>
      </c>
      <c r="B189" s="43">
        <v>39454</v>
      </c>
      <c r="C189" s="42" t="s">
        <v>36</v>
      </c>
      <c r="D189" s="44">
        <v>4.54</v>
      </c>
      <c r="E189" s="44">
        <v>5.01</v>
      </c>
      <c r="F189">
        <v>2008</v>
      </c>
    </row>
    <row r="190" spans="1:6" ht="15" customHeight="1" x14ac:dyDescent="0.3">
      <c r="A190" s="42" t="s">
        <v>294</v>
      </c>
      <c r="B190" s="43">
        <v>39482</v>
      </c>
      <c r="C190" s="42" t="s">
        <v>36</v>
      </c>
      <c r="D190" s="46">
        <v>3.02</v>
      </c>
      <c r="E190" s="44">
        <v>3.22</v>
      </c>
      <c r="F190">
        <v>2008</v>
      </c>
    </row>
    <row r="191" spans="1:6" ht="15" customHeight="1" x14ac:dyDescent="0.3">
      <c r="A191" s="42" t="s">
        <v>296</v>
      </c>
      <c r="B191" s="43">
        <v>39514</v>
      </c>
      <c r="C191" s="42" t="s">
        <v>36</v>
      </c>
      <c r="D191" s="44">
        <v>3.46</v>
      </c>
      <c r="E191" s="44">
        <v>2.94</v>
      </c>
      <c r="F191">
        <v>2008</v>
      </c>
    </row>
    <row r="192" spans="1:6" ht="15" customHeight="1" x14ac:dyDescent="0.3">
      <c r="A192" s="42" t="s">
        <v>298</v>
      </c>
      <c r="B192" s="43">
        <v>39541</v>
      </c>
      <c r="C192" s="42" t="s">
        <v>36</v>
      </c>
      <c r="D192" s="44">
        <v>4.97</v>
      </c>
      <c r="E192" s="44">
        <v>4.62</v>
      </c>
      <c r="F192">
        <v>2008</v>
      </c>
    </row>
    <row r="193" spans="1:6" ht="15" customHeight="1" x14ac:dyDescent="0.3">
      <c r="A193" s="42" t="s">
        <v>299</v>
      </c>
      <c r="B193" s="43">
        <v>39573</v>
      </c>
      <c r="C193" s="42" t="s">
        <v>36</v>
      </c>
      <c r="D193" s="44">
        <v>9.42</v>
      </c>
      <c r="E193" s="44">
        <v>8.7899999999999991</v>
      </c>
      <c r="F193">
        <v>2008</v>
      </c>
    </row>
    <row r="194" spans="1:6" ht="15" customHeight="1" x14ac:dyDescent="0.3">
      <c r="A194" s="42" t="s">
        <v>300</v>
      </c>
      <c r="B194" s="43">
        <v>39601</v>
      </c>
      <c r="C194" s="42" t="s">
        <v>36</v>
      </c>
      <c r="D194" s="44">
        <v>15.41</v>
      </c>
      <c r="E194" s="44">
        <v>11.7</v>
      </c>
      <c r="F194">
        <v>2008</v>
      </c>
    </row>
    <row r="195" spans="1:6" ht="15" customHeight="1" x14ac:dyDescent="0.3">
      <c r="A195" s="42" t="s">
        <v>302</v>
      </c>
      <c r="B195" s="43">
        <v>39636</v>
      </c>
      <c r="C195" s="42" t="s">
        <v>36</v>
      </c>
      <c r="D195" s="44">
        <v>20.38</v>
      </c>
      <c r="E195" s="44">
        <v>17.440000000000001</v>
      </c>
      <c r="F195">
        <v>2008</v>
      </c>
    </row>
    <row r="196" spans="1:6" ht="15" customHeight="1" x14ac:dyDescent="0.3">
      <c r="A196" s="42" t="s">
        <v>303</v>
      </c>
      <c r="B196" s="43">
        <v>39650</v>
      </c>
      <c r="C196" s="42" t="s">
        <v>36</v>
      </c>
      <c r="D196" s="44">
        <v>22.24</v>
      </c>
      <c r="E196" s="44">
        <v>18.920000000000002</v>
      </c>
      <c r="F196">
        <v>2008</v>
      </c>
    </row>
    <row r="197" spans="1:6" ht="15" customHeight="1" x14ac:dyDescent="0.3">
      <c r="A197" s="42" t="s">
        <v>304</v>
      </c>
      <c r="B197" s="43">
        <v>39667</v>
      </c>
      <c r="C197" s="42" t="s">
        <v>36</v>
      </c>
      <c r="D197" s="44">
        <v>23.07</v>
      </c>
      <c r="E197" s="44">
        <v>20.43</v>
      </c>
      <c r="F197">
        <v>2008</v>
      </c>
    </row>
    <row r="198" spans="1:6" ht="15" customHeight="1" x14ac:dyDescent="0.3">
      <c r="A198" s="42" t="s">
        <v>305</v>
      </c>
      <c r="B198" s="43">
        <v>39682</v>
      </c>
      <c r="C198" s="42" t="s">
        <v>36</v>
      </c>
      <c r="D198" s="44">
        <v>22.98</v>
      </c>
      <c r="E198" s="44">
        <v>21.03</v>
      </c>
      <c r="F198">
        <v>2008</v>
      </c>
    </row>
    <row r="199" spans="1:6" ht="15" customHeight="1" x14ac:dyDescent="0.3">
      <c r="A199" s="42" t="s">
        <v>306</v>
      </c>
      <c r="B199" s="43">
        <v>39696</v>
      </c>
      <c r="C199" s="42" t="s">
        <v>36</v>
      </c>
      <c r="D199" s="45"/>
      <c r="E199" s="45"/>
      <c r="F199">
        <v>2008</v>
      </c>
    </row>
    <row r="200" spans="1:6" ht="15" customHeight="1" x14ac:dyDescent="0.3">
      <c r="A200" s="42" t="s">
        <v>308</v>
      </c>
      <c r="B200" s="43">
        <v>39727</v>
      </c>
      <c r="C200" s="42" t="s">
        <v>36</v>
      </c>
      <c r="D200" s="44">
        <v>19.68</v>
      </c>
      <c r="E200" s="44">
        <v>19.53</v>
      </c>
      <c r="F200">
        <v>2008</v>
      </c>
    </row>
    <row r="201" spans="1:6" ht="15" customHeight="1" x14ac:dyDescent="0.3">
      <c r="A201" s="42" t="s">
        <v>309</v>
      </c>
      <c r="B201" s="43">
        <v>39764</v>
      </c>
      <c r="C201" s="42" t="s">
        <v>36</v>
      </c>
      <c r="D201" s="44">
        <v>13.86</v>
      </c>
      <c r="E201" s="44">
        <v>13.76</v>
      </c>
      <c r="F201">
        <v>2008</v>
      </c>
    </row>
    <row r="202" spans="1:6" ht="15" customHeight="1" x14ac:dyDescent="0.3">
      <c r="A202" s="42" t="s">
        <v>310</v>
      </c>
      <c r="B202" s="43">
        <v>39798</v>
      </c>
      <c r="C202" s="42" t="s">
        <v>36</v>
      </c>
      <c r="D202" s="44">
        <v>7.41</v>
      </c>
      <c r="E202" s="44">
        <v>7.66</v>
      </c>
      <c r="F202">
        <v>2008</v>
      </c>
    </row>
    <row r="203" spans="1:6" ht="15" customHeight="1" x14ac:dyDescent="0.3">
      <c r="A203" s="42" t="s">
        <v>311</v>
      </c>
      <c r="B203" s="43">
        <v>39826</v>
      </c>
      <c r="C203" s="42" t="s">
        <v>36</v>
      </c>
      <c r="D203" s="44">
        <v>3.36</v>
      </c>
      <c r="E203" s="44">
        <v>3.35</v>
      </c>
      <c r="F203">
        <v>2009</v>
      </c>
    </row>
    <row r="204" spans="1:6" ht="15" customHeight="1" x14ac:dyDescent="0.3">
      <c r="A204" s="42" t="s">
        <v>312</v>
      </c>
      <c r="B204" s="43">
        <v>39846</v>
      </c>
      <c r="C204" s="42" t="s">
        <v>36</v>
      </c>
      <c r="D204" s="44">
        <v>1.19</v>
      </c>
      <c r="E204" s="44">
        <v>1.67</v>
      </c>
      <c r="F204">
        <v>2009</v>
      </c>
    </row>
    <row r="205" spans="1:6" ht="15" customHeight="1" x14ac:dyDescent="0.3">
      <c r="A205" s="42" t="s">
        <v>314</v>
      </c>
      <c r="B205" s="43">
        <v>39878</v>
      </c>
      <c r="C205" s="42" t="s">
        <v>36</v>
      </c>
      <c r="D205" s="46">
        <v>1.61</v>
      </c>
      <c r="E205" s="44">
        <v>1.55</v>
      </c>
      <c r="F205">
        <v>2009</v>
      </c>
    </row>
    <row r="206" spans="1:6" ht="15" customHeight="1" x14ac:dyDescent="0.3">
      <c r="A206" s="42" t="s">
        <v>316</v>
      </c>
      <c r="B206" s="43">
        <v>39903</v>
      </c>
      <c r="C206" s="42" t="s">
        <v>36</v>
      </c>
      <c r="D206" s="46">
        <v>4.05</v>
      </c>
      <c r="E206" s="46">
        <v>3.5</v>
      </c>
      <c r="F206">
        <v>2009</v>
      </c>
    </row>
    <row r="207" spans="1:6" ht="15" customHeight="1" x14ac:dyDescent="0.3">
      <c r="A207" s="42" t="s">
        <v>317</v>
      </c>
      <c r="B207" s="43">
        <v>39932</v>
      </c>
      <c r="C207" s="42" t="s">
        <v>36</v>
      </c>
      <c r="D207" s="44">
        <v>8.18</v>
      </c>
      <c r="E207" s="44">
        <v>7.24</v>
      </c>
      <c r="F207">
        <v>2009</v>
      </c>
    </row>
    <row r="208" spans="1:6" ht="15" customHeight="1" x14ac:dyDescent="0.3">
      <c r="A208" s="42" t="s">
        <v>318</v>
      </c>
      <c r="B208" s="43">
        <v>39968</v>
      </c>
      <c r="C208" s="42" t="s">
        <v>36</v>
      </c>
      <c r="D208" s="44">
        <v>16.25</v>
      </c>
      <c r="E208" s="44">
        <v>11.67</v>
      </c>
      <c r="F208">
        <v>2009</v>
      </c>
    </row>
    <row r="209" spans="1:6" ht="15" customHeight="1" x14ac:dyDescent="0.3">
      <c r="A209" s="42" t="s">
        <v>320</v>
      </c>
      <c r="B209" s="43">
        <v>40001</v>
      </c>
      <c r="C209" s="42" t="s">
        <v>36</v>
      </c>
      <c r="D209" s="44">
        <v>21.71</v>
      </c>
      <c r="E209" s="44">
        <v>15.22</v>
      </c>
      <c r="F209">
        <v>2009</v>
      </c>
    </row>
    <row r="210" spans="1:6" ht="15" customHeight="1" x14ac:dyDescent="0.3">
      <c r="A210" s="42" t="s">
        <v>321</v>
      </c>
      <c r="B210" s="43">
        <v>40014</v>
      </c>
      <c r="C210" s="42" t="s">
        <v>36</v>
      </c>
      <c r="D210" s="44">
        <v>21.72</v>
      </c>
      <c r="E210" s="44">
        <v>17.73</v>
      </c>
      <c r="F210">
        <v>2009</v>
      </c>
    </row>
    <row r="211" spans="1:6" ht="15" customHeight="1" x14ac:dyDescent="0.3">
      <c r="A211" s="42" t="s">
        <v>322</v>
      </c>
      <c r="B211" s="43">
        <v>40028</v>
      </c>
      <c r="C211" s="42" t="s">
        <v>36</v>
      </c>
      <c r="D211" s="44">
        <v>22.99</v>
      </c>
      <c r="E211" s="44">
        <v>19.170000000000002</v>
      </c>
      <c r="F211">
        <v>2009</v>
      </c>
    </row>
    <row r="212" spans="1:6" ht="15" customHeight="1" x14ac:dyDescent="0.3">
      <c r="A212" s="42" t="s">
        <v>323</v>
      </c>
      <c r="B212" s="43">
        <v>40044</v>
      </c>
      <c r="C212" s="42" t="s">
        <v>36</v>
      </c>
      <c r="D212" s="44">
        <v>24.54</v>
      </c>
      <c r="E212" s="44">
        <v>19.940000000000001</v>
      </c>
      <c r="F212">
        <v>2009</v>
      </c>
    </row>
    <row r="213" spans="1:6" ht="15" customHeight="1" x14ac:dyDescent="0.3">
      <c r="A213" s="42" t="s">
        <v>324</v>
      </c>
      <c r="B213" s="43">
        <v>40058</v>
      </c>
      <c r="C213" s="42" t="s">
        <v>36</v>
      </c>
      <c r="D213" s="44">
        <v>22.38</v>
      </c>
      <c r="E213" s="44">
        <v>21.22</v>
      </c>
      <c r="F213">
        <v>2009</v>
      </c>
    </row>
    <row r="214" spans="1:6" ht="15" customHeight="1" x14ac:dyDescent="0.3">
      <c r="A214" s="42" t="s">
        <v>325</v>
      </c>
      <c r="B214" s="43">
        <v>40094</v>
      </c>
      <c r="C214" s="42" t="s">
        <v>36</v>
      </c>
      <c r="D214" s="44">
        <v>18.84</v>
      </c>
      <c r="E214" s="44">
        <v>18.739999999999998</v>
      </c>
      <c r="F214">
        <v>2009</v>
      </c>
    </row>
    <row r="215" spans="1:6" ht="15" customHeight="1" x14ac:dyDescent="0.3">
      <c r="A215" s="42" t="s">
        <v>326</v>
      </c>
      <c r="B215" s="43">
        <v>40122</v>
      </c>
      <c r="C215" s="42" t="s">
        <v>36</v>
      </c>
      <c r="D215" s="44">
        <v>13.85</v>
      </c>
      <c r="E215" s="44">
        <v>13.9</v>
      </c>
      <c r="F215">
        <v>2009</v>
      </c>
    </row>
    <row r="216" spans="1:6" ht="15" customHeight="1" x14ac:dyDescent="0.3">
      <c r="A216" s="42" t="s">
        <v>327</v>
      </c>
      <c r="B216" s="43">
        <v>40154</v>
      </c>
      <c r="C216" s="42" t="s">
        <v>36</v>
      </c>
      <c r="D216" s="44">
        <v>10.27</v>
      </c>
      <c r="E216" s="46">
        <v>10.7</v>
      </c>
      <c r="F216">
        <v>2009</v>
      </c>
    </row>
    <row r="217" spans="1:6" ht="15" customHeight="1" x14ac:dyDescent="0.3">
      <c r="A217" s="42" t="s">
        <v>328</v>
      </c>
      <c r="B217" s="43">
        <v>40186</v>
      </c>
      <c r="C217" s="42" t="s">
        <v>36</v>
      </c>
      <c r="D217" s="44">
        <v>3.32</v>
      </c>
      <c r="E217" s="44">
        <v>3.39</v>
      </c>
      <c r="F217">
        <v>2010</v>
      </c>
    </row>
    <row r="218" spans="1:6" ht="15" customHeight="1" x14ac:dyDescent="0.3">
      <c r="A218" s="42" t="s">
        <v>329</v>
      </c>
      <c r="B218" s="43">
        <v>40218</v>
      </c>
      <c r="C218" s="42" t="s">
        <v>36</v>
      </c>
      <c r="D218" s="44">
        <v>1.52</v>
      </c>
      <c r="E218" s="44">
        <v>1.57</v>
      </c>
      <c r="F218">
        <v>2010</v>
      </c>
    </row>
    <row r="219" spans="1:6" ht="15" customHeight="1" x14ac:dyDescent="0.3">
      <c r="A219" s="42" t="s">
        <v>330</v>
      </c>
      <c r="B219" s="43">
        <v>40242</v>
      </c>
      <c r="C219" s="42" t="s">
        <v>36</v>
      </c>
      <c r="D219" s="44">
        <v>2.4900000000000002</v>
      </c>
      <c r="E219" s="44">
        <v>2.19</v>
      </c>
      <c r="F219">
        <v>2010</v>
      </c>
    </row>
    <row r="220" spans="1:6" ht="15" customHeight="1" x14ac:dyDescent="0.3">
      <c r="A220" s="42" t="s">
        <v>332</v>
      </c>
      <c r="B220" s="43">
        <v>40269</v>
      </c>
      <c r="C220" s="42" t="s">
        <v>36</v>
      </c>
      <c r="D220" s="44">
        <v>4.9800000000000004</v>
      </c>
      <c r="E220" s="44">
        <v>4.8</v>
      </c>
      <c r="F220">
        <v>2010</v>
      </c>
    </row>
    <row r="221" spans="1:6" ht="15" customHeight="1" x14ac:dyDescent="0.3">
      <c r="A221" s="42" t="s">
        <v>333</v>
      </c>
      <c r="B221" s="43">
        <v>40303</v>
      </c>
      <c r="C221" s="42" t="s">
        <v>36</v>
      </c>
      <c r="D221" s="44">
        <v>10.75</v>
      </c>
      <c r="E221" s="44">
        <v>8.4700000000000006</v>
      </c>
      <c r="F221">
        <v>2010</v>
      </c>
    </row>
    <row r="222" spans="1:6" ht="15" customHeight="1" x14ac:dyDescent="0.3">
      <c r="A222" s="42" t="s">
        <v>334</v>
      </c>
      <c r="B222" s="43">
        <v>40332</v>
      </c>
      <c r="C222" s="42" t="s">
        <v>36</v>
      </c>
      <c r="D222" s="44">
        <v>17.920000000000002</v>
      </c>
      <c r="E222" s="44">
        <v>12.24</v>
      </c>
      <c r="F222">
        <v>2010</v>
      </c>
    </row>
    <row r="223" spans="1:6" ht="15" customHeight="1" x14ac:dyDescent="0.3">
      <c r="A223" s="42" t="s">
        <v>336</v>
      </c>
      <c r="B223" s="43">
        <v>40368</v>
      </c>
      <c r="C223" s="42" t="s">
        <v>36</v>
      </c>
      <c r="D223" s="44">
        <v>23.95</v>
      </c>
      <c r="E223" s="44">
        <v>17.829999999999998</v>
      </c>
      <c r="F223">
        <v>2010</v>
      </c>
    </row>
    <row r="224" spans="1:6" ht="15" customHeight="1" x14ac:dyDescent="0.3">
      <c r="A224" s="42" t="s">
        <v>337</v>
      </c>
      <c r="B224" s="43">
        <v>40380</v>
      </c>
      <c r="C224" s="42" t="s">
        <v>36</v>
      </c>
      <c r="D224" s="44">
        <v>25.26</v>
      </c>
      <c r="E224" s="44">
        <v>19.05</v>
      </c>
      <c r="F224">
        <v>2010</v>
      </c>
    </row>
    <row r="225" spans="1:6" ht="15" customHeight="1" x14ac:dyDescent="0.3">
      <c r="A225" s="42" t="s">
        <v>338</v>
      </c>
      <c r="B225" s="43">
        <v>40394</v>
      </c>
      <c r="C225" s="42" t="s">
        <v>36</v>
      </c>
      <c r="D225" s="44">
        <v>23.39</v>
      </c>
      <c r="E225" s="44">
        <v>21.6</v>
      </c>
      <c r="F225">
        <v>2010</v>
      </c>
    </row>
    <row r="226" spans="1:6" ht="15" customHeight="1" x14ac:dyDescent="0.3">
      <c r="A226" s="42" t="s">
        <v>339</v>
      </c>
      <c r="B226" s="43">
        <v>40409</v>
      </c>
      <c r="C226" s="42" t="s">
        <v>36</v>
      </c>
      <c r="D226" s="44">
        <v>23.97</v>
      </c>
      <c r="E226" s="44">
        <v>21.76</v>
      </c>
      <c r="F226">
        <v>2010</v>
      </c>
    </row>
    <row r="227" spans="1:6" ht="15" customHeight="1" x14ac:dyDescent="0.3">
      <c r="A227" s="42" t="s">
        <v>340</v>
      </c>
      <c r="B227" s="43">
        <v>40422</v>
      </c>
      <c r="C227" s="42" t="s">
        <v>36</v>
      </c>
      <c r="D227" s="44">
        <v>23.2</v>
      </c>
      <c r="E227" s="44">
        <v>21.73</v>
      </c>
      <c r="F227">
        <v>2010</v>
      </c>
    </row>
    <row r="228" spans="1:6" ht="15" customHeight="1" x14ac:dyDescent="0.3">
      <c r="A228" s="42" t="s">
        <v>341</v>
      </c>
      <c r="B228" s="43">
        <v>40464</v>
      </c>
      <c r="C228" s="42" t="s">
        <v>36</v>
      </c>
      <c r="D228" s="44">
        <v>18.87</v>
      </c>
      <c r="E228" s="44">
        <v>19.07</v>
      </c>
      <c r="F228">
        <v>2010</v>
      </c>
    </row>
    <row r="229" spans="1:6" ht="15" customHeight="1" x14ac:dyDescent="0.3">
      <c r="A229" s="42" t="s">
        <v>342</v>
      </c>
      <c r="B229" s="43">
        <v>40485</v>
      </c>
      <c r="C229" s="42" t="s">
        <v>36</v>
      </c>
      <c r="D229" s="44">
        <v>14.89</v>
      </c>
      <c r="E229" s="44">
        <v>14.78</v>
      </c>
      <c r="F229">
        <v>2010</v>
      </c>
    </row>
    <row r="230" spans="1:6" ht="15" customHeight="1" x14ac:dyDescent="0.3">
      <c r="A230" s="42" t="s">
        <v>343</v>
      </c>
      <c r="B230" s="43">
        <v>40511</v>
      </c>
      <c r="C230" s="42" t="s">
        <v>36</v>
      </c>
      <c r="D230" s="44">
        <v>10.93</v>
      </c>
      <c r="E230" s="44">
        <v>10.7</v>
      </c>
      <c r="F230">
        <v>2010</v>
      </c>
    </row>
    <row r="231" spans="1:6" ht="15" customHeight="1" x14ac:dyDescent="0.3">
      <c r="A231" s="42" t="s">
        <v>344</v>
      </c>
      <c r="B231" s="43">
        <v>40549</v>
      </c>
      <c r="C231" s="42" t="s">
        <v>36</v>
      </c>
      <c r="D231" s="44">
        <v>3.58</v>
      </c>
      <c r="E231" s="44">
        <v>3.57</v>
      </c>
      <c r="F231">
        <v>2011</v>
      </c>
    </row>
    <row r="232" spans="1:6" ht="15" customHeight="1" x14ac:dyDescent="0.3">
      <c r="A232" s="42" t="s">
        <v>345</v>
      </c>
      <c r="B232" s="43">
        <v>40574</v>
      </c>
      <c r="C232" s="42" t="s">
        <v>36</v>
      </c>
      <c r="D232" s="44">
        <v>1.1399999999999999</v>
      </c>
      <c r="E232" s="44">
        <v>1.27</v>
      </c>
      <c r="F232">
        <v>2011</v>
      </c>
    </row>
    <row r="233" spans="1:6" ht="15" customHeight="1" x14ac:dyDescent="0.3">
      <c r="A233" s="42" t="s">
        <v>347</v>
      </c>
      <c r="B233" s="43">
        <v>40616</v>
      </c>
      <c r="C233" s="42" t="s">
        <v>36</v>
      </c>
      <c r="D233" s="44">
        <v>3.09</v>
      </c>
      <c r="E233" s="44">
        <v>2.11</v>
      </c>
      <c r="F233">
        <v>2011</v>
      </c>
    </row>
    <row r="234" spans="1:6" ht="15" customHeight="1" x14ac:dyDescent="0.3">
      <c r="A234" s="42" t="s">
        <v>348</v>
      </c>
      <c r="B234" s="43">
        <v>40645</v>
      </c>
      <c r="C234" s="42" t="s">
        <v>36</v>
      </c>
      <c r="D234" s="44">
        <v>6.54</v>
      </c>
      <c r="E234" s="44">
        <v>4.62</v>
      </c>
      <c r="F234">
        <v>2011</v>
      </c>
    </row>
    <row r="235" spans="1:6" ht="15" customHeight="1" x14ac:dyDescent="0.3">
      <c r="A235" s="42" t="s">
        <v>349</v>
      </c>
      <c r="B235" s="43">
        <v>40667</v>
      </c>
      <c r="C235" s="42" t="s">
        <v>36</v>
      </c>
      <c r="D235" s="44">
        <v>10.71</v>
      </c>
      <c r="E235" s="44">
        <v>7.08</v>
      </c>
      <c r="F235">
        <v>2011</v>
      </c>
    </row>
    <row r="236" spans="1:6" ht="15" customHeight="1" x14ac:dyDescent="0.3">
      <c r="A236" s="42" t="s">
        <v>350</v>
      </c>
      <c r="B236" s="43">
        <v>40700</v>
      </c>
      <c r="C236" s="42" t="s">
        <v>36</v>
      </c>
      <c r="D236" s="44">
        <v>16.11</v>
      </c>
      <c r="E236" s="44">
        <v>12.21</v>
      </c>
      <c r="F236">
        <v>2011</v>
      </c>
    </row>
    <row r="237" spans="1:6" ht="15" customHeight="1" x14ac:dyDescent="0.3">
      <c r="A237" s="42" t="s">
        <v>352</v>
      </c>
      <c r="B237" s="43">
        <v>40729</v>
      </c>
      <c r="C237" s="42" t="s">
        <v>36</v>
      </c>
      <c r="D237" s="44">
        <v>21.62</v>
      </c>
      <c r="E237" s="44">
        <v>17.47</v>
      </c>
      <c r="F237">
        <v>2011</v>
      </c>
    </row>
    <row r="238" spans="1:6" ht="15" customHeight="1" x14ac:dyDescent="0.3">
      <c r="A238" s="42" t="s">
        <v>353</v>
      </c>
      <c r="B238" s="43">
        <v>40744</v>
      </c>
      <c r="C238" s="42" t="s">
        <v>36</v>
      </c>
      <c r="D238" s="44">
        <v>21.92</v>
      </c>
      <c r="E238" s="44">
        <v>19.95</v>
      </c>
      <c r="F238">
        <v>2011</v>
      </c>
    </row>
    <row r="239" spans="1:6" ht="15" customHeight="1" x14ac:dyDescent="0.3">
      <c r="A239" s="42" t="s">
        <v>354</v>
      </c>
      <c r="B239" s="43">
        <v>40756</v>
      </c>
      <c r="C239" s="42" t="s">
        <v>36</v>
      </c>
      <c r="D239" s="44">
        <v>23.77</v>
      </c>
      <c r="E239" s="44">
        <v>20.079999999999998</v>
      </c>
      <c r="F239">
        <v>2011</v>
      </c>
    </row>
    <row r="240" spans="1:6" ht="15" customHeight="1" x14ac:dyDescent="0.3">
      <c r="A240" s="42" t="s">
        <v>355</v>
      </c>
      <c r="B240" s="43">
        <v>40772</v>
      </c>
      <c r="C240" s="42" t="s">
        <v>36</v>
      </c>
      <c r="D240" s="44">
        <v>22.68</v>
      </c>
      <c r="E240" s="44">
        <v>21.01</v>
      </c>
      <c r="F240">
        <v>2011</v>
      </c>
    </row>
    <row r="241" spans="1:6" ht="15" customHeight="1" x14ac:dyDescent="0.3">
      <c r="A241" s="42" t="s">
        <v>356</v>
      </c>
      <c r="B241" s="43">
        <v>40785</v>
      </c>
      <c r="C241" s="42" t="s">
        <v>36</v>
      </c>
      <c r="D241" s="44">
        <v>22.77</v>
      </c>
      <c r="E241" s="44">
        <v>22.25</v>
      </c>
      <c r="F241">
        <v>2011</v>
      </c>
    </row>
    <row r="242" spans="1:6" ht="15" customHeight="1" x14ac:dyDescent="0.3">
      <c r="A242" s="42" t="s">
        <v>357</v>
      </c>
      <c r="B242" s="43">
        <v>40823</v>
      </c>
      <c r="C242" s="42" t="s">
        <v>36</v>
      </c>
      <c r="D242" s="44">
        <v>20.16</v>
      </c>
      <c r="E242" s="44">
        <v>20.170000000000002</v>
      </c>
      <c r="F242">
        <v>2011</v>
      </c>
    </row>
    <row r="243" spans="1:6" ht="15" customHeight="1" x14ac:dyDescent="0.3">
      <c r="A243" s="42" t="s">
        <v>358</v>
      </c>
      <c r="B243" s="43">
        <v>40855</v>
      </c>
      <c r="C243" s="42" t="s">
        <v>36</v>
      </c>
      <c r="D243" s="44">
        <v>14.47</v>
      </c>
      <c r="E243" s="44">
        <v>14.47</v>
      </c>
      <c r="F243">
        <v>2011</v>
      </c>
    </row>
    <row r="244" spans="1:6" ht="15" customHeight="1" x14ac:dyDescent="0.3">
      <c r="A244" s="42" t="s">
        <v>359</v>
      </c>
      <c r="B244" s="43">
        <v>40875</v>
      </c>
      <c r="C244" s="42" t="s">
        <v>36</v>
      </c>
      <c r="D244" s="44">
        <v>12.29</v>
      </c>
      <c r="E244" s="44">
        <v>11.9</v>
      </c>
      <c r="F244">
        <v>2011</v>
      </c>
    </row>
    <row r="245" spans="1:6" ht="15" customHeight="1" x14ac:dyDescent="0.3">
      <c r="A245" s="42" t="s">
        <v>360</v>
      </c>
      <c r="B245" s="43">
        <v>40919</v>
      </c>
      <c r="C245" s="42" t="s">
        <v>36</v>
      </c>
      <c r="D245" s="44">
        <v>6.56</v>
      </c>
      <c r="E245" s="44">
        <v>7.46</v>
      </c>
      <c r="F245">
        <v>2012</v>
      </c>
    </row>
    <row r="246" spans="1:6" ht="15" customHeight="1" x14ac:dyDescent="0.3">
      <c r="A246" s="42" t="s">
        <v>361</v>
      </c>
      <c r="B246" s="43">
        <v>40942</v>
      </c>
      <c r="C246" s="42" t="s">
        <v>36</v>
      </c>
      <c r="D246" s="44">
        <v>4.5999999999999996</v>
      </c>
      <c r="E246" s="44">
        <v>4.6399999999999997</v>
      </c>
      <c r="F246">
        <v>2012</v>
      </c>
    </row>
    <row r="247" spans="1:6" ht="15" customHeight="1" x14ac:dyDescent="0.3">
      <c r="A247" s="42" t="s">
        <v>363</v>
      </c>
      <c r="B247" s="43">
        <v>40974</v>
      </c>
      <c r="C247" s="42" t="s">
        <v>36</v>
      </c>
      <c r="D247" s="44">
        <v>4.71</v>
      </c>
      <c r="E247" s="44">
        <v>5.12</v>
      </c>
      <c r="F247">
        <v>2012</v>
      </c>
    </row>
    <row r="248" spans="1:6" ht="15" customHeight="1" x14ac:dyDescent="0.3">
      <c r="A248" s="42" t="s">
        <v>365</v>
      </c>
      <c r="B248" s="43">
        <v>41003</v>
      </c>
      <c r="C248" s="42" t="s">
        <v>36</v>
      </c>
      <c r="D248" s="44">
        <v>7.23</v>
      </c>
      <c r="E248" s="44">
        <v>7.09</v>
      </c>
      <c r="F248">
        <v>2012</v>
      </c>
    </row>
    <row r="249" spans="1:6" ht="15" customHeight="1" x14ac:dyDescent="0.3">
      <c r="A249" s="42" t="s">
        <v>366</v>
      </c>
      <c r="B249" s="43">
        <v>41032</v>
      </c>
      <c r="C249" s="42" t="s">
        <v>36</v>
      </c>
      <c r="D249" s="44">
        <v>10.87</v>
      </c>
      <c r="E249" s="44">
        <v>10.29</v>
      </c>
      <c r="F249">
        <v>2012</v>
      </c>
    </row>
    <row r="250" spans="1:6" ht="15" customHeight="1" x14ac:dyDescent="0.3">
      <c r="A250" s="42" t="s">
        <v>367</v>
      </c>
      <c r="B250" s="43">
        <v>41060</v>
      </c>
      <c r="C250" s="42" t="s">
        <v>36</v>
      </c>
      <c r="D250" s="44">
        <v>16.13</v>
      </c>
      <c r="E250" s="44">
        <v>12.57</v>
      </c>
      <c r="F250">
        <v>2012</v>
      </c>
    </row>
    <row r="251" spans="1:6" ht="15" customHeight="1" x14ac:dyDescent="0.3">
      <c r="A251" s="42" t="s">
        <v>369</v>
      </c>
      <c r="B251" s="43">
        <v>41088</v>
      </c>
      <c r="C251" s="42" t="s">
        <v>36</v>
      </c>
      <c r="D251" s="44">
        <v>21.06</v>
      </c>
      <c r="E251" s="44">
        <v>17.36</v>
      </c>
      <c r="F251">
        <v>2012</v>
      </c>
    </row>
    <row r="252" spans="1:6" ht="15" customHeight="1" x14ac:dyDescent="0.3">
      <c r="A252" s="42" t="s">
        <v>370</v>
      </c>
      <c r="B252" s="43">
        <v>41108</v>
      </c>
      <c r="C252" s="42" t="s">
        <v>36</v>
      </c>
      <c r="D252" s="44">
        <v>22.16</v>
      </c>
      <c r="E252" s="44">
        <v>20.67</v>
      </c>
      <c r="F252">
        <v>2012</v>
      </c>
    </row>
    <row r="253" spans="1:6" ht="15" customHeight="1" x14ac:dyDescent="0.3">
      <c r="A253" s="42" t="s">
        <v>371</v>
      </c>
      <c r="B253" s="43">
        <v>41121</v>
      </c>
      <c r="C253" s="42" t="s">
        <v>36</v>
      </c>
      <c r="D253" s="44">
        <v>23.32</v>
      </c>
      <c r="E253" s="44">
        <v>21.01</v>
      </c>
      <c r="F253">
        <v>2012</v>
      </c>
    </row>
    <row r="254" spans="1:6" ht="15" customHeight="1" x14ac:dyDescent="0.3">
      <c r="A254" s="42" t="s">
        <v>372</v>
      </c>
      <c r="B254" s="43">
        <v>41135</v>
      </c>
      <c r="C254" s="42" t="s">
        <v>36</v>
      </c>
      <c r="D254" s="44">
        <v>24.76</v>
      </c>
      <c r="E254" s="44">
        <v>22.64</v>
      </c>
      <c r="F254">
        <v>2012</v>
      </c>
    </row>
    <row r="255" spans="1:6" ht="15" customHeight="1" x14ac:dyDescent="0.3">
      <c r="A255" s="42" t="s">
        <v>373</v>
      </c>
      <c r="B255" s="43">
        <v>41151</v>
      </c>
      <c r="C255" s="42" t="s">
        <v>36</v>
      </c>
      <c r="D255" s="44">
        <v>24.25</v>
      </c>
      <c r="E255" s="44">
        <v>22.98</v>
      </c>
      <c r="F255">
        <v>2012</v>
      </c>
    </row>
    <row r="256" spans="1:6" ht="15" customHeight="1" x14ac:dyDescent="0.3">
      <c r="A256" s="42" t="s">
        <v>375</v>
      </c>
      <c r="B256" s="43">
        <v>41186</v>
      </c>
      <c r="C256" s="42" t="s">
        <v>36</v>
      </c>
      <c r="D256" s="44">
        <v>20.83</v>
      </c>
      <c r="E256" s="44">
        <v>20.7</v>
      </c>
      <c r="F256">
        <v>2012</v>
      </c>
    </row>
    <row r="257" spans="1:6" ht="15" customHeight="1" x14ac:dyDescent="0.3">
      <c r="A257" s="42" t="s">
        <v>376</v>
      </c>
      <c r="B257" s="43">
        <v>41228</v>
      </c>
      <c r="C257" s="42" t="s">
        <v>36</v>
      </c>
      <c r="D257" s="44">
        <v>12.87</v>
      </c>
      <c r="E257" s="44">
        <v>12.87</v>
      </c>
      <c r="F257">
        <v>2012</v>
      </c>
    </row>
    <row r="258" spans="1:6" ht="15" customHeight="1" x14ac:dyDescent="0.3">
      <c r="A258" s="42" t="s">
        <v>377</v>
      </c>
      <c r="B258" s="43">
        <v>41246</v>
      </c>
      <c r="C258" s="42" t="s">
        <v>36</v>
      </c>
      <c r="D258" s="44">
        <v>10.050000000000001</v>
      </c>
      <c r="E258" s="44">
        <v>10.039999999999999</v>
      </c>
      <c r="F258">
        <v>2012</v>
      </c>
    </row>
    <row r="259" spans="1:6" ht="15" customHeight="1" x14ac:dyDescent="0.3">
      <c r="A259" s="42" t="s">
        <v>378</v>
      </c>
      <c r="B259" s="43">
        <v>41285</v>
      </c>
      <c r="C259" s="42" t="s">
        <v>36</v>
      </c>
      <c r="D259" s="46">
        <v>5.36</v>
      </c>
      <c r="E259" s="46">
        <v>5.36</v>
      </c>
      <c r="F259">
        <v>2013</v>
      </c>
    </row>
    <row r="260" spans="1:6" ht="15" customHeight="1" x14ac:dyDescent="0.3">
      <c r="A260" s="42" t="s">
        <v>379</v>
      </c>
      <c r="B260" s="43">
        <v>41302</v>
      </c>
      <c r="C260" s="42" t="s">
        <v>36</v>
      </c>
      <c r="D260" s="46">
        <v>3.17</v>
      </c>
      <c r="E260" s="46">
        <v>3.2</v>
      </c>
      <c r="F260">
        <v>2013</v>
      </c>
    </row>
    <row r="261" spans="1:6" ht="15" customHeight="1" x14ac:dyDescent="0.3">
      <c r="A261" s="42" t="s">
        <v>381</v>
      </c>
      <c r="B261" s="43">
        <v>41338</v>
      </c>
      <c r="C261" s="42" t="s">
        <v>36</v>
      </c>
      <c r="D261" s="44">
        <v>2.52</v>
      </c>
      <c r="E261" s="44">
        <v>2.57</v>
      </c>
      <c r="F261">
        <v>2013</v>
      </c>
    </row>
    <row r="262" spans="1:6" ht="15" customHeight="1" x14ac:dyDescent="0.3">
      <c r="A262" s="42" t="s">
        <v>382</v>
      </c>
      <c r="B262" s="43">
        <v>41365</v>
      </c>
      <c r="C262" s="42" t="s">
        <v>36</v>
      </c>
      <c r="D262" s="44">
        <v>4.66</v>
      </c>
      <c r="E262" s="44">
        <v>3.82</v>
      </c>
      <c r="F262">
        <v>2013</v>
      </c>
    </row>
    <row r="263" spans="1:6" ht="15" customHeight="1" x14ac:dyDescent="0.3">
      <c r="A263" s="42" t="s">
        <v>383</v>
      </c>
      <c r="B263" s="43">
        <v>41394</v>
      </c>
      <c r="C263" s="42" t="s">
        <v>36</v>
      </c>
      <c r="D263" s="44">
        <v>9.35</v>
      </c>
      <c r="E263" s="44">
        <v>7.96</v>
      </c>
      <c r="F263">
        <v>2013</v>
      </c>
    </row>
    <row r="264" spans="1:6" ht="15" customHeight="1" x14ac:dyDescent="0.3">
      <c r="A264" s="42" t="s">
        <v>384</v>
      </c>
      <c r="B264" s="43">
        <v>41428</v>
      </c>
      <c r="C264" s="42" t="s">
        <v>36</v>
      </c>
      <c r="D264" s="44">
        <v>17.22</v>
      </c>
      <c r="E264" s="44">
        <v>12.65</v>
      </c>
      <c r="F264">
        <v>2013</v>
      </c>
    </row>
    <row r="265" spans="1:6" ht="15" customHeight="1" x14ac:dyDescent="0.3">
      <c r="A265" s="42" t="s">
        <v>386</v>
      </c>
      <c r="B265" s="43">
        <v>41456</v>
      </c>
      <c r="C265" s="42" t="s">
        <v>36</v>
      </c>
      <c r="D265" s="44">
        <v>21.75</v>
      </c>
      <c r="E265" s="44">
        <v>17.07</v>
      </c>
      <c r="F265">
        <v>2013</v>
      </c>
    </row>
    <row r="266" spans="1:6" ht="15" customHeight="1" x14ac:dyDescent="0.3">
      <c r="A266" s="42" t="s">
        <v>387</v>
      </c>
      <c r="B266" s="43">
        <v>41471</v>
      </c>
      <c r="C266" s="42" t="s">
        <v>36</v>
      </c>
      <c r="D266" s="44">
        <v>25.93</v>
      </c>
      <c r="E266" s="44">
        <v>17.829999999999998</v>
      </c>
      <c r="F266">
        <v>2013</v>
      </c>
    </row>
    <row r="267" spans="1:6" ht="15" customHeight="1" x14ac:dyDescent="0.3">
      <c r="A267" s="42" t="s">
        <v>388</v>
      </c>
      <c r="B267" s="43">
        <v>41485</v>
      </c>
      <c r="C267" s="42" t="s">
        <v>36</v>
      </c>
      <c r="D267" s="46">
        <v>23.3</v>
      </c>
      <c r="E267" s="46">
        <v>20.68</v>
      </c>
      <c r="F267">
        <v>2013</v>
      </c>
    </row>
    <row r="268" spans="1:6" ht="15" customHeight="1" x14ac:dyDescent="0.3">
      <c r="A268" s="42" t="s">
        <v>389</v>
      </c>
      <c r="B268" s="43">
        <v>41499</v>
      </c>
      <c r="C268" s="42" t="s">
        <v>36</v>
      </c>
      <c r="D268" s="44">
        <v>22.79</v>
      </c>
      <c r="E268" s="44">
        <v>21.43</v>
      </c>
      <c r="F268">
        <v>2013</v>
      </c>
    </row>
    <row r="269" spans="1:6" ht="15" customHeight="1" x14ac:dyDescent="0.3">
      <c r="A269" s="42" t="s">
        <v>390</v>
      </c>
      <c r="B269" s="43">
        <v>41515</v>
      </c>
      <c r="C269" s="42" t="s">
        <v>36</v>
      </c>
      <c r="D269" s="44">
        <v>23.07</v>
      </c>
      <c r="E269" s="44">
        <v>21.74</v>
      </c>
      <c r="F269">
        <v>2013</v>
      </c>
    </row>
    <row r="270" spans="1:6" ht="15" customHeight="1" x14ac:dyDescent="0.3">
      <c r="A270" s="42" t="s">
        <v>392</v>
      </c>
      <c r="B270" s="43">
        <v>41550</v>
      </c>
      <c r="C270" s="42" t="s">
        <v>36</v>
      </c>
      <c r="D270" s="44">
        <v>20.11</v>
      </c>
      <c r="E270" s="44">
        <v>19.7</v>
      </c>
      <c r="F270">
        <v>2013</v>
      </c>
    </row>
    <row r="271" spans="1:6" ht="15" customHeight="1" x14ac:dyDescent="0.3">
      <c r="A271" s="42" t="s">
        <v>393</v>
      </c>
      <c r="B271" s="43">
        <v>41584</v>
      </c>
      <c r="C271" s="42" t="s">
        <v>36</v>
      </c>
      <c r="D271" s="44">
        <v>15.28</v>
      </c>
      <c r="E271" s="44">
        <v>15.11</v>
      </c>
      <c r="F271">
        <v>2013</v>
      </c>
    </row>
    <row r="272" spans="1:6" ht="15" customHeight="1" x14ac:dyDescent="0.3">
      <c r="A272" s="42" t="s">
        <v>394</v>
      </c>
      <c r="B272" s="43">
        <v>41617</v>
      </c>
      <c r="C272" s="42" t="s">
        <v>36</v>
      </c>
      <c r="D272" s="44">
        <v>8.42</v>
      </c>
      <c r="E272" s="44">
        <v>8.43</v>
      </c>
      <c r="F272">
        <v>2013</v>
      </c>
    </row>
    <row r="273" spans="1:6" ht="15" customHeight="1" x14ac:dyDescent="0.3">
      <c r="A273" s="42" t="s">
        <v>395</v>
      </c>
      <c r="B273" s="43">
        <v>41649</v>
      </c>
      <c r="C273" s="42" t="s">
        <v>36</v>
      </c>
      <c r="D273" s="44">
        <v>2.42</v>
      </c>
      <c r="E273" s="44">
        <v>3.07</v>
      </c>
      <c r="F273">
        <v>2014</v>
      </c>
    </row>
    <row r="274" spans="1:6" ht="15" customHeight="1" x14ac:dyDescent="0.3">
      <c r="A274" s="42" t="s">
        <v>396</v>
      </c>
      <c r="B274" s="43">
        <v>41673</v>
      </c>
      <c r="C274" s="42" t="s">
        <v>36</v>
      </c>
      <c r="D274" s="44">
        <v>0.89</v>
      </c>
      <c r="E274" s="44">
        <v>0.94</v>
      </c>
      <c r="F274">
        <v>2014</v>
      </c>
    </row>
    <row r="275" spans="1:6" ht="15" customHeight="1" x14ac:dyDescent="0.3">
      <c r="A275" s="42" t="s">
        <v>398</v>
      </c>
      <c r="B275" s="43">
        <v>41702</v>
      </c>
      <c r="C275" s="42" t="s">
        <v>36</v>
      </c>
      <c r="D275" s="44">
        <v>0.37</v>
      </c>
      <c r="E275" s="44">
        <v>0.25</v>
      </c>
      <c r="F275">
        <v>2014</v>
      </c>
    </row>
    <row r="276" spans="1:6" ht="15" customHeight="1" x14ac:dyDescent="0.3">
      <c r="A276" s="42" t="s">
        <v>399</v>
      </c>
      <c r="B276" s="43">
        <v>41732</v>
      </c>
      <c r="C276" s="42" t="s">
        <v>36</v>
      </c>
      <c r="D276" s="44">
        <v>3.24</v>
      </c>
      <c r="E276" s="44">
        <v>2.31</v>
      </c>
      <c r="F276">
        <v>2014</v>
      </c>
    </row>
    <row r="277" spans="1:6" ht="15" customHeight="1" x14ac:dyDescent="0.3">
      <c r="A277" s="42" t="s">
        <v>400</v>
      </c>
      <c r="B277" s="43">
        <v>41767</v>
      </c>
      <c r="C277" s="42" t="s">
        <v>36</v>
      </c>
      <c r="D277" s="44">
        <v>9.0399999999999991</v>
      </c>
      <c r="E277" s="44">
        <v>7.21</v>
      </c>
      <c r="F277">
        <v>2014</v>
      </c>
    </row>
    <row r="278" spans="1:6" ht="15" customHeight="1" x14ac:dyDescent="0.3">
      <c r="A278" s="42" t="s">
        <v>401</v>
      </c>
      <c r="B278" s="43">
        <v>41792</v>
      </c>
      <c r="C278" s="42" t="s">
        <v>36</v>
      </c>
      <c r="D278" s="44">
        <v>15.58</v>
      </c>
      <c r="E278" s="44">
        <v>10.92</v>
      </c>
      <c r="F278">
        <v>2014</v>
      </c>
    </row>
    <row r="279" spans="1:6" ht="15" customHeight="1" x14ac:dyDescent="0.3">
      <c r="A279" s="42" t="s">
        <v>403</v>
      </c>
      <c r="B279" s="43">
        <v>41820</v>
      </c>
      <c r="C279" s="42" t="s">
        <v>36</v>
      </c>
      <c r="D279" s="44">
        <v>20.7</v>
      </c>
      <c r="E279" s="44">
        <v>15.75</v>
      </c>
      <c r="F279">
        <v>2014</v>
      </c>
    </row>
    <row r="280" spans="1:6" ht="15" customHeight="1" x14ac:dyDescent="0.3">
      <c r="A280" s="42" t="s">
        <v>404</v>
      </c>
      <c r="B280" s="43">
        <v>41835</v>
      </c>
      <c r="C280" s="42" t="s">
        <v>36</v>
      </c>
      <c r="D280" s="44">
        <v>22.29</v>
      </c>
      <c r="E280" s="44">
        <v>19.12</v>
      </c>
      <c r="F280">
        <v>2014</v>
      </c>
    </row>
    <row r="281" spans="1:6" ht="15" customHeight="1" x14ac:dyDescent="0.3">
      <c r="A281" s="42" t="s">
        <v>405</v>
      </c>
      <c r="B281" s="43">
        <v>41856</v>
      </c>
      <c r="C281" s="42" t="s">
        <v>36</v>
      </c>
      <c r="D281" s="44">
        <v>22.48</v>
      </c>
      <c r="E281" s="44">
        <v>20.51</v>
      </c>
      <c r="F281">
        <v>2014</v>
      </c>
    </row>
    <row r="282" spans="1:6" ht="15" customHeight="1" x14ac:dyDescent="0.3">
      <c r="A282" s="42" t="s">
        <v>406</v>
      </c>
      <c r="B282" s="43">
        <v>41869</v>
      </c>
      <c r="C282" s="42" t="s">
        <v>36</v>
      </c>
      <c r="D282" s="44">
        <v>22.3</v>
      </c>
      <c r="E282" s="44">
        <v>21.29</v>
      </c>
      <c r="F282">
        <v>2014</v>
      </c>
    </row>
    <row r="283" spans="1:6" ht="15" customHeight="1" x14ac:dyDescent="0.3">
      <c r="A283" s="42" t="s">
        <v>407</v>
      </c>
      <c r="B283" s="43">
        <v>41885</v>
      </c>
      <c r="C283" s="42" t="s">
        <v>36</v>
      </c>
      <c r="D283" s="44">
        <v>23.15</v>
      </c>
      <c r="E283" s="44">
        <v>21.73</v>
      </c>
      <c r="F283">
        <v>2014</v>
      </c>
    </row>
    <row r="284" spans="1:6" ht="15" customHeight="1" x14ac:dyDescent="0.3">
      <c r="A284" s="42" t="s">
        <v>408</v>
      </c>
      <c r="B284" s="43">
        <v>41897</v>
      </c>
      <c r="C284" s="42" t="s">
        <v>36</v>
      </c>
      <c r="D284" s="44">
        <v>21.61</v>
      </c>
      <c r="E284" s="44">
        <v>21.62</v>
      </c>
      <c r="F284">
        <v>2014</v>
      </c>
    </row>
    <row r="285" spans="1:6" ht="15" customHeight="1" x14ac:dyDescent="0.3">
      <c r="A285" s="42" t="s">
        <v>409</v>
      </c>
      <c r="B285" s="43">
        <v>41915</v>
      </c>
      <c r="C285" s="42" t="s">
        <v>36</v>
      </c>
      <c r="D285" s="46">
        <v>20.43</v>
      </c>
      <c r="E285" s="44">
        <v>20.309999999999999</v>
      </c>
      <c r="F285">
        <v>2014</v>
      </c>
    </row>
    <row r="286" spans="1:6" ht="15" customHeight="1" x14ac:dyDescent="0.3">
      <c r="A286" s="42" t="s">
        <v>410</v>
      </c>
      <c r="B286" s="43">
        <v>41955</v>
      </c>
      <c r="C286" s="42" t="s">
        <v>36</v>
      </c>
      <c r="D286" s="44">
        <v>14.2</v>
      </c>
      <c r="E286" s="44">
        <v>14.09</v>
      </c>
      <c r="F286">
        <v>2014</v>
      </c>
    </row>
    <row r="287" spans="1:6" ht="15" customHeight="1" x14ac:dyDescent="0.3">
      <c r="A287" s="42" t="s">
        <v>411</v>
      </c>
      <c r="B287" s="43">
        <v>41988</v>
      </c>
      <c r="C287" s="42" t="s">
        <v>36</v>
      </c>
      <c r="D287" s="44">
        <v>7.65</v>
      </c>
      <c r="E287" s="44">
        <v>7.84</v>
      </c>
      <c r="F287">
        <v>2014</v>
      </c>
    </row>
    <row r="288" spans="1:6" ht="15" customHeight="1" x14ac:dyDescent="0.3">
      <c r="A288" s="42" t="s">
        <v>412</v>
      </c>
      <c r="B288" s="43">
        <v>42019</v>
      </c>
      <c r="C288" s="42" t="s">
        <v>36</v>
      </c>
      <c r="D288" s="44">
        <v>3.27</v>
      </c>
      <c r="E288" s="44">
        <v>3.25</v>
      </c>
      <c r="F288">
        <v>2015</v>
      </c>
    </row>
    <row r="289" spans="1:6" ht="15" customHeight="1" x14ac:dyDescent="0.3">
      <c r="A289" s="42" t="s">
        <v>413</v>
      </c>
      <c r="B289" s="43">
        <v>42045</v>
      </c>
      <c r="C289" s="42" t="s">
        <v>36</v>
      </c>
      <c r="D289" s="44">
        <v>0.28000000000000003</v>
      </c>
      <c r="E289" s="44">
        <v>0.28000000000000003</v>
      </c>
      <c r="F289">
        <v>2015</v>
      </c>
    </row>
    <row r="290" spans="1:6" ht="15" customHeight="1" x14ac:dyDescent="0.3">
      <c r="A290" s="42" t="s">
        <v>414</v>
      </c>
      <c r="B290" s="43">
        <v>42072</v>
      </c>
      <c r="C290" s="42" t="s">
        <v>36</v>
      </c>
      <c r="D290" s="46">
        <v>-0.76</v>
      </c>
      <c r="E290" s="46">
        <v>-1.1599999999999999</v>
      </c>
      <c r="F290">
        <v>2015</v>
      </c>
    </row>
    <row r="291" spans="1:6" ht="15" customHeight="1" x14ac:dyDescent="0.3">
      <c r="A291" s="42" t="s">
        <v>416</v>
      </c>
      <c r="B291" s="43">
        <v>42094</v>
      </c>
      <c r="C291" s="42" t="s">
        <v>36</v>
      </c>
      <c r="D291" s="44">
        <v>1.75</v>
      </c>
      <c r="E291" s="44">
        <v>0.94</v>
      </c>
      <c r="F291">
        <v>2015</v>
      </c>
    </row>
    <row r="292" spans="1:6" ht="15" customHeight="1" x14ac:dyDescent="0.3">
      <c r="A292" s="42" t="s">
        <v>417</v>
      </c>
      <c r="B292" s="43">
        <v>42128</v>
      </c>
      <c r="C292" s="42" t="s">
        <v>36</v>
      </c>
      <c r="D292" s="44">
        <v>10.63</v>
      </c>
      <c r="E292" s="44">
        <v>5.89</v>
      </c>
      <c r="F292">
        <v>2015</v>
      </c>
    </row>
    <row r="293" spans="1:6" ht="15" customHeight="1" x14ac:dyDescent="0.3">
      <c r="A293" s="42" t="s">
        <v>418</v>
      </c>
      <c r="B293" s="43">
        <v>42160</v>
      </c>
      <c r="C293" s="42" t="s">
        <v>36</v>
      </c>
      <c r="D293" s="44">
        <v>13.98</v>
      </c>
      <c r="E293" s="44">
        <v>11.1</v>
      </c>
      <c r="F293">
        <v>2015</v>
      </c>
    </row>
    <row r="294" spans="1:6" ht="15" customHeight="1" x14ac:dyDescent="0.3">
      <c r="A294" s="42" t="s">
        <v>419</v>
      </c>
      <c r="B294" s="43">
        <v>42172</v>
      </c>
      <c r="C294" s="42" t="s">
        <v>36</v>
      </c>
      <c r="D294" s="44">
        <v>16.399999999999999</v>
      </c>
      <c r="E294" s="44">
        <v>13.4</v>
      </c>
      <c r="F294">
        <v>2015</v>
      </c>
    </row>
    <row r="295" spans="1:6" ht="15" customHeight="1" x14ac:dyDescent="0.3">
      <c r="A295" s="42" t="s">
        <v>420</v>
      </c>
      <c r="B295" s="43">
        <v>42193</v>
      </c>
      <c r="C295" s="42" t="s">
        <v>36</v>
      </c>
      <c r="D295" s="44">
        <v>22.27</v>
      </c>
      <c r="E295" s="44">
        <v>16.420000000000002</v>
      </c>
      <c r="F295">
        <v>2015</v>
      </c>
    </row>
    <row r="296" spans="1:6" ht="15" customHeight="1" x14ac:dyDescent="0.3">
      <c r="A296" s="42" t="s">
        <v>421</v>
      </c>
      <c r="B296" s="43">
        <v>42208</v>
      </c>
      <c r="C296" s="42" t="s">
        <v>36</v>
      </c>
      <c r="D296" s="44">
        <v>22.8</v>
      </c>
      <c r="E296" s="44">
        <v>19.27</v>
      </c>
      <c r="F296">
        <v>2015</v>
      </c>
    </row>
    <row r="297" spans="1:6" ht="15" customHeight="1" x14ac:dyDescent="0.3">
      <c r="A297" s="42" t="s">
        <v>422</v>
      </c>
      <c r="B297" s="43">
        <v>42222</v>
      </c>
      <c r="C297" s="42" t="s">
        <v>36</v>
      </c>
      <c r="D297" s="44">
        <v>22.56</v>
      </c>
      <c r="E297" s="44">
        <v>20.82</v>
      </c>
      <c r="F297">
        <v>2015</v>
      </c>
    </row>
    <row r="298" spans="1:6" ht="15" customHeight="1" x14ac:dyDescent="0.3">
      <c r="A298" s="42" t="s">
        <v>423</v>
      </c>
      <c r="B298" s="43">
        <v>42234</v>
      </c>
      <c r="C298" s="42" t="s">
        <v>36</v>
      </c>
      <c r="D298" s="44">
        <v>26.06</v>
      </c>
      <c r="E298" s="44">
        <v>22.01</v>
      </c>
      <c r="F298">
        <v>2015</v>
      </c>
    </row>
    <row r="299" spans="1:6" ht="15" customHeight="1" x14ac:dyDescent="0.3">
      <c r="A299" s="42" t="s">
        <v>424</v>
      </c>
      <c r="B299" s="43">
        <v>42249</v>
      </c>
      <c r="C299" s="42" t="s">
        <v>36</v>
      </c>
      <c r="D299" s="44">
        <v>24.87</v>
      </c>
      <c r="E299" s="44">
        <v>23.17</v>
      </c>
      <c r="F299">
        <v>2015</v>
      </c>
    </row>
    <row r="300" spans="1:6" ht="15" customHeight="1" x14ac:dyDescent="0.3">
      <c r="A300" s="42" t="s">
        <v>426</v>
      </c>
      <c r="B300" s="43">
        <v>42290</v>
      </c>
      <c r="C300" s="42" t="s">
        <v>36</v>
      </c>
      <c r="D300" s="44">
        <v>18.63</v>
      </c>
      <c r="E300" s="44">
        <v>19.36</v>
      </c>
      <c r="F300">
        <v>2015</v>
      </c>
    </row>
    <row r="301" spans="1:6" ht="15" customHeight="1" x14ac:dyDescent="0.3">
      <c r="A301" s="42" t="s">
        <v>427</v>
      </c>
      <c r="B301" s="43">
        <v>42318</v>
      </c>
      <c r="C301" s="42" t="s">
        <v>36</v>
      </c>
      <c r="D301" s="44">
        <v>15.06</v>
      </c>
      <c r="E301" s="44">
        <v>15.31</v>
      </c>
      <c r="F301">
        <v>2015</v>
      </c>
    </row>
    <row r="302" spans="1:6" ht="15" customHeight="1" x14ac:dyDescent="0.3">
      <c r="A302" s="42" t="s">
        <v>428</v>
      </c>
      <c r="B302" s="43">
        <v>42352</v>
      </c>
      <c r="C302" s="42" t="s">
        <v>36</v>
      </c>
      <c r="D302" s="44">
        <v>11.23</v>
      </c>
      <c r="E302" s="44">
        <v>11.13</v>
      </c>
      <c r="F302">
        <v>2015</v>
      </c>
    </row>
    <row r="303" spans="1:6" ht="15" customHeight="1" x14ac:dyDescent="0.3">
      <c r="A303" s="42" t="s">
        <v>429</v>
      </c>
      <c r="B303" s="43">
        <v>42377</v>
      </c>
      <c r="C303" s="42" t="s">
        <v>36</v>
      </c>
      <c r="D303" s="44">
        <v>7.52</v>
      </c>
      <c r="E303" s="44">
        <v>7.53</v>
      </c>
      <c r="F303">
        <v>2016</v>
      </c>
    </row>
    <row r="304" spans="1:6" ht="15" customHeight="1" x14ac:dyDescent="0.3">
      <c r="A304" s="42" t="s">
        <v>430</v>
      </c>
      <c r="B304" s="43">
        <v>42402</v>
      </c>
      <c r="C304" s="42" t="s">
        <v>36</v>
      </c>
      <c r="D304" s="44">
        <v>4.5</v>
      </c>
      <c r="E304" s="44">
        <v>4.29</v>
      </c>
      <c r="F304">
        <v>2016</v>
      </c>
    </row>
    <row r="305" spans="1:6" ht="15" customHeight="1" x14ac:dyDescent="0.3">
      <c r="A305" s="42" t="s">
        <v>432</v>
      </c>
      <c r="B305" s="43">
        <v>42438</v>
      </c>
      <c r="C305" s="42" t="s">
        <v>36</v>
      </c>
      <c r="D305" s="44">
        <v>4.2</v>
      </c>
      <c r="E305" s="44">
        <v>3.82</v>
      </c>
      <c r="F305">
        <v>2016</v>
      </c>
    </row>
    <row r="306" spans="1:6" ht="15" customHeight="1" x14ac:dyDescent="0.3">
      <c r="A306" s="42" t="s">
        <v>434</v>
      </c>
      <c r="B306" s="43">
        <v>42466</v>
      </c>
      <c r="C306" s="42" t="s">
        <v>36</v>
      </c>
      <c r="D306" s="44">
        <v>6.58</v>
      </c>
      <c r="E306" s="44">
        <v>5.81</v>
      </c>
      <c r="F306">
        <v>2016</v>
      </c>
    </row>
    <row r="307" spans="1:6" ht="15" customHeight="1" x14ac:dyDescent="0.3">
      <c r="A307" s="42" t="s">
        <v>435</v>
      </c>
      <c r="B307" s="43">
        <v>42508</v>
      </c>
      <c r="C307" s="42" t="s">
        <v>36</v>
      </c>
      <c r="D307" s="44">
        <v>10.79</v>
      </c>
      <c r="E307" s="44">
        <v>10.08</v>
      </c>
      <c r="F307">
        <v>2016</v>
      </c>
    </row>
    <row r="308" spans="1:6" ht="15" customHeight="1" x14ac:dyDescent="0.3">
      <c r="A308" s="42" t="s">
        <v>436</v>
      </c>
      <c r="B308" s="43">
        <v>42535</v>
      </c>
      <c r="C308" s="42" t="s">
        <v>36</v>
      </c>
      <c r="D308" s="46">
        <v>15.45</v>
      </c>
      <c r="E308" s="46">
        <v>14.61</v>
      </c>
      <c r="F308">
        <v>2016</v>
      </c>
    </row>
    <row r="309" spans="1:6" ht="15" customHeight="1" x14ac:dyDescent="0.3">
      <c r="A309" s="42" t="s">
        <v>438</v>
      </c>
      <c r="B309" s="43">
        <v>42558</v>
      </c>
      <c r="C309" s="42" t="s">
        <v>36</v>
      </c>
      <c r="D309" s="44">
        <v>22.2</v>
      </c>
      <c r="E309" s="44">
        <v>18.57</v>
      </c>
      <c r="F309">
        <v>2016</v>
      </c>
    </row>
    <row r="310" spans="1:6" ht="15" customHeight="1" x14ac:dyDescent="0.3">
      <c r="A310" s="42" t="s">
        <v>439</v>
      </c>
      <c r="B310" s="43">
        <v>42569</v>
      </c>
      <c r="C310" s="42" t="s">
        <v>36</v>
      </c>
      <c r="D310" s="45"/>
      <c r="E310" s="45"/>
      <c r="F310">
        <v>2016</v>
      </c>
    </row>
    <row r="311" spans="1:6" ht="15" customHeight="1" x14ac:dyDescent="0.3">
      <c r="A311" s="42" t="s">
        <v>440</v>
      </c>
      <c r="B311" s="43">
        <v>42586</v>
      </c>
      <c r="C311" s="42" t="s">
        <v>36</v>
      </c>
      <c r="D311" s="44">
        <v>23.03</v>
      </c>
      <c r="E311" s="44">
        <v>20.83</v>
      </c>
      <c r="F311">
        <v>2016</v>
      </c>
    </row>
    <row r="312" spans="1:6" ht="15" customHeight="1" x14ac:dyDescent="0.3">
      <c r="A312" s="42" t="s">
        <v>441</v>
      </c>
      <c r="B312" s="43">
        <v>42598</v>
      </c>
      <c r="C312" s="42" t="s">
        <v>36</v>
      </c>
      <c r="D312" s="44">
        <v>24.98</v>
      </c>
      <c r="E312" s="44">
        <v>22.55</v>
      </c>
      <c r="F312">
        <v>2016</v>
      </c>
    </row>
    <row r="313" spans="1:6" ht="15" customHeight="1" x14ac:dyDescent="0.3">
      <c r="A313" s="42" t="s">
        <v>442</v>
      </c>
      <c r="B313" s="43">
        <v>42613</v>
      </c>
      <c r="C313" s="42" t="s">
        <v>36</v>
      </c>
      <c r="D313" s="44">
        <v>24.78</v>
      </c>
      <c r="E313" s="44">
        <v>23.45</v>
      </c>
      <c r="F313">
        <v>2016</v>
      </c>
    </row>
    <row r="314" spans="1:6" ht="15" customHeight="1" x14ac:dyDescent="0.3">
      <c r="A314" s="42" t="s">
        <v>443</v>
      </c>
      <c r="B314" s="43">
        <v>42625</v>
      </c>
      <c r="C314" s="42" t="s">
        <v>36</v>
      </c>
      <c r="D314" s="44">
        <v>23.84</v>
      </c>
      <c r="E314" s="44">
        <v>23.13</v>
      </c>
      <c r="F314">
        <v>2016</v>
      </c>
    </row>
    <row r="315" spans="1:6" ht="15" customHeight="1" x14ac:dyDescent="0.3">
      <c r="A315" s="42" t="s">
        <v>444</v>
      </c>
      <c r="B315" s="43">
        <v>42649</v>
      </c>
      <c r="C315" s="42" t="s">
        <v>36</v>
      </c>
      <c r="D315" s="44">
        <v>20.77</v>
      </c>
      <c r="E315" s="44">
        <v>20.51</v>
      </c>
      <c r="F315">
        <v>2016</v>
      </c>
    </row>
    <row r="316" spans="1:6" ht="15" customHeight="1" x14ac:dyDescent="0.3">
      <c r="A316" s="42" t="s">
        <v>445</v>
      </c>
      <c r="B316" s="43">
        <v>42682</v>
      </c>
      <c r="C316" s="42" t="s">
        <v>36</v>
      </c>
      <c r="D316" s="44">
        <v>14.91</v>
      </c>
      <c r="E316" s="44">
        <v>14.9</v>
      </c>
      <c r="F316">
        <v>2016</v>
      </c>
    </row>
    <row r="317" spans="1:6" ht="15" customHeight="1" x14ac:dyDescent="0.3">
      <c r="A317" s="42" t="s">
        <v>446</v>
      </c>
      <c r="B317" s="43">
        <v>42710</v>
      </c>
      <c r="C317" s="42" t="s">
        <v>36</v>
      </c>
      <c r="D317" s="44">
        <v>10.039999999999999</v>
      </c>
      <c r="E317" s="44">
        <v>10.220000000000001</v>
      </c>
      <c r="F317">
        <v>2016</v>
      </c>
    </row>
    <row r="318" spans="1:6" ht="15" customHeight="1" x14ac:dyDescent="0.3">
      <c r="A318" s="42" t="s">
        <v>447</v>
      </c>
      <c r="B318" s="43">
        <v>42741</v>
      </c>
      <c r="C318" s="42" t="s">
        <v>36</v>
      </c>
      <c r="D318" s="44">
        <v>5.16</v>
      </c>
      <c r="E318" s="44">
        <v>5.53</v>
      </c>
      <c r="F318">
        <v>2017</v>
      </c>
    </row>
    <row r="319" spans="1:6" ht="15" customHeight="1" x14ac:dyDescent="0.3">
      <c r="A319" s="42" t="s">
        <v>448</v>
      </c>
      <c r="B319" s="43">
        <v>42780</v>
      </c>
      <c r="C319" s="42" t="s">
        <v>36</v>
      </c>
      <c r="D319" s="44">
        <v>2.98</v>
      </c>
      <c r="E319" s="44">
        <v>2.88</v>
      </c>
      <c r="F319">
        <v>2017</v>
      </c>
    </row>
    <row r="320" spans="1:6" ht="15" customHeight="1" x14ac:dyDescent="0.3">
      <c r="A320" s="42" t="s">
        <v>450</v>
      </c>
      <c r="B320" s="43">
        <v>42800</v>
      </c>
      <c r="C320" s="42" t="s">
        <v>36</v>
      </c>
      <c r="D320" s="44">
        <v>3.73</v>
      </c>
      <c r="E320" s="44">
        <v>3.35</v>
      </c>
      <c r="F320">
        <v>2017</v>
      </c>
    </row>
    <row r="321" spans="1:6" ht="15" customHeight="1" x14ac:dyDescent="0.3">
      <c r="A321" s="42" t="s">
        <v>451</v>
      </c>
      <c r="B321" s="43">
        <v>42830</v>
      </c>
      <c r="C321" s="42" t="s">
        <v>36</v>
      </c>
      <c r="D321" s="44">
        <v>4.1399999999999997</v>
      </c>
      <c r="E321" s="44">
        <v>3.89</v>
      </c>
      <c r="F321">
        <v>2017</v>
      </c>
    </row>
    <row r="322" spans="1:6" ht="15" customHeight="1" x14ac:dyDescent="0.3">
      <c r="A322" s="42" t="s">
        <v>452</v>
      </c>
      <c r="B322" s="43">
        <v>42856</v>
      </c>
      <c r="C322" s="42" t="s">
        <v>36</v>
      </c>
      <c r="D322" s="44">
        <v>8.57</v>
      </c>
      <c r="E322" s="44">
        <v>7.21</v>
      </c>
      <c r="F322">
        <v>2017</v>
      </c>
    </row>
    <row r="323" spans="1:6" ht="15" customHeight="1" x14ac:dyDescent="0.3">
      <c r="A323" s="42" t="s">
        <v>453</v>
      </c>
      <c r="B323" s="43">
        <v>42894</v>
      </c>
      <c r="C323" s="42" t="s">
        <v>36</v>
      </c>
      <c r="D323" s="46">
        <v>15.31</v>
      </c>
      <c r="E323" s="46">
        <v>12.44</v>
      </c>
      <c r="F323">
        <v>2017</v>
      </c>
    </row>
    <row r="324" spans="1:6" ht="15" customHeight="1" x14ac:dyDescent="0.3">
      <c r="A324" s="42" t="s">
        <v>455</v>
      </c>
      <c r="B324" s="43">
        <v>42921</v>
      </c>
      <c r="C324" s="42" t="s">
        <v>36</v>
      </c>
      <c r="D324" s="44">
        <v>22.7</v>
      </c>
      <c r="E324" s="44">
        <v>18.190000000000001</v>
      </c>
      <c r="F324">
        <v>2017</v>
      </c>
    </row>
    <row r="325" spans="1:6" ht="15" customHeight="1" x14ac:dyDescent="0.3">
      <c r="A325" s="42" t="s">
        <v>456</v>
      </c>
      <c r="B325" s="43">
        <v>42936</v>
      </c>
      <c r="C325" s="42" t="s">
        <v>36</v>
      </c>
      <c r="D325" s="44">
        <v>25.11</v>
      </c>
      <c r="E325" s="44">
        <v>18.66</v>
      </c>
      <c r="F325">
        <v>2017</v>
      </c>
    </row>
    <row r="326" spans="1:6" ht="15" customHeight="1" x14ac:dyDescent="0.3">
      <c r="A326" s="42" t="s">
        <v>457</v>
      </c>
      <c r="B326" s="43">
        <v>42949</v>
      </c>
      <c r="C326" s="42" t="s">
        <v>36</v>
      </c>
      <c r="D326" s="44">
        <v>24.34</v>
      </c>
      <c r="E326" s="44">
        <v>20.350000000000001</v>
      </c>
      <c r="F326">
        <v>2017</v>
      </c>
    </row>
    <row r="327" spans="1:6" ht="15" customHeight="1" x14ac:dyDescent="0.3">
      <c r="A327" s="42" t="s">
        <v>458</v>
      </c>
      <c r="B327" s="43">
        <v>42961</v>
      </c>
      <c r="C327" s="42" t="s">
        <v>36</v>
      </c>
      <c r="D327" s="44">
        <v>23.23</v>
      </c>
      <c r="E327" s="44">
        <v>21.38</v>
      </c>
      <c r="F327">
        <v>2017</v>
      </c>
    </row>
    <row r="328" spans="1:6" ht="15" customHeight="1" x14ac:dyDescent="0.3">
      <c r="A328" s="42" t="s">
        <v>459</v>
      </c>
      <c r="B328" s="43">
        <v>42978</v>
      </c>
      <c r="C328" s="42" t="s">
        <v>36</v>
      </c>
      <c r="D328" s="44">
        <v>22.34</v>
      </c>
      <c r="E328" s="44">
        <v>21.86</v>
      </c>
      <c r="F328">
        <v>2017</v>
      </c>
    </row>
    <row r="329" spans="1:6" ht="15" customHeight="1" x14ac:dyDescent="0.3">
      <c r="A329" s="42" t="s">
        <v>460</v>
      </c>
      <c r="B329" s="43">
        <v>43019</v>
      </c>
      <c r="C329" s="42" t="s">
        <v>36</v>
      </c>
      <c r="D329" s="44">
        <v>21.04</v>
      </c>
      <c r="E329" s="44">
        <v>20.49</v>
      </c>
      <c r="F329">
        <v>2017</v>
      </c>
    </row>
    <row r="330" spans="1:6" ht="15" customHeight="1" x14ac:dyDescent="0.3">
      <c r="A330" s="42" t="s">
        <v>461</v>
      </c>
      <c r="B330" s="43">
        <v>43048</v>
      </c>
      <c r="C330" s="42" t="s">
        <v>36</v>
      </c>
      <c r="D330" s="44">
        <v>16.649999999999999</v>
      </c>
      <c r="E330" s="44">
        <v>16.63</v>
      </c>
      <c r="F330">
        <v>2017</v>
      </c>
    </row>
    <row r="331" spans="1:6" ht="15" customHeight="1" x14ac:dyDescent="0.3">
      <c r="A331" s="42" t="s">
        <v>462</v>
      </c>
      <c r="B331" s="43">
        <v>43073</v>
      </c>
      <c r="C331" s="42" t="s">
        <v>36</v>
      </c>
      <c r="D331" s="44">
        <v>11.18</v>
      </c>
      <c r="E331" s="44">
        <v>11.2</v>
      </c>
      <c r="F331">
        <v>2017</v>
      </c>
    </row>
    <row r="332" spans="1:6" ht="15" customHeight="1" x14ac:dyDescent="0.3">
      <c r="A332" s="42" t="s">
        <v>463</v>
      </c>
      <c r="B332" s="43">
        <v>43110</v>
      </c>
      <c r="C332" s="42" t="s">
        <v>36</v>
      </c>
      <c r="D332" s="44">
        <v>2.06</v>
      </c>
      <c r="E332" s="44">
        <v>2.16</v>
      </c>
      <c r="F332">
        <v>2018</v>
      </c>
    </row>
    <row r="333" spans="1:6" ht="15" customHeight="1" x14ac:dyDescent="0.3">
      <c r="A333" s="42" t="s">
        <v>464</v>
      </c>
      <c r="B333" s="43">
        <v>43137</v>
      </c>
      <c r="C333" s="42" t="s">
        <v>36</v>
      </c>
      <c r="D333" s="44">
        <v>1.44</v>
      </c>
      <c r="E333" s="44">
        <v>1.49</v>
      </c>
      <c r="F333">
        <v>2018</v>
      </c>
    </row>
    <row r="334" spans="1:6" ht="15" customHeight="1" x14ac:dyDescent="0.3">
      <c r="A334" s="42" t="s">
        <v>466</v>
      </c>
      <c r="B334" s="43">
        <v>43165</v>
      </c>
      <c r="C334" s="42" t="s">
        <v>36</v>
      </c>
      <c r="D334" s="44">
        <v>3.24</v>
      </c>
      <c r="E334" s="44">
        <v>2.87</v>
      </c>
      <c r="F334">
        <v>2018</v>
      </c>
    </row>
    <row r="335" spans="1:6" ht="15" customHeight="1" x14ac:dyDescent="0.3">
      <c r="A335" s="42" t="s">
        <v>467</v>
      </c>
      <c r="B335" s="43">
        <v>43199</v>
      </c>
      <c r="C335" s="42" t="s">
        <v>36</v>
      </c>
      <c r="D335" s="44">
        <v>4.3099999999999996</v>
      </c>
      <c r="E335" s="44">
        <v>4.03</v>
      </c>
      <c r="F335">
        <v>2018</v>
      </c>
    </row>
    <row r="336" spans="1:6" ht="15" customHeight="1" x14ac:dyDescent="0.3">
      <c r="A336" s="42" t="s">
        <v>468</v>
      </c>
      <c r="B336" s="43">
        <v>43221</v>
      </c>
      <c r="C336" s="42" t="s">
        <v>36</v>
      </c>
      <c r="D336" s="44">
        <v>8.26</v>
      </c>
      <c r="E336" s="44">
        <v>6.81</v>
      </c>
      <c r="F336">
        <v>2018</v>
      </c>
    </row>
    <row r="337" spans="1:6" ht="15" customHeight="1" x14ac:dyDescent="0.3">
      <c r="A337" s="42" t="s">
        <v>469</v>
      </c>
      <c r="B337" s="43">
        <v>43250</v>
      </c>
      <c r="C337" s="42" t="s">
        <v>36</v>
      </c>
      <c r="D337" s="44">
        <v>15.23</v>
      </c>
      <c r="E337" s="44">
        <v>10.41</v>
      </c>
      <c r="F337">
        <v>2018</v>
      </c>
    </row>
    <row r="338" spans="1:6" ht="15" customHeight="1" x14ac:dyDescent="0.3">
      <c r="A338" s="42" t="s">
        <v>471</v>
      </c>
      <c r="B338" s="43">
        <v>43283</v>
      </c>
      <c r="C338" s="42" t="s">
        <v>36</v>
      </c>
      <c r="D338" s="44">
        <v>21.85</v>
      </c>
      <c r="E338" s="44">
        <v>15.65</v>
      </c>
      <c r="F338">
        <v>2018</v>
      </c>
    </row>
    <row r="339" spans="1:6" ht="15" customHeight="1" x14ac:dyDescent="0.3">
      <c r="A339" s="42" t="s">
        <v>472</v>
      </c>
      <c r="B339" s="43">
        <v>43298</v>
      </c>
      <c r="C339" s="42" t="s">
        <v>36</v>
      </c>
      <c r="D339" s="44">
        <v>22.48</v>
      </c>
      <c r="E339" s="44">
        <v>18.62</v>
      </c>
      <c r="F339">
        <v>2018</v>
      </c>
    </row>
    <row r="340" spans="1:6" ht="15" customHeight="1" x14ac:dyDescent="0.3">
      <c r="A340" s="42" t="s">
        <v>473</v>
      </c>
      <c r="B340" s="43">
        <v>43312</v>
      </c>
      <c r="C340" s="42" t="s">
        <v>36</v>
      </c>
      <c r="D340" s="44">
        <v>26.18</v>
      </c>
      <c r="E340" s="44">
        <v>21.16</v>
      </c>
      <c r="F340">
        <v>2018</v>
      </c>
    </row>
    <row r="341" spans="1:6" ht="15" customHeight="1" x14ac:dyDescent="0.3">
      <c r="A341" s="42" t="s">
        <v>474</v>
      </c>
      <c r="B341" s="43">
        <v>43326</v>
      </c>
      <c r="C341" s="42" t="s">
        <v>36</v>
      </c>
      <c r="D341" s="44">
        <v>24.7</v>
      </c>
      <c r="E341" s="44">
        <v>22.55</v>
      </c>
      <c r="F341">
        <v>2018</v>
      </c>
    </row>
    <row r="342" spans="1:6" ht="15" customHeight="1" x14ac:dyDescent="0.3">
      <c r="A342" s="42" t="s">
        <v>475</v>
      </c>
      <c r="B342" s="43">
        <v>43340</v>
      </c>
      <c r="C342" s="42" t="s">
        <v>36</v>
      </c>
      <c r="D342" s="44">
        <v>26.01</v>
      </c>
      <c r="E342" s="44">
        <v>22.64</v>
      </c>
      <c r="F342">
        <v>2018</v>
      </c>
    </row>
    <row r="343" spans="1:6" ht="15" customHeight="1" x14ac:dyDescent="0.3">
      <c r="A343" s="42" t="s">
        <v>477</v>
      </c>
      <c r="B343" s="43">
        <v>43375</v>
      </c>
      <c r="C343" s="42" t="s">
        <v>36</v>
      </c>
      <c r="D343" s="44">
        <v>21.4</v>
      </c>
      <c r="E343" s="44">
        <v>21.33</v>
      </c>
      <c r="F343">
        <v>2018</v>
      </c>
    </row>
    <row r="344" spans="1:6" ht="15" customHeight="1" x14ac:dyDescent="0.3">
      <c r="A344" s="42" t="s">
        <v>478</v>
      </c>
      <c r="B344" s="43">
        <v>43412</v>
      </c>
      <c r="C344" s="42" t="s">
        <v>36</v>
      </c>
      <c r="D344" s="44">
        <v>14.34</v>
      </c>
      <c r="E344" s="44">
        <v>14.68</v>
      </c>
      <c r="F344">
        <v>2018</v>
      </c>
    </row>
    <row r="345" spans="1:6" ht="15" customHeight="1" x14ac:dyDescent="0.3">
      <c r="A345" s="42" t="s">
        <v>479</v>
      </c>
      <c r="B345" s="43">
        <v>43434</v>
      </c>
      <c r="C345" s="42" t="s">
        <v>36</v>
      </c>
      <c r="D345" s="44">
        <v>9.1300000000000008</v>
      </c>
      <c r="E345" s="44">
        <v>9.52</v>
      </c>
      <c r="F345">
        <v>2018</v>
      </c>
    </row>
    <row r="346" spans="1:6" ht="15" customHeight="1" x14ac:dyDescent="0.3">
      <c r="A346" s="42" t="s">
        <v>6</v>
      </c>
      <c r="B346" s="43">
        <v>43467</v>
      </c>
      <c r="C346" s="42" t="s">
        <v>514</v>
      </c>
      <c r="D346" s="44">
        <v>5.91</v>
      </c>
      <c r="E346" s="44">
        <v>6.04</v>
      </c>
      <c r="F346">
        <v>2019</v>
      </c>
    </row>
    <row r="347" spans="1:6" ht="15" customHeight="1" x14ac:dyDescent="0.3">
      <c r="A347" s="42" t="s">
        <v>7</v>
      </c>
      <c r="B347" s="43">
        <v>43500</v>
      </c>
      <c r="C347" s="42" t="s">
        <v>36</v>
      </c>
      <c r="D347" s="44">
        <v>2.12</v>
      </c>
      <c r="E347" s="44">
        <v>1.95</v>
      </c>
      <c r="F347">
        <v>2019</v>
      </c>
    </row>
    <row r="348" spans="1:6" ht="15" customHeight="1" x14ac:dyDescent="0.3">
      <c r="A348" s="42" t="s">
        <v>9</v>
      </c>
      <c r="B348" s="43">
        <v>43532</v>
      </c>
      <c r="C348" s="42" t="s">
        <v>36</v>
      </c>
      <c r="D348" s="44">
        <v>1.51</v>
      </c>
      <c r="E348" s="44">
        <v>1.74</v>
      </c>
      <c r="F348">
        <v>2019</v>
      </c>
    </row>
    <row r="349" spans="1:6" ht="15" customHeight="1" x14ac:dyDescent="0.3">
      <c r="A349" s="42" t="s">
        <v>10</v>
      </c>
      <c r="B349" s="43">
        <v>43559</v>
      </c>
      <c r="C349" s="42" t="s">
        <v>36</v>
      </c>
      <c r="D349" s="44">
        <v>4.67</v>
      </c>
      <c r="E349" s="44">
        <v>4.3899999999999997</v>
      </c>
      <c r="F349">
        <v>2019</v>
      </c>
    </row>
    <row r="350" spans="1:6" ht="15" customHeight="1" x14ac:dyDescent="0.3">
      <c r="A350" s="42" t="s">
        <v>11</v>
      </c>
      <c r="B350" s="43">
        <v>43593</v>
      </c>
      <c r="C350" s="42" t="s">
        <v>36</v>
      </c>
      <c r="D350" s="44">
        <v>11.32</v>
      </c>
      <c r="E350" s="46">
        <v>8.7899999999999991</v>
      </c>
      <c r="F350">
        <v>2019</v>
      </c>
    </row>
    <row r="351" spans="1:6" ht="15" customHeight="1" x14ac:dyDescent="0.3">
      <c r="A351" s="42" t="s">
        <v>12</v>
      </c>
      <c r="B351" s="43">
        <v>43614</v>
      </c>
      <c r="C351" s="42" t="s">
        <v>36</v>
      </c>
      <c r="D351" s="44">
        <v>14.9</v>
      </c>
      <c r="E351" s="44">
        <v>11.4</v>
      </c>
      <c r="F351">
        <v>2019</v>
      </c>
    </row>
    <row r="352" spans="1:6" ht="15" customHeight="1" x14ac:dyDescent="0.3">
      <c r="A352" s="42" t="s">
        <v>14</v>
      </c>
      <c r="B352" s="43">
        <v>43647</v>
      </c>
      <c r="C352" s="42" t="s">
        <v>36</v>
      </c>
      <c r="D352" s="44">
        <v>19.22</v>
      </c>
      <c r="E352" s="44">
        <v>15.73</v>
      </c>
      <c r="F352">
        <v>2019</v>
      </c>
    </row>
    <row r="353" spans="1:6" ht="15" customHeight="1" x14ac:dyDescent="0.3">
      <c r="A353" s="42" t="s">
        <v>15</v>
      </c>
      <c r="B353" s="43">
        <v>43663</v>
      </c>
      <c r="C353" s="42" t="s">
        <v>36</v>
      </c>
      <c r="D353" s="44">
        <v>24.15</v>
      </c>
      <c r="E353" s="44">
        <v>18.98</v>
      </c>
      <c r="F353">
        <v>2019</v>
      </c>
    </row>
    <row r="354" spans="1:6" ht="15" customHeight="1" x14ac:dyDescent="0.3">
      <c r="A354" s="42" t="s">
        <v>16</v>
      </c>
      <c r="B354" s="43">
        <v>43675</v>
      </c>
      <c r="C354" s="42" t="s">
        <v>36</v>
      </c>
      <c r="D354" s="44">
        <v>24.16</v>
      </c>
      <c r="E354" s="44">
        <v>19.61</v>
      </c>
      <c r="F354">
        <v>2019</v>
      </c>
    </row>
    <row r="355" spans="1:6" ht="15" customHeight="1" x14ac:dyDescent="0.3">
      <c r="A355" s="42" t="s">
        <v>17</v>
      </c>
      <c r="B355" s="43">
        <v>43690</v>
      </c>
      <c r="C355" s="42" t="s">
        <v>36</v>
      </c>
      <c r="D355" s="44">
        <v>23.14</v>
      </c>
      <c r="E355" s="44">
        <v>21.61</v>
      </c>
      <c r="F355">
        <v>2019</v>
      </c>
    </row>
    <row r="356" spans="1:6" ht="15" customHeight="1" x14ac:dyDescent="0.3">
      <c r="A356" s="42" t="s">
        <v>18</v>
      </c>
      <c r="B356" s="43">
        <v>43706</v>
      </c>
      <c r="C356" s="42" t="s">
        <v>36</v>
      </c>
      <c r="D356" s="44">
        <v>23.08</v>
      </c>
      <c r="E356" s="44">
        <v>21.89</v>
      </c>
      <c r="F356">
        <v>2019</v>
      </c>
    </row>
    <row r="357" spans="1:6" ht="15" customHeight="1" x14ac:dyDescent="0.3">
      <c r="A357" s="42" t="s">
        <v>39</v>
      </c>
      <c r="B357" s="43">
        <v>43738</v>
      </c>
      <c r="C357" s="42" t="s">
        <v>36</v>
      </c>
      <c r="D357" s="44">
        <v>21.16</v>
      </c>
      <c r="E357" s="44">
        <v>20.85</v>
      </c>
      <c r="F357">
        <v>2019</v>
      </c>
    </row>
    <row r="358" spans="1:6" ht="15" customHeight="1" x14ac:dyDescent="0.3">
      <c r="A358" s="42" t="s">
        <v>40</v>
      </c>
      <c r="B358" s="43">
        <v>43773</v>
      </c>
      <c r="C358" s="42" t="s">
        <v>36</v>
      </c>
      <c r="D358" s="44">
        <v>15.89</v>
      </c>
      <c r="E358" s="44">
        <v>15.89</v>
      </c>
      <c r="F358">
        <v>2019</v>
      </c>
    </row>
    <row r="359" spans="1:6" ht="15" customHeight="1" x14ac:dyDescent="0.3">
      <c r="A359" s="42" t="s">
        <v>41</v>
      </c>
      <c r="B359" s="43">
        <v>43815</v>
      </c>
      <c r="C359" s="42" t="s">
        <v>36</v>
      </c>
      <c r="D359" s="44">
        <v>7.27</v>
      </c>
      <c r="E359" s="44">
        <v>7.5</v>
      </c>
      <c r="F359">
        <v>2019</v>
      </c>
    </row>
    <row r="360" spans="1:6" ht="15" customHeight="1" x14ac:dyDescent="0.3">
      <c r="A360" s="42" t="s">
        <v>502</v>
      </c>
      <c r="B360" s="43">
        <v>43840</v>
      </c>
      <c r="C360" s="42" t="s">
        <v>36</v>
      </c>
      <c r="D360" s="44">
        <v>4.88</v>
      </c>
      <c r="E360" s="44">
        <v>4.95</v>
      </c>
      <c r="F360">
        <v>2020</v>
      </c>
    </row>
    <row r="361" spans="1:6" ht="15" customHeight="1" x14ac:dyDescent="0.3">
      <c r="A361" s="42" t="s">
        <v>503</v>
      </c>
      <c r="B361" s="43">
        <v>43872</v>
      </c>
      <c r="C361" s="42" t="s">
        <v>36</v>
      </c>
      <c r="D361" s="44">
        <v>4.16</v>
      </c>
      <c r="E361" s="44">
        <v>4.12</v>
      </c>
      <c r="F361">
        <v>2020</v>
      </c>
    </row>
    <row r="362" spans="1:6" ht="15" customHeight="1" x14ac:dyDescent="0.3">
      <c r="A362" s="42" t="s">
        <v>504</v>
      </c>
      <c r="B362" s="43">
        <v>43901</v>
      </c>
      <c r="C362" s="42" t="s">
        <v>36</v>
      </c>
      <c r="D362" s="44">
        <v>4.7300000000000004</v>
      </c>
      <c r="E362" s="44">
        <v>4.32</v>
      </c>
      <c r="F362">
        <v>2020</v>
      </c>
    </row>
    <row r="363" spans="1:6" ht="15" customHeight="1" x14ac:dyDescent="0.3">
      <c r="A363" s="42" t="s">
        <v>510</v>
      </c>
      <c r="B363" s="43">
        <v>43998</v>
      </c>
      <c r="C363" s="42" t="s">
        <v>36</v>
      </c>
      <c r="D363" s="44">
        <v>16.649999999999999</v>
      </c>
      <c r="E363" s="44">
        <v>13.95</v>
      </c>
      <c r="F363">
        <v>2020</v>
      </c>
    </row>
    <row r="364" spans="1:6" ht="15" customHeight="1" x14ac:dyDescent="0.3">
      <c r="A364" s="42" t="s">
        <v>505</v>
      </c>
      <c r="B364" s="43">
        <v>44020</v>
      </c>
      <c r="C364" s="42" t="s">
        <v>36</v>
      </c>
      <c r="D364" s="44">
        <v>21.42</v>
      </c>
      <c r="E364" s="44">
        <v>18.23</v>
      </c>
      <c r="F364">
        <v>2020</v>
      </c>
    </row>
    <row r="365" spans="1:6" ht="15" customHeight="1" x14ac:dyDescent="0.3">
      <c r="A365" s="42" t="s">
        <v>511</v>
      </c>
      <c r="B365" s="43">
        <v>44033</v>
      </c>
      <c r="C365" s="42" t="s">
        <v>36</v>
      </c>
      <c r="D365" s="44">
        <v>26.05</v>
      </c>
      <c r="E365" s="44">
        <v>18.14</v>
      </c>
      <c r="F365">
        <v>2020</v>
      </c>
    </row>
    <row r="366" spans="1:6" ht="15" customHeight="1" x14ac:dyDescent="0.3">
      <c r="A366" s="42" t="s">
        <v>506</v>
      </c>
      <c r="B366" s="43">
        <v>44054</v>
      </c>
      <c r="C366" s="42" t="s">
        <v>36</v>
      </c>
      <c r="D366" s="44">
        <v>25.79</v>
      </c>
      <c r="E366" s="44">
        <v>22.38</v>
      </c>
      <c r="F366">
        <v>2020</v>
      </c>
    </row>
    <row r="367" spans="1:6" ht="15" customHeight="1" x14ac:dyDescent="0.3">
      <c r="A367" s="42" t="s">
        <v>512</v>
      </c>
      <c r="B367" s="43">
        <v>44069</v>
      </c>
      <c r="C367" s="42" t="s">
        <v>36</v>
      </c>
      <c r="D367" s="44">
        <v>23.71</v>
      </c>
      <c r="E367" s="44">
        <v>22.91</v>
      </c>
      <c r="F367">
        <v>2020</v>
      </c>
    </row>
    <row r="368" spans="1:6" ht="15" customHeight="1" x14ac:dyDescent="0.3">
      <c r="A368" s="42" t="s">
        <v>507</v>
      </c>
      <c r="B368" s="43">
        <v>44082</v>
      </c>
      <c r="C368" s="42" t="s">
        <v>36</v>
      </c>
      <c r="D368" s="44">
        <v>23.61</v>
      </c>
      <c r="E368" s="44">
        <v>22.86</v>
      </c>
      <c r="F368">
        <v>2020</v>
      </c>
    </row>
    <row r="369" spans="1:6" ht="15" customHeight="1" x14ac:dyDescent="0.3">
      <c r="A369" s="42" t="s">
        <v>508</v>
      </c>
      <c r="B369" s="43">
        <v>44119</v>
      </c>
      <c r="C369" s="42" t="s">
        <v>36</v>
      </c>
      <c r="D369" s="44">
        <v>18.87</v>
      </c>
      <c r="E369" s="44">
        <v>18.66</v>
      </c>
      <c r="F369">
        <v>2020</v>
      </c>
    </row>
    <row r="370" spans="1:6" ht="15" customHeight="1" x14ac:dyDescent="0.3">
      <c r="A370" s="42" t="s">
        <v>509</v>
      </c>
      <c r="B370" s="43">
        <v>44140</v>
      </c>
      <c r="C370" s="42" t="s">
        <v>36</v>
      </c>
      <c r="D370" s="44">
        <v>15.25</v>
      </c>
      <c r="E370" s="44">
        <v>15.12</v>
      </c>
      <c r="F370">
        <v>2020</v>
      </c>
    </row>
    <row r="371" spans="1:6" ht="15" customHeight="1" x14ac:dyDescent="0.3">
      <c r="A371" s="78" t="s">
        <v>522</v>
      </c>
      <c r="B371" s="79">
        <v>44264</v>
      </c>
      <c r="C371" s="78" t="s">
        <v>36</v>
      </c>
      <c r="D371" s="80">
        <v>2.88</v>
      </c>
      <c r="E371" s="80">
        <v>2.4</v>
      </c>
      <c r="F371">
        <v>2021</v>
      </c>
    </row>
    <row r="372" spans="1:6" ht="15" customHeight="1" x14ac:dyDescent="0.3">
      <c r="A372" s="78" t="s">
        <v>523</v>
      </c>
      <c r="B372" s="79">
        <v>44292</v>
      </c>
      <c r="C372" s="78" t="s">
        <v>36</v>
      </c>
      <c r="D372" s="80">
        <v>6</v>
      </c>
      <c r="E372" s="80">
        <v>5.04</v>
      </c>
      <c r="F372">
        <v>2021</v>
      </c>
    </row>
    <row r="373" spans="1:6" ht="15" customHeight="1" x14ac:dyDescent="0.3">
      <c r="A373" s="78" t="s">
        <v>524</v>
      </c>
      <c r="B373" s="79">
        <v>44320</v>
      </c>
      <c r="C373" s="78" t="s">
        <v>36</v>
      </c>
      <c r="D373" s="80">
        <v>9.3800000000000008</v>
      </c>
      <c r="E373" s="80">
        <v>8.32</v>
      </c>
      <c r="F373">
        <v>2021</v>
      </c>
    </row>
    <row r="374" spans="1:6" ht="15" customHeight="1" x14ac:dyDescent="0.3">
      <c r="A374" s="78" t="s">
        <v>525</v>
      </c>
      <c r="B374" s="79">
        <v>44356</v>
      </c>
      <c r="C374" s="78" t="s">
        <v>36</v>
      </c>
      <c r="D374" s="80">
        <v>18.760000000000002</v>
      </c>
      <c r="E374" s="80">
        <v>12.62</v>
      </c>
      <c r="F374">
        <v>2021</v>
      </c>
    </row>
    <row r="375" spans="1:6" ht="15" customHeight="1" x14ac:dyDescent="0.3">
      <c r="A375" s="78" t="s">
        <v>527</v>
      </c>
      <c r="B375" s="79">
        <v>44389</v>
      </c>
      <c r="C375" s="78" t="s">
        <v>36</v>
      </c>
      <c r="D375" s="80">
        <v>21.92</v>
      </c>
      <c r="E375" s="80">
        <v>17.86</v>
      </c>
      <c r="F375">
        <v>2021</v>
      </c>
    </row>
    <row r="376" spans="1:6" ht="15" customHeight="1" x14ac:dyDescent="0.3">
      <c r="A376" s="78" t="s">
        <v>528</v>
      </c>
      <c r="B376" s="79">
        <v>44397</v>
      </c>
      <c r="C376" s="78" t="s">
        <v>36</v>
      </c>
      <c r="D376" s="80">
        <v>22.73</v>
      </c>
      <c r="E376" s="80">
        <v>18.48</v>
      </c>
      <c r="F376">
        <v>2021</v>
      </c>
    </row>
    <row r="377" spans="1:6" ht="15" customHeight="1" x14ac:dyDescent="0.3">
      <c r="A377" s="78" t="s">
        <v>529</v>
      </c>
      <c r="B377" s="79">
        <v>44412</v>
      </c>
      <c r="C377" s="78" t="s">
        <v>36</v>
      </c>
      <c r="D377" s="80">
        <v>22.89</v>
      </c>
      <c r="E377" s="80">
        <v>20.52</v>
      </c>
      <c r="F377">
        <v>2021</v>
      </c>
    </row>
    <row r="378" spans="1:6" ht="15" customHeight="1" x14ac:dyDescent="0.3">
      <c r="A378" s="78" t="s">
        <v>530</v>
      </c>
      <c r="B378" s="79">
        <v>44425</v>
      </c>
      <c r="C378" s="78" t="s">
        <v>36</v>
      </c>
      <c r="D378" s="80">
        <v>24.83</v>
      </c>
      <c r="E378" s="80">
        <v>20.87</v>
      </c>
      <c r="F378">
        <v>2021</v>
      </c>
    </row>
    <row r="379" spans="1:6" ht="15" customHeight="1" x14ac:dyDescent="0.3">
      <c r="A379" s="78" t="s">
        <v>531</v>
      </c>
      <c r="B379" s="79">
        <v>44440</v>
      </c>
      <c r="C379" s="78" t="s">
        <v>36</v>
      </c>
      <c r="D379" s="80">
        <v>23.93</v>
      </c>
      <c r="E379" s="80">
        <v>22.09</v>
      </c>
      <c r="F379">
        <v>2021</v>
      </c>
    </row>
    <row r="380" spans="1:6" ht="15" customHeight="1" x14ac:dyDescent="0.3">
      <c r="A380" s="78" t="s">
        <v>533</v>
      </c>
      <c r="B380" s="79">
        <v>44475</v>
      </c>
      <c r="C380" s="78" t="s">
        <v>36</v>
      </c>
      <c r="D380" s="80">
        <v>21</v>
      </c>
      <c r="E380" s="80">
        <v>21.06</v>
      </c>
      <c r="F380">
        <v>2021</v>
      </c>
    </row>
    <row r="381" spans="1:6" ht="15" customHeight="1" x14ac:dyDescent="0.3">
      <c r="A381" s="78" t="s">
        <v>534</v>
      </c>
      <c r="B381" s="79">
        <v>44509</v>
      </c>
      <c r="C381" s="78" t="s">
        <v>36</v>
      </c>
      <c r="D381" s="80">
        <v>16.100000000000001</v>
      </c>
      <c r="E381" s="80">
        <v>16.13</v>
      </c>
      <c r="F381">
        <v>2021</v>
      </c>
    </row>
    <row r="382" spans="1:6" ht="15" customHeight="1" x14ac:dyDescent="0.3">
      <c r="A382" s="78" t="s">
        <v>535</v>
      </c>
      <c r="B382" s="79">
        <v>44538</v>
      </c>
      <c r="C382" s="78" t="s">
        <v>36</v>
      </c>
      <c r="D382" s="80">
        <v>10.18</v>
      </c>
      <c r="E382" s="80">
        <v>10.29</v>
      </c>
      <c r="F382">
        <v>2021</v>
      </c>
    </row>
    <row r="383" spans="1:6" ht="15" customHeight="1" x14ac:dyDescent="0.3">
      <c r="A383" s="107" t="s">
        <v>539</v>
      </c>
      <c r="B383" s="108">
        <v>44595</v>
      </c>
      <c r="C383" s="107" t="s">
        <v>36</v>
      </c>
      <c r="D383" s="109">
        <v>2.84</v>
      </c>
      <c r="E383" s="109">
        <v>2.67</v>
      </c>
      <c r="F383">
        <v>2022</v>
      </c>
    </row>
    <row r="384" spans="1:6" ht="15" customHeight="1" x14ac:dyDescent="0.3">
      <c r="A384" s="107" t="s">
        <v>541</v>
      </c>
      <c r="B384" s="108">
        <v>44627</v>
      </c>
      <c r="C384" s="107" t="s">
        <v>36</v>
      </c>
      <c r="D384" s="109">
        <v>3.43</v>
      </c>
      <c r="E384" s="109">
        <v>3.06</v>
      </c>
      <c r="F384">
        <v>2022</v>
      </c>
    </row>
    <row r="385" spans="1:6" ht="15" customHeight="1" x14ac:dyDescent="0.3">
      <c r="A385" s="107" t="s">
        <v>542</v>
      </c>
      <c r="B385" s="108">
        <v>44659</v>
      </c>
      <c r="C385" s="107" t="s">
        <v>36</v>
      </c>
      <c r="D385" s="109">
        <v>5.99</v>
      </c>
      <c r="E385" s="109">
        <v>5.47</v>
      </c>
      <c r="F385">
        <v>2022</v>
      </c>
    </row>
    <row r="386" spans="1:6" ht="15" customHeight="1" x14ac:dyDescent="0.3">
      <c r="A386" s="107" t="s">
        <v>543</v>
      </c>
      <c r="B386" s="108">
        <v>44687</v>
      </c>
      <c r="C386" s="107" t="s">
        <v>36</v>
      </c>
      <c r="D386" s="109">
        <v>10.49</v>
      </c>
      <c r="E386" s="109">
        <v>8.5</v>
      </c>
      <c r="F386">
        <v>2022</v>
      </c>
    </row>
    <row r="387" spans="1:6" ht="15" customHeight="1" x14ac:dyDescent="0.3">
      <c r="A387" s="107" t="s">
        <v>544</v>
      </c>
      <c r="B387" s="108">
        <v>44718</v>
      </c>
      <c r="C387" s="107" t="s">
        <v>36</v>
      </c>
      <c r="D387" s="109">
        <v>17.98</v>
      </c>
      <c r="E387" s="109">
        <v>13.12</v>
      </c>
      <c r="F387">
        <v>2022</v>
      </c>
    </row>
    <row r="388" spans="1:6" ht="15" customHeight="1" x14ac:dyDescent="0.3">
      <c r="A388" s="107" t="s">
        <v>546</v>
      </c>
      <c r="B388" s="108">
        <v>44750</v>
      </c>
      <c r="C388" s="107" t="s">
        <v>36</v>
      </c>
      <c r="D388" s="109">
        <v>21.11</v>
      </c>
      <c r="E388" s="109">
        <v>18.420000000000002</v>
      </c>
      <c r="F388">
        <v>2022</v>
      </c>
    </row>
    <row r="389" spans="1:6" ht="15" customHeight="1" x14ac:dyDescent="0.3">
      <c r="A389" s="107" t="s">
        <v>547</v>
      </c>
      <c r="B389" s="108">
        <v>44762</v>
      </c>
      <c r="C389" s="107" t="s">
        <v>36</v>
      </c>
      <c r="D389" s="109">
        <v>23.44</v>
      </c>
      <c r="E389" s="109">
        <v>18.809999999999999</v>
      </c>
      <c r="F389">
        <v>2022</v>
      </c>
    </row>
    <row r="390" spans="1:6" ht="15" customHeight="1" x14ac:dyDescent="0.3">
      <c r="A390" s="107" t="s">
        <v>548</v>
      </c>
      <c r="B390" s="108">
        <v>44776</v>
      </c>
      <c r="C390" s="107" t="s">
        <v>36</v>
      </c>
      <c r="D390" s="109">
        <v>23.49</v>
      </c>
      <c r="E390" s="109">
        <v>21.25</v>
      </c>
      <c r="F390">
        <v>2022</v>
      </c>
    </row>
    <row r="391" spans="1:6" ht="15" customHeight="1" x14ac:dyDescent="0.3">
      <c r="A391" s="107" t="s">
        <v>549</v>
      </c>
      <c r="B391" s="108">
        <v>44791</v>
      </c>
      <c r="C391" s="107" t="s">
        <v>36</v>
      </c>
      <c r="D391" s="109">
        <v>23.75</v>
      </c>
      <c r="E391" s="109">
        <v>22.09</v>
      </c>
      <c r="F391">
        <v>2022</v>
      </c>
    </row>
    <row r="392" spans="1:6" ht="15" customHeight="1" x14ac:dyDescent="0.3">
      <c r="A392" s="107" t="s">
        <v>550</v>
      </c>
      <c r="B392" s="108">
        <v>44806</v>
      </c>
      <c r="C392" s="107" t="s">
        <v>36</v>
      </c>
      <c r="D392" s="109">
        <v>24.53</v>
      </c>
      <c r="E392" s="109">
        <v>23.21</v>
      </c>
      <c r="F392">
        <v>2022</v>
      </c>
    </row>
    <row r="393" spans="1:6" ht="15" customHeight="1" x14ac:dyDescent="0.3">
      <c r="A393" s="107" t="s">
        <v>552</v>
      </c>
      <c r="B393" s="108">
        <v>44840</v>
      </c>
      <c r="C393" s="107" t="s">
        <v>36</v>
      </c>
      <c r="D393" s="109">
        <v>19.510000000000002</v>
      </c>
      <c r="E393" s="109">
        <v>18.77</v>
      </c>
      <c r="F393">
        <v>2022</v>
      </c>
    </row>
    <row r="394" spans="1:6" ht="15" customHeight="1" x14ac:dyDescent="0.3">
      <c r="A394" s="107" t="s">
        <v>553</v>
      </c>
      <c r="B394" s="108">
        <v>44875</v>
      </c>
      <c r="C394" s="107" t="s">
        <v>36</v>
      </c>
      <c r="D394" s="109">
        <v>16.100000000000001</v>
      </c>
      <c r="E394" s="109">
        <v>16.100000000000001</v>
      </c>
      <c r="F394">
        <v>2022</v>
      </c>
    </row>
    <row r="395" spans="1:6" ht="15" customHeight="1" x14ac:dyDescent="0.3">
      <c r="A395" s="107" t="s">
        <v>556</v>
      </c>
      <c r="B395" s="108">
        <v>44901</v>
      </c>
      <c r="C395" s="107" t="s">
        <v>36</v>
      </c>
      <c r="D395" s="109">
        <v>10.64</v>
      </c>
      <c r="E395" s="109">
        <v>10.65</v>
      </c>
      <c r="F395">
        <v>2022</v>
      </c>
    </row>
    <row r="396" spans="1:6" ht="15" customHeight="1" x14ac:dyDescent="0.3">
      <c r="A396" s="78" t="s">
        <v>557</v>
      </c>
      <c r="B396" s="79">
        <v>44932</v>
      </c>
      <c r="C396" s="78" t="s">
        <v>36</v>
      </c>
      <c r="D396" s="80">
        <v>5.57</v>
      </c>
      <c r="E396" s="80">
        <v>5.87</v>
      </c>
      <c r="F396">
        <v>2023</v>
      </c>
    </row>
    <row r="397" spans="1:6" ht="15" customHeight="1" x14ac:dyDescent="0.3">
      <c r="A397" s="78" t="s">
        <v>558</v>
      </c>
      <c r="B397" s="79">
        <v>44965</v>
      </c>
      <c r="C397" s="78" t="s">
        <v>36</v>
      </c>
      <c r="D397" s="80">
        <v>4.0199999999999996</v>
      </c>
      <c r="E397" s="80">
        <v>4.2699999999999996</v>
      </c>
      <c r="F397">
        <v>2023</v>
      </c>
    </row>
    <row r="398" spans="1:6" ht="15" customHeight="1" x14ac:dyDescent="0.3">
      <c r="A398" s="78" t="s">
        <v>560</v>
      </c>
      <c r="B398" s="79">
        <v>45051</v>
      </c>
      <c r="C398" s="78" t="s">
        <v>36</v>
      </c>
      <c r="D398" s="80">
        <v>11.44</v>
      </c>
      <c r="E398" s="80">
        <v>9.5299999999999994</v>
      </c>
      <c r="F398">
        <v>2023</v>
      </c>
    </row>
    <row r="399" spans="1:6" ht="15" customHeight="1" x14ac:dyDescent="0.3">
      <c r="A399" s="78" t="s">
        <v>561</v>
      </c>
      <c r="B399" s="79">
        <v>45079</v>
      </c>
      <c r="C399" s="78" t="s">
        <v>36</v>
      </c>
      <c r="D399" s="80">
        <v>17.79</v>
      </c>
      <c r="E399" s="80">
        <v>12.38</v>
      </c>
      <c r="F399">
        <v>2023</v>
      </c>
    </row>
    <row r="400" spans="1:6" ht="15" customHeight="1" x14ac:dyDescent="0.3">
      <c r="A400" s="78" t="s">
        <v>563</v>
      </c>
      <c r="B400" s="79">
        <v>45112</v>
      </c>
      <c r="C400" s="78" t="s">
        <v>36</v>
      </c>
      <c r="D400" s="80">
        <v>23.15</v>
      </c>
      <c r="E400" s="80">
        <v>18.309999999999999</v>
      </c>
      <c r="F400">
        <v>2023</v>
      </c>
    </row>
    <row r="401" spans="1:6" ht="15" customHeight="1" x14ac:dyDescent="0.3">
      <c r="A401" s="78" t="s">
        <v>564</v>
      </c>
      <c r="B401" s="79">
        <v>45126</v>
      </c>
      <c r="C401" s="78" t="s">
        <v>36</v>
      </c>
      <c r="D401" s="80">
        <v>24.6</v>
      </c>
      <c r="E401" s="80">
        <v>18.059999999999999</v>
      </c>
      <c r="F401">
        <v>2023</v>
      </c>
    </row>
    <row r="402" spans="1:6" ht="15" customHeight="1" x14ac:dyDescent="0.3">
      <c r="A402" s="78" t="s">
        <v>565</v>
      </c>
      <c r="B402" s="79">
        <v>45141</v>
      </c>
      <c r="C402" s="78" t="s">
        <v>36</v>
      </c>
      <c r="D402" s="80">
        <v>23.89</v>
      </c>
      <c r="E402" s="80">
        <v>20.71</v>
      </c>
      <c r="F402">
        <v>2023</v>
      </c>
    </row>
    <row r="403" spans="1:6" ht="15" customHeight="1" x14ac:dyDescent="0.3">
      <c r="A403" s="78" t="s">
        <v>566</v>
      </c>
      <c r="B403" s="79">
        <v>45154</v>
      </c>
      <c r="C403" s="78" t="s">
        <v>36</v>
      </c>
      <c r="D403" s="80">
        <v>23.52</v>
      </c>
      <c r="E403" s="80">
        <v>21.74</v>
      </c>
      <c r="F403">
        <v>2023</v>
      </c>
    </row>
    <row r="404" spans="1:6" ht="15" customHeight="1" x14ac:dyDescent="0.3">
      <c r="A404" s="78" t="s">
        <v>567</v>
      </c>
      <c r="B404" s="79">
        <v>45175</v>
      </c>
      <c r="C404" s="78" t="s">
        <v>36</v>
      </c>
      <c r="D404" s="80">
        <v>24.13</v>
      </c>
      <c r="E404" s="80">
        <v>21.7</v>
      </c>
      <c r="F404">
        <v>2023</v>
      </c>
    </row>
    <row r="405" spans="1:6" ht="15" customHeight="1" x14ac:dyDescent="0.3">
      <c r="A405" s="78" t="s">
        <v>568</v>
      </c>
      <c r="B405" s="79">
        <v>45204</v>
      </c>
      <c r="C405" s="78" t="s">
        <v>36</v>
      </c>
      <c r="D405" s="80">
        <v>20.82</v>
      </c>
      <c r="E405" s="80">
        <v>19.670000000000002</v>
      </c>
      <c r="F405">
        <v>2023</v>
      </c>
    </row>
    <row r="406" spans="1:6" ht="15" customHeight="1" x14ac:dyDescent="0.3">
      <c r="A406" s="78" t="s">
        <v>569</v>
      </c>
      <c r="B406" s="79">
        <v>45239</v>
      </c>
      <c r="C406" s="78" t="s">
        <v>36</v>
      </c>
      <c r="D406" s="80">
        <v>14.89</v>
      </c>
      <c r="E406" s="80">
        <v>15.19</v>
      </c>
      <c r="F406">
        <v>2023</v>
      </c>
    </row>
    <row r="407" spans="1:6" ht="15" customHeight="1" x14ac:dyDescent="0.3">
      <c r="A407" s="78" t="s">
        <v>570</v>
      </c>
      <c r="B407" s="79">
        <v>45265</v>
      </c>
      <c r="C407" s="78" t="s">
        <v>36</v>
      </c>
      <c r="D407" s="80">
        <v>10.45</v>
      </c>
      <c r="E407" s="80">
        <v>10.74</v>
      </c>
      <c r="F407">
        <v>2023</v>
      </c>
    </row>
    <row r="408" spans="1:6" ht="15" customHeight="1" x14ac:dyDescent="0.3">
      <c r="A408" s="103" t="s">
        <v>571</v>
      </c>
      <c r="B408" s="104">
        <v>45295</v>
      </c>
      <c r="C408" s="103" t="s">
        <v>36</v>
      </c>
      <c r="D408" s="105">
        <v>6.81</v>
      </c>
      <c r="E408" s="105">
        <v>8.1</v>
      </c>
      <c r="F408">
        <v>2024</v>
      </c>
    </row>
    <row r="409" spans="1:6" ht="15" customHeight="1" x14ac:dyDescent="0.3">
      <c r="A409" s="103" t="s">
        <v>572</v>
      </c>
      <c r="B409" s="104">
        <v>45329</v>
      </c>
      <c r="C409" s="103" t="s">
        <v>36</v>
      </c>
      <c r="D409" s="105">
        <v>4</v>
      </c>
      <c r="E409" s="105">
        <v>4.1900000000000004</v>
      </c>
      <c r="F409">
        <v>2024</v>
      </c>
    </row>
    <row r="410" spans="1:6" ht="15" customHeight="1" x14ac:dyDescent="0.3">
      <c r="A410" s="103" t="s">
        <v>574</v>
      </c>
      <c r="B410" s="104">
        <v>45358</v>
      </c>
      <c r="C410" s="103" t="s">
        <v>36</v>
      </c>
      <c r="D410" s="105">
        <v>5.03</v>
      </c>
      <c r="E410" s="105">
        <v>4.5</v>
      </c>
      <c r="F410">
        <v>2024</v>
      </c>
    </row>
    <row r="411" spans="1:6" ht="15" customHeight="1" x14ac:dyDescent="0.3">
      <c r="A411" s="103" t="s">
        <v>576</v>
      </c>
      <c r="B411" s="104">
        <v>45383</v>
      </c>
      <c r="C411" s="103" t="s">
        <v>36</v>
      </c>
      <c r="D411" s="105">
        <v>6.55</v>
      </c>
      <c r="E411" s="105">
        <v>5.7</v>
      </c>
      <c r="F411">
        <v>2024</v>
      </c>
    </row>
    <row r="412" spans="1:6" ht="15" customHeight="1" x14ac:dyDescent="0.3">
      <c r="A412" s="103" t="s">
        <v>577</v>
      </c>
      <c r="B412" s="104">
        <v>45414</v>
      </c>
      <c r="C412" s="103" t="s">
        <v>36</v>
      </c>
      <c r="D412" s="105">
        <v>11.07</v>
      </c>
      <c r="E412" s="105">
        <v>8.19</v>
      </c>
      <c r="F412">
        <v>2024</v>
      </c>
    </row>
    <row r="413" spans="1:6" ht="15" customHeight="1" x14ac:dyDescent="0.3">
      <c r="A413" s="103" t="s">
        <v>578</v>
      </c>
      <c r="B413" s="104">
        <v>45443</v>
      </c>
      <c r="C413" s="103" t="s">
        <v>36</v>
      </c>
      <c r="D413" s="105">
        <v>15.17</v>
      </c>
      <c r="E413" s="105">
        <v>11.29</v>
      </c>
      <c r="F413">
        <v>2024</v>
      </c>
    </row>
    <row r="414" spans="1:6" ht="15" customHeight="1" x14ac:dyDescent="0.3">
      <c r="A414" s="103" t="s">
        <v>580</v>
      </c>
      <c r="B414" s="104">
        <v>45476</v>
      </c>
      <c r="C414" s="103" t="s">
        <v>36</v>
      </c>
      <c r="D414" s="105">
        <v>21.56</v>
      </c>
      <c r="E414" s="105">
        <v>17.79</v>
      </c>
      <c r="F414">
        <v>2024</v>
      </c>
    </row>
    <row r="415" spans="1:6" ht="15" customHeight="1" x14ac:dyDescent="0.3">
      <c r="A415" s="103" t="s">
        <v>581</v>
      </c>
      <c r="B415" s="104">
        <v>45488</v>
      </c>
      <c r="C415" s="103" t="s">
        <v>36</v>
      </c>
      <c r="D415" s="105">
        <v>22.25</v>
      </c>
      <c r="E415" s="105">
        <v>18.18</v>
      </c>
      <c r="F415">
        <v>2024</v>
      </c>
    </row>
    <row r="416" spans="1:6" ht="15" customHeight="1" x14ac:dyDescent="0.3">
      <c r="A416" s="103" t="s">
        <v>582</v>
      </c>
      <c r="B416" s="104">
        <v>45505</v>
      </c>
      <c r="C416" s="103" t="s">
        <v>36</v>
      </c>
      <c r="D416" s="105">
        <v>25</v>
      </c>
      <c r="E416" s="105">
        <v>19.989999999999998</v>
      </c>
      <c r="F416">
        <v>2024</v>
      </c>
    </row>
    <row r="417" spans="1:6" ht="15" customHeight="1" x14ac:dyDescent="0.3">
      <c r="A417" s="103" t="s">
        <v>583</v>
      </c>
      <c r="B417" s="104">
        <v>45517</v>
      </c>
      <c r="C417" s="103" t="s">
        <v>36</v>
      </c>
      <c r="D417" s="105">
        <v>23.76</v>
      </c>
      <c r="E417" s="105">
        <v>20.9</v>
      </c>
      <c r="F417">
        <v>2024</v>
      </c>
    </row>
    <row r="418" spans="1:6" ht="15" customHeight="1" x14ac:dyDescent="0.3">
      <c r="A418" s="103" t="s">
        <v>584</v>
      </c>
      <c r="B418" s="104">
        <v>45532</v>
      </c>
      <c r="C418" s="103" t="s">
        <v>36</v>
      </c>
      <c r="D418" s="105">
        <v>23.82</v>
      </c>
      <c r="E418" s="105">
        <v>21.88</v>
      </c>
      <c r="F418">
        <v>2024</v>
      </c>
    </row>
    <row r="419" spans="1:6" ht="15" customHeight="1" x14ac:dyDescent="0.3">
      <c r="A419" s="103" t="s">
        <v>585</v>
      </c>
      <c r="B419" s="104">
        <v>45569</v>
      </c>
      <c r="C419" s="103" t="s">
        <v>36</v>
      </c>
      <c r="D419" s="105">
        <v>20.62</v>
      </c>
      <c r="E419" s="105">
        <v>20.38</v>
      </c>
      <c r="F419">
        <v>2024</v>
      </c>
    </row>
    <row r="420" spans="1:6" ht="15" customHeight="1" x14ac:dyDescent="0.3">
      <c r="A420" t="s">
        <v>601</v>
      </c>
      <c r="B420" s="34">
        <v>45688</v>
      </c>
      <c r="C420" t="s">
        <v>36</v>
      </c>
      <c r="D420">
        <v>2.17</v>
      </c>
      <c r="E420">
        <v>2.14</v>
      </c>
      <c r="F420">
        <v>2025</v>
      </c>
    </row>
    <row r="421" spans="1:6" ht="15" customHeight="1" x14ac:dyDescent="0.3">
      <c r="A421" t="s">
        <v>593</v>
      </c>
      <c r="B421" s="34">
        <v>45730</v>
      </c>
      <c r="C421" t="s">
        <v>36</v>
      </c>
      <c r="D421">
        <v>3.54</v>
      </c>
      <c r="E421">
        <v>2.66</v>
      </c>
      <c r="F421">
        <v>2025</v>
      </c>
    </row>
    <row r="422" spans="1:6" ht="15" customHeight="1" x14ac:dyDescent="0.3">
      <c r="A422" t="s">
        <v>594</v>
      </c>
      <c r="B422" s="34">
        <v>45751</v>
      </c>
      <c r="C422" t="s">
        <v>36</v>
      </c>
      <c r="D422">
        <v>5.36</v>
      </c>
      <c r="E422">
        <v>5.29</v>
      </c>
      <c r="F422">
        <v>2025</v>
      </c>
    </row>
    <row r="423" spans="1:6" ht="15" customHeight="1" x14ac:dyDescent="0.3">
      <c r="A423" t="s">
        <v>595</v>
      </c>
      <c r="B423" s="34">
        <v>45784</v>
      </c>
      <c r="C423" t="s">
        <v>36</v>
      </c>
      <c r="D423">
        <v>11.13</v>
      </c>
      <c r="E423">
        <v>10.17</v>
      </c>
      <c r="F423">
        <v>2025</v>
      </c>
    </row>
    <row r="424" spans="1:6" ht="15" customHeight="1" x14ac:dyDescent="0.3">
      <c r="A424" t="s">
        <v>596</v>
      </c>
      <c r="B424" s="34">
        <v>45812</v>
      </c>
      <c r="C424" t="s">
        <v>36</v>
      </c>
      <c r="D424">
        <v>16.27</v>
      </c>
      <c r="E424">
        <v>12.93</v>
      </c>
      <c r="F424">
        <v>2025</v>
      </c>
    </row>
    <row r="425" spans="1:6" ht="15" customHeight="1" x14ac:dyDescent="0.3">
      <c r="A425" t="s">
        <v>597</v>
      </c>
      <c r="B425" s="34">
        <v>45838</v>
      </c>
      <c r="C425" t="s">
        <v>36</v>
      </c>
      <c r="D425">
        <v>22.21</v>
      </c>
      <c r="E425">
        <v>15.74</v>
      </c>
      <c r="F425">
        <v>2025</v>
      </c>
    </row>
    <row r="426" spans="1:6" ht="15" customHeight="1" x14ac:dyDescent="0.3">
      <c r="A426" t="s">
        <v>598</v>
      </c>
      <c r="B426" s="34">
        <v>45853</v>
      </c>
      <c r="C426" t="s">
        <v>36</v>
      </c>
      <c r="D426">
        <v>23.84</v>
      </c>
      <c r="E426">
        <v>18.98</v>
      </c>
      <c r="F426">
        <v>2025</v>
      </c>
    </row>
    <row r="427" spans="1:6" ht="15" customHeight="1" x14ac:dyDescent="0.3">
      <c r="A427" t="s">
        <v>599</v>
      </c>
      <c r="B427" s="34">
        <v>45869</v>
      </c>
      <c r="C427" t="s">
        <v>36</v>
      </c>
      <c r="D427">
        <v>25.5</v>
      </c>
      <c r="E427">
        <v>20.76</v>
      </c>
      <c r="F427">
        <v>2025</v>
      </c>
    </row>
    <row r="428" spans="1:6" ht="15" customHeight="1" x14ac:dyDescent="0.3">
      <c r="A428" t="s">
        <v>600</v>
      </c>
      <c r="B428" s="34">
        <v>45881</v>
      </c>
      <c r="C428" t="s">
        <v>36</v>
      </c>
      <c r="D428">
        <v>24.66</v>
      </c>
      <c r="E428">
        <v>21.57</v>
      </c>
      <c r="F428">
        <v>2025</v>
      </c>
    </row>
    <row r="429" spans="1:6" ht="15" customHeight="1" x14ac:dyDescent="0.3">
      <c r="A429" t="s">
        <v>603</v>
      </c>
      <c r="B429" s="34">
        <v>45897</v>
      </c>
      <c r="C429" t="s">
        <v>36</v>
      </c>
      <c r="D429">
        <v>22.66</v>
      </c>
      <c r="E429">
        <v>21.7</v>
      </c>
      <c r="F429">
        <v>2025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465"/>
  <sheetViews>
    <sheetView workbookViewId="0">
      <pane ySplit="1" topLeftCell="A444" activePane="bottomLeft" state="frozen"/>
      <selection pane="bottomLeft" activeCell="F457" sqref="F457:F465"/>
    </sheetView>
  </sheetViews>
  <sheetFormatPr defaultRowHeight="15" customHeight="1" x14ac:dyDescent="0.3"/>
  <cols>
    <col min="1" max="1" width="10.44140625" bestFit="1" customWidth="1"/>
    <col min="2" max="2" width="10.6640625" bestFit="1" customWidth="1"/>
    <col min="3" max="3" width="13.109375" bestFit="1" customWidth="1"/>
    <col min="4" max="5" width="7.5546875" bestFit="1" customWidth="1"/>
    <col min="8" max="8" width="12.5546875" bestFit="1" customWidth="1"/>
    <col min="9" max="9" width="16.88671875" bestFit="1" customWidth="1"/>
    <col min="10" max="10" width="17" bestFit="1" customWidth="1"/>
    <col min="11" max="11" width="20.44140625" bestFit="1" customWidth="1"/>
    <col min="14" max="14" width="17.6640625" bestFit="1" customWidth="1"/>
    <col min="15" max="15" width="17.88671875" bestFit="1" customWidth="1"/>
  </cols>
  <sheetData>
    <row r="1" spans="1:16" ht="15" customHeight="1" x14ac:dyDescent="0.3">
      <c r="A1" s="41" t="s">
        <v>1</v>
      </c>
      <c r="B1" s="41" t="s">
        <v>3</v>
      </c>
      <c r="C1" s="41" t="s">
        <v>2</v>
      </c>
      <c r="D1" s="41" t="s">
        <v>4</v>
      </c>
      <c r="E1" s="41" t="s">
        <v>5</v>
      </c>
      <c r="F1" s="48" t="s">
        <v>480</v>
      </c>
      <c r="H1" s="47" t="s">
        <v>515</v>
      </c>
      <c r="I1" t="s">
        <v>519</v>
      </c>
      <c r="J1" t="s">
        <v>518</v>
      </c>
      <c r="K1" t="s">
        <v>520</v>
      </c>
      <c r="M1" t="s">
        <v>515</v>
      </c>
      <c r="N1" t="s">
        <v>519</v>
      </c>
      <c r="O1" t="s">
        <v>518</v>
      </c>
      <c r="P1" t="s">
        <v>520</v>
      </c>
    </row>
    <row r="2" spans="1:16" ht="15" customHeight="1" x14ac:dyDescent="0.3">
      <c r="A2" s="42" t="s">
        <v>492</v>
      </c>
      <c r="B2" s="43">
        <v>33268</v>
      </c>
      <c r="C2" s="42" t="s">
        <v>24</v>
      </c>
      <c r="D2" s="44">
        <v>3.0520999999999998</v>
      </c>
      <c r="E2" s="44">
        <v>3.3780000000000001</v>
      </c>
      <c r="F2">
        <v>1991</v>
      </c>
      <c r="H2" s="9">
        <v>1991</v>
      </c>
      <c r="I2">
        <v>13.856619999999998</v>
      </c>
      <c r="J2">
        <v>11.427899999999999</v>
      </c>
      <c r="K2">
        <v>11</v>
      </c>
      <c r="M2">
        <v>1991</v>
      </c>
      <c r="N2">
        <v>13.856619999999998</v>
      </c>
      <c r="O2">
        <v>11.427899999999999</v>
      </c>
      <c r="P2">
        <v>11</v>
      </c>
    </row>
    <row r="3" spans="1:16" ht="15" customHeight="1" x14ac:dyDescent="0.3">
      <c r="A3" s="42" t="s">
        <v>43</v>
      </c>
      <c r="B3" s="43">
        <v>33289</v>
      </c>
      <c r="C3" s="42" t="s">
        <v>24</v>
      </c>
      <c r="D3" s="44">
        <v>2.9270999999999998</v>
      </c>
      <c r="E3" s="44">
        <v>3.0348000000000002</v>
      </c>
      <c r="F3">
        <v>1991</v>
      </c>
      <c r="H3" s="9">
        <v>1992</v>
      </c>
      <c r="I3">
        <v>12.4547875</v>
      </c>
      <c r="J3">
        <v>9.6763124999999981</v>
      </c>
      <c r="K3">
        <v>10</v>
      </c>
      <c r="M3">
        <v>1992</v>
      </c>
      <c r="N3">
        <v>12.4547875</v>
      </c>
      <c r="O3">
        <v>9.6763124999999981</v>
      </c>
      <c r="P3">
        <v>10</v>
      </c>
    </row>
    <row r="4" spans="1:16" ht="15" customHeight="1" x14ac:dyDescent="0.3">
      <c r="A4" s="42" t="s">
        <v>44</v>
      </c>
      <c r="B4" s="43">
        <v>33322</v>
      </c>
      <c r="C4" s="42" t="s">
        <v>24</v>
      </c>
      <c r="D4" s="45"/>
      <c r="E4" s="44">
        <v>3.92</v>
      </c>
      <c r="F4">
        <v>1991</v>
      </c>
      <c r="H4" s="9">
        <v>1993</v>
      </c>
      <c r="I4">
        <v>15.307155555555555</v>
      </c>
      <c r="J4">
        <v>11.028272727272729</v>
      </c>
      <c r="K4">
        <v>11</v>
      </c>
      <c r="M4">
        <v>1993</v>
      </c>
      <c r="N4">
        <v>15.307155555555555</v>
      </c>
      <c r="O4">
        <v>11.028272727272729</v>
      </c>
      <c r="P4">
        <v>11</v>
      </c>
    </row>
    <row r="5" spans="1:16" ht="15" customHeight="1" x14ac:dyDescent="0.3">
      <c r="A5" s="42" t="s">
        <v>45</v>
      </c>
      <c r="B5" s="43">
        <v>33330</v>
      </c>
      <c r="C5" s="42" t="s">
        <v>24</v>
      </c>
      <c r="D5" s="44">
        <v>4.6649000000000003</v>
      </c>
      <c r="E5" s="44">
        <v>4.5285000000000002</v>
      </c>
      <c r="F5">
        <v>1991</v>
      </c>
      <c r="H5" s="9">
        <v>1994</v>
      </c>
      <c r="I5">
        <v>12.974285714285715</v>
      </c>
      <c r="J5">
        <v>10.065833333333332</v>
      </c>
      <c r="K5">
        <v>14</v>
      </c>
      <c r="M5">
        <v>1994</v>
      </c>
      <c r="N5">
        <v>12.974285714285715</v>
      </c>
      <c r="O5">
        <v>10.065833333333332</v>
      </c>
      <c r="P5">
        <v>14</v>
      </c>
    </row>
    <row r="6" spans="1:16" ht="15" customHeight="1" x14ac:dyDescent="0.3">
      <c r="A6" s="42" t="s">
        <v>46</v>
      </c>
      <c r="B6" s="43">
        <v>33359</v>
      </c>
      <c r="C6" s="42" t="s">
        <v>24</v>
      </c>
      <c r="D6" s="44">
        <v>9.8366000000000007</v>
      </c>
      <c r="E6" s="44">
        <v>7.1435000000000004</v>
      </c>
      <c r="F6">
        <v>1991</v>
      </c>
      <c r="H6" s="9">
        <v>1995</v>
      </c>
      <c r="I6">
        <v>13.95</v>
      </c>
      <c r="J6">
        <v>12.186207692307692</v>
      </c>
      <c r="K6">
        <v>13</v>
      </c>
      <c r="M6">
        <v>1995</v>
      </c>
      <c r="N6">
        <v>13.95</v>
      </c>
      <c r="O6">
        <v>12.186207692307692</v>
      </c>
      <c r="P6">
        <v>13</v>
      </c>
    </row>
    <row r="7" spans="1:16" ht="15" customHeight="1" x14ac:dyDescent="0.3">
      <c r="A7" s="42" t="s">
        <v>47</v>
      </c>
      <c r="B7" s="43">
        <v>33393</v>
      </c>
      <c r="C7" s="42" t="s">
        <v>24</v>
      </c>
      <c r="D7" s="44">
        <v>18.688099999999999</v>
      </c>
      <c r="E7" s="44">
        <v>10.805</v>
      </c>
      <c r="F7">
        <v>1991</v>
      </c>
      <c r="H7" s="9">
        <v>1996</v>
      </c>
      <c r="I7">
        <v>13.249333333333333</v>
      </c>
      <c r="J7">
        <v>11.374000000000001</v>
      </c>
      <c r="K7">
        <v>15</v>
      </c>
      <c r="M7">
        <v>1996</v>
      </c>
      <c r="N7">
        <v>13.249333333333333</v>
      </c>
      <c r="O7">
        <v>11.374000000000001</v>
      </c>
      <c r="P7">
        <v>15</v>
      </c>
    </row>
    <row r="8" spans="1:16" ht="15" customHeight="1" x14ac:dyDescent="0.3">
      <c r="A8" s="42" t="s">
        <v>48</v>
      </c>
      <c r="B8" s="43">
        <v>33427</v>
      </c>
      <c r="C8" s="42" t="s">
        <v>24</v>
      </c>
      <c r="D8" s="44">
        <v>21.158799999999999</v>
      </c>
      <c r="E8" s="44">
        <v>17.724399999999999</v>
      </c>
      <c r="F8">
        <v>1991</v>
      </c>
      <c r="H8" s="9">
        <v>1997</v>
      </c>
      <c r="I8">
        <v>13.790000000000001</v>
      </c>
      <c r="J8">
        <v>12.400833333333333</v>
      </c>
      <c r="K8">
        <v>13</v>
      </c>
      <c r="M8">
        <v>1997</v>
      </c>
      <c r="N8">
        <v>13.790000000000001</v>
      </c>
      <c r="O8">
        <v>12.400833333333333</v>
      </c>
      <c r="P8">
        <v>13</v>
      </c>
    </row>
    <row r="9" spans="1:16" ht="15" customHeight="1" x14ac:dyDescent="0.3">
      <c r="A9" s="42" t="s">
        <v>49</v>
      </c>
      <c r="B9" s="43">
        <v>33463</v>
      </c>
      <c r="C9" s="42" t="s">
        <v>24</v>
      </c>
      <c r="D9" s="44">
        <v>23.288</v>
      </c>
      <c r="E9" s="44">
        <v>20.513500000000001</v>
      </c>
      <c r="F9">
        <v>1991</v>
      </c>
      <c r="H9" s="9">
        <v>1998</v>
      </c>
      <c r="I9">
        <v>14.903999999999996</v>
      </c>
      <c r="J9">
        <v>12.714666666666664</v>
      </c>
      <c r="K9">
        <v>15</v>
      </c>
      <c r="M9">
        <v>1998</v>
      </c>
      <c r="N9">
        <v>14.903999999999996</v>
      </c>
      <c r="O9">
        <v>12.714666666666664</v>
      </c>
      <c r="P9">
        <v>15</v>
      </c>
    </row>
    <row r="10" spans="1:16" ht="15" customHeight="1" x14ac:dyDescent="0.3">
      <c r="A10" s="42" t="s">
        <v>50</v>
      </c>
      <c r="B10" s="43">
        <v>33486</v>
      </c>
      <c r="C10" s="42" t="s">
        <v>24</v>
      </c>
      <c r="D10" s="44">
        <v>22.700099999999999</v>
      </c>
      <c r="E10" s="44">
        <v>22.228899999999999</v>
      </c>
      <c r="F10">
        <v>1991</v>
      </c>
      <c r="H10" s="9">
        <v>1999</v>
      </c>
      <c r="I10">
        <v>15.057333333333331</v>
      </c>
      <c r="J10">
        <v>13.234666666666667</v>
      </c>
      <c r="K10">
        <v>15</v>
      </c>
      <c r="M10">
        <v>1999</v>
      </c>
      <c r="N10">
        <v>15.057333333333331</v>
      </c>
      <c r="O10">
        <v>13.234666666666667</v>
      </c>
      <c r="P10">
        <v>15</v>
      </c>
    </row>
    <row r="11" spans="1:16" ht="15" customHeight="1" x14ac:dyDescent="0.3">
      <c r="A11" s="42" t="s">
        <v>51</v>
      </c>
      <c r="B11" s="43">
        <v>33512</v>
      </c>
      <c r="C11" s="42" t="s">
        <v>24</v>
      </c>
      <c r="D11" s="44">
        <v>19.641200000000001</v>
      </c>
      <c r="E11" s="44">
        <v>19.974900000000002</v>
      </c>
      <c r="F11">
        <v>1991</v>
      </c>
      <c r="H11" s="9">
        <v>2000</v>
      </c>
      <c r="I11">
        <v>14.427142857142858</v>
      </c>
      <c r="J11">
        <v>12.87</v>
      </c>
      <c r="K11">
        <v>14</v>
      </c>
      <c r="M11">
        <v>2000</v>
      </c>
      <c r="N11">
        <v>14.427142857142858</v>
      </c>
      <c r="O11">
        <v>12.87</v>
      </c>
      <c r="P11">
        <v>14</v>
      </c>
    </row>
    <row r="12" spans="1:16" ht="15" customHeight="1" x14ac:dyDescent="0.3">
      <c r="A12" s="42" t="s">
        <v>52</v>
      </c>
      <c r="B12" s="43">
        <v>33557</v>
      </c>
      <c r="C12" s="42" t="s">
        <v>24</v>
      </c>
      <c r="D12" s="44">
        <v>12.609299999999999</v>
      </c>
      <c r="E12" s="44">
        <v>12.455399999999999</v>
      </c>
      <c r="F12">
        <v>1991</v>
      </c>
      <c r="H12" s="9">
        <v>2001</v>
      </c>
      <c r="I12">
        <v>13.818461538461539</v>
      </c>
      <c r="J12">
        <v>12.455384615384615</v>
      </c>
      <c r="K12">
        <v>14</v>
      </c>
      <c r="M12">
        <v>2001</v>
      </c>
      <c r="N12">
        <v>13.818461538461539</v>
      </c>
      <c r="O12">
        <v>12.455384615384615</v>
      </c>
      <c r="P12">
        <v>14</v>
      </c>
    </row>
    <row r="13" spans="1:16" ht="15" customHeight="1" x14ac:dyDescent="0.3">
      <c r="A13" s="42" t="s">
        <v>53</v>
      </c>
      <c r="B13" s="43">
        <v>33612</v>
      </c>
      <c r="C13" s="42" t="s">
        <v>24</v>
      </c>
      <c r="D13" s="44">
        <v>5.3169000000000004</v>
      </c>
      <c r="E13" s="44">
        <v>5.5655999999999999</v>
      </c>
      <c r="F13">
        <v>1992</v>
      </c>
      <c r="H13" s="9">
        <v>2002</v>
      </c>
      <c r="I13">
        <v>12.919166666666667</v>
      </c>
      <c r="J13">
        <v>11.756666666666666</v>
      </c>
      <c r="K13">
        <v>12</v>
      </c>
      <c r="M13">
        <v>2002</v>
      </c>
      <c r="N13">
        <v>12.919166666666667</v>
      </c>
      <c r="O13">
        <v>11.756666666666666</v>
      </c>
      <c r="P13">
        <v>12</v>
      </c>
    </row>
    <row r="14" spans="1:16" ht="15" customHeight="1" x14ac:dyDescent="0.3">
      <c r="A14" s="42" t="s">
        <v>54</v>
      </c>
      <c r="B14" s="43">
        <v>33638</v>
      </c>
      <c r="C14" s="42" t="s">
        <v>24</v>
      </c>
      <c r="D14" s="44">
        <v>2.2107999999999999</v>
      </c>
      <c r="E14" s="44">
        <v>2.1404999999999998</v>
      </c>
      <c r="F14">
        <v>1992</v>
      </c>
      <c r="H14" s="9">
        <v>2003</v>
      </c>
      <c r="I14">
        <v>14.115833333333333</v>
      </c>
      <c r="J14">
        <v>12.089166666666669</v>
      </c>
      <c r="K14">
        <v>13</v>
      </c>
      <c r="M14">
        <v>2003</v>
      </c>
      <c r="N14">
        <v>14.115833333333333</v>
      </c>
      <c r="O14">
        <v>12.089166666666669</v>
      </c>
      <c r="P14">
        <v>13</v>
      </c>
    </row>
    <row r="15" spans="1:16" ht="15" customHeight="1" x14ac:dyDescent="0.3">
      <c r="A15" s="42" t="s">
        <v>55</v>
      </c>
      <c r="B15" s="43">
        <v>33729</v>
      </c>
      <c r="C15" s="42" t="s">
        <v>24</v>
      </c>
      <c r="D15" s="44">
        <v>9.8610000000000007</v>
      </c>
      <c r="E15" s="44">
        <v>5.0559000000000003</v>
      </c>
      <c r="F15">
        <v>1992</v>
      </c>
      <c r="H15" s="9">
        <v>2004</v>
      </c>
      <c r="I15">
        <v>13.686428571428573</v>
      </c>
      <c r="J15">
        <v>11.639285714285716</v>
      </c>
      <c r="K15">
        <v>14</v>
      </c>
      <c r="M15">
        <v>2004</v>
      </c>
      <c r="N15">
        <v>13.686428571428573</v>
      </c>
      <c r="O15">
        <v>11.639285714285716</v>
      </c>
      <c r="P15">
        <v>14</v>
      </c>
    </row>
    <row r="16" spans="1:16" ht="15" customHeight="1" x14ac:dyDescent="0.3">
      <c r="A16" s="42" t="s">
        <v>56</v>
      </c>
      <c r="B16" s="43">
        <v>33757</v>
      </c>
      <c r="C16" s="42" t="s">
        <v>24</v>
      </c>
      <c r="D16" s="45"/>
      <c r="E16" s="44">
        <v>8.2502999999999993</v>
      </c>
      <c r="F16">
        <v>1992</v>
      </c>
      <c r="H16" s="9">
        <v>2005</v>
      </c>
      <c r="I16">
        <v>13.85642857142857</v>
      </c>
      <c r="J16">
        <v>11.452857142857143</v>
      </c>
      <c r="K16">
        <v>14</v>
      </c>
      <c r="M16">
        <v>2005</v>
      </c>
      <c r="N16">
        <v>13.85642857142857</v>
      </c>
      <c r="O16">
        <v>11.452857142857143</v>
      </c>
      <c r="P16">
        <v>14</v>
      </c>
    </row>
    <row r="17" spans="1:16" ht="15" customHeight="1" x14ac:dyDescent="0.3">
      <c r="A17" s="42" t="s">
        <v>57</v>
      </c>
      <c r="B17" s="43">
        <v>33793</v>
      </c>
      <c r="C17" s="42" t="s">
        <v>24</v>
      </c>
      <c r="D17" s="45"/>
      <c r="E17" s="44">
        <v>15.429500000000001</v>
      </c>
      <c r="F17">
        <v>1992</v>
      </c>
      <c r="H17" s="9">
        <v>2006</v>
      </c>
      <c r="I17">
        <v>16.022500000000001</v>
      </c>
      <c r="J17">
        <v>13.381818181818181</v>
      </c>
      <c r="K17">
        <v>12</v>
      </c>
      <c r="M17">
        <v>2006</v>
      </c>
      <c r="N17">
        <v>16.022500000000001</v>
      </c>
      <c r="O17">
        <v>13.381818181818181</v>
      </c>
      <c r="P17">
        <v>12</v>
      </c>
    </row>
    <row r="18" spans="1:16" ht="15" customHeight="1" x14ac:dyDescent="0.3">
      <c r="A18" s="42" t="s">
        <v>58</v>
      </c>
      <c r="B18" s="43">
        <v>33821</v>
      </c>
      <c r="C18" s="42" t="s">
        <v>24</v>
      </c>
      <c r="D18" s="44">
        <v>20.523800000000001</v>
      </c>
      <c r="E18" s="44">
        <v>18.373999999999999</v>
      </c>
      <c r="F18">
        <v>1992</v>
      </c>
      <c r="H18" s="9">
        <v>2007</v>
      </c>
      <c r="I18">
        <v>14.11857142857143</v>
      </c>
      <c r="J18">
        <v>12.100000000000003</v>
      </c>
      <c r="K18">
        <v>14</v>
      </c>
      <c r="M18">
        <v>2007</v>
      </c>
      <c r="N18">
        <v>14.11857142857143</v>
      </c>
      <c r="O18">
        <v>12.100000000000003</v>
      </c>
      <c r="P18">
        <v>14</v>
      </c>
    </row>
    <row r="19" spans="1:16" ht="15" customHeight="1" x14ac:dyDescent="0.3">
      <c r="A19" s="42" t="s">
        <v>59</v>
      </c>
      <c r="B19" s="43">
        <v>33848</v>
      </c>
      <c r="C19" s="42" t="s">
        <v>24</v>
      </c>
      <c r="D19" s="44">
        <v>21.1142</v>
      </c>
      <c r="E19" s="45"/>
      <c r="F19">
        <v>1992</v>
      </c>
      <c r="H19" s="9">
        <v>2008</v>
      </c>
      <c r="I19">
        <v>14.015000000000001</v>
      </c>
      <c r="J19">
        <v>12.133571428571429</v>
      </c>
      <c r="K19">
        <v>14</v>
      </c>
      <c r="M19">
        <v>2008</v>
      </c>
      <c r="N19">
        <v>14.015000000000001</v>
      </c>
      <c r="O19">
        <v>12.133571428571429</v>
      </c>
      <c r="P19">
        <v>14</v>
      </c>
    </row>
    <row r="20" spans="1:16" ht="15" customHeight="1" x14ac:dyDescent="0.3">
      <c r="A20" s="42" t="s">
        <v>60</v>
      </c>
      <c r="B20" s="43">
        <v>33883</v>
      </c>
      <c r="C20" s="42" t="s">
        <v>24</v>
      </c>
      <c r="D20" s="44">
        <v>18.0184</v>
      </c>
      <c r="E20" s="45"/>
      <c r="F20">
        <v>1992</v>
      </c>
      <c r="H20" s="9">
        <v>2009</v>
      </c>
      <c r="I20">
        <v>13.724285714285713</v>
      </c>
      <c r="J20">
        <v>11.255714285714287</v>
      </c>
      <c r="K20">
        <v>14</v>
      </c>
      <c r="M20">
        <v>2009</v>
      </c>
      <c r="N20">
        <v>13.724285714285713</v>
      </c>
      <c r="O20">
        <v>11.255714285714287</v>
      </c>
      <c r="P20">
        <v>14</v>
      </c>
    </row>
    <row r="21" spans="1:16" ht="15" customHeight="1" x14ac:dyDescent="0.3">
      <c r="A21" s="42" t="s">
        <v>61</v>
      </c>
      <c r="B21" s="43">
        <v>33912</v>
      </c>
      <c r="C21" s="42" t="s">
        <v>24</v>
      </c>
      <c r="D21" s="44">
        <v>14.117699999999999</v>
      </c>
      <c r="E21" s="44">
        <v>14.007099999999999</v>
      </c>
      <c r="F21">
        <v>1992</v>
      </c>
      <c r="H21" s="9">
        <v>2010</v>
      </c>
      <c r="I21">
        <v>14.632857142857139</v>
      </c>
      <c r="J21">
        <v>12.537142857142856</v>
      </c>
      <c r="K21">
        <v>14</v>
      </c>
      <c r="M21">
        <v>2010</v>
      </c>
      <c r="N21">
        <v>14.632857142857139</v>
      </c>
      <c r="O21">
        <v>12.537142857142856</v>
      </c>
      <c r="P21">
        <v>14</v>
      </c>
    </row>
    <row r="22" spans="1:16" ht="15" customHeight="1" x14ac:dyDescent="0.3">
      <c r="A22" s="42" t="s">
        <v>62</v>
      </c>
      <c r="B22" s="43">
        <v>33946</v>
      </c>
      <c r="C22" s="42" t="s">
        <v>24</v>
      </c>
      <c r="D22" s="44">
        <v>8.4755000000000003</v>
      </c>
      <c r="E22" s="44">
        <v>8.5876000000000001</v>
      </c>
      <c r="F22">
        <v>1992</v>
      </c>
      <c r="H22" s="9">
        <v>2011</v>
      </c>
      <c r="I22">
        <v>14.712857142857143</v>
      </c>
      <c r="J22">
        <v>12.285714285714286</v>
      </c>
      <c r="K22">
        <v>14</v>
      </c>
      <c r="M22">
        <v>2011</v>
      </c>
      <c r="N22">
        <v>14.712857142857143</v>
      </c>
      <c r="O22">
        <v>12.285714285714286</v>
      </c>
      <c r="P22">
        <v>14</v>
      </c>
    </row>
    <row r="23" spans="1:16" ht="15" customHeight="1" x14ac:dyDescent="0.3">
      <c r="A23" s="42" t="s">
        <v>63</v>
      </c>
      <c r="B23" s="43">
        <v>33983</v>
      </c>
      <c r="C23" s="42" t="s">
        <v>24</v>
      </c>
      <c r="D23" s="44">
        <v>4.3714000000000004</v>
      </c>
      <c r="E23" s="44">
        <v>4.3643000000000001</v>
      </c>
      <c r="F23">
        <v>1993</v>
      </c>
      <c r="H23" s="9">
        <v>2012</v>
      </c>
      <c r="I23">
        <v>15.088571428571429</v>
      </c>
      <c r="J23">
        <v>13.632857142857144</v>
      </c>
      <c r="K23">
        <v>14</v>
      </c>
      <c r="M23">
        <v>2012</v>
      </c>
      <c r="N23">
        <v>15.088571428571429</v>
      </c>
      <c r="O23">
        <v>13.632857142857144</v>
      </c>
      <c r="P23">
        <v>14</v>
      </c>
    </row>
    <row r="24" spans="1:16" ht="15" customHeight="1" x14ac:dyDescent="0.3">
      <c r="A24" s="42" t="s">
        <v>64</v>
      </c>
      <c r="B24" s="43">
        <v>34008</v>
      </c>
      <c r="C24" s="42" t="s">
        <v>24</v>
      </c>
      <c r="D24" s="45"/>
      <c r="E24" s="44">
        <v>2.2225000000000001</v>
      </c>
      <c r="F24">
        <v>1993</v>
      </c>
      <c r="H24" s="9">
        <v>2013</v>
      </c>
      <c r="I24">
        <v>14.287857142857144</v>
      </c>
      <c r="J24">
        <v>12.30142857142857</v>
      </c>
      <c r="K24">
        <v>14</v>
      </c>
      <c r="M24">
        <v>2013</v>
      </c>
      <c r="N24">
        <v>14.287857142857144</v>
      </c>
      <c r="O24">
        <v>12.30142857142857</v>
      </c>
      <c r="P24">
        <v>14</v>
      </c>
    </row>
    <row r="25" spans="1:16" ht="15" customHeight="1" x14ac:dyDescent="0.3">
      <c r="A25" s="42" t="s">
        <v>65</v>
      </c>
      <c r="B25" s="43">
        <v>34036</v>
      </c>
      <c r="C25" s="42" t="s">
        <v>24</v>
      </c>
      <c r="D25" s="45"/>
      <c r="E25" s="44">
        <v>1.1149</v>
      </c>
      <c r="F25">
        <v>1993</v>
      </c>
      <c r="H25" s="9">
        <v>2014</v>
      </c>
      <c r="I25">
        <v>13.255714285714285</v>
      </c>
      <c r="J25">
        <v>11.740714285714285</v>
      </c>
      <c r="K25">
        <v>14</v>
      </c>
      <c r="M25">
        <v>2014</v>
      </c>
      <c r="N25">
        <v>13.255714285714285</v>
      </c>
      <c r="O25">
        <v>11.740714285714285</v>
      </c>
      <c r="P25">
        <v>14</v>
      </c>
    </row>
    <row r="26" spans="1:16" ht="15" customHeight="1" x14ac:dyDescent="0.3">
      <c r="A26" s="42" t="s">
        <v>66</v>
      </c>
      <c r="B26" s="43">
        <v>34094</v>
      </c>
      <c r="C26" s="42" t="s">
        <v>24</v>
      </c>
      <c r="D26" s="44">
        <v>9.8201000000000001</v>
      </c>
      <c r="E26" s="44">
        <v>5.5917000000000003</v>
      </c>
      <c r="F26">
        <v>1993</v>
      </c>
      <c r="H26" s="9">
        <v>2015</v>
      </c>
      <c r="I26">
        <v>13.936666666666666</v>
      </c>
      <c r="J26">
        <v>11.460666666666667</v>
      </c>
      <c r="K26">
        <v>15</v>
      </c>
      <c r="M26">
        <v>2015</v>
      </c>
      <c r="N26">
        <v>13.936666666666666</v>
      </c>
      <c r="O26">
        <v>11.460666666666667</v>
      </c>
      <c r="P26">
        <v>15</v>
      </c>
    </row>
    <row r="27" spans="1:16" ht="15" customHeight="1" x14ac:dyDescent="0.3">
      <c r="A27" s="42" t="s">
        <v>67</v>
      </c>
      <c r="B27" s="43">
        <v>34121</v>
      </c>
      <c r="C27" s="42" t="s">
        <v>24</v>
      </c>
      <c r="D27" s="44">
        <v>12.8719</v>
      </c>
      <c r="E27" s="44">
        <v>11.385300000000001</v>
      </c>
      <c r="F27">
        <v>1993</v>
      </c>
      <c r="H27" s="9">
        <v>2016</v>
      </c>
      <c r="I27">
        <v>14.766923076923076</v>
      </c>
      <c r="J27">
        <v>14.035</v>
      </c>
      <c r="K27">
        <v>15</v>
      </c>
      <c r="M27">
        <v>2016</v>
      </c>
      <c r="N27">
        <v>14.766923076923076</v>
      </c>
      <c r="O27">
        <v>14.035</v>
      </c>
      <c r="P27">
        <v>15</v>
      </c>
    </row>
    <row r="28" spans="1:16" ht="15" customHeight="1" x14ac:dyDescent="0.3">
      <c r="A28" s="42" t="s">
        <v>68</v>
      </c>
      <c r="B28" s="43">
        <v>34157</v>
      </c>
      <c r="C28" s="42" t="s">
        <v>24</v>
      </c>
      <c r="D28" s="44">
        <v>21.634899999999998</v>
      </c>
      <c r="E28" s="44">
        <v>14.7248</v>
      </c>
      <c r="F28">
        <v>1993</v>
      </c>
      <c r="H28" s="9">
        <v>2017</v>
      </c>
      <c r="I28">
        <v>14.836153846153847</v>
      </c>
      <c r="J28">
        <v>12.34</v>
      </c>
      <c r="K28">
        <v>14</v>
      </c>
      <c r="M28">
        <v>2017</v>
      </c>
      <c r="N28">
        <v>14.836153846153847</v>
      </c>
      <c r="O28">
        <v>12.34</v>
      </c>
      <c r="P28">
        <v>14</v>
      </c>
    </row>
    <row r="29" spans="1:16" ht="15" customHeight="1" x14ac:dyDescent="0.3">
      <c r="A29" s="42" t="s">
        <v>69</v>
      </c>
      <c r="B29" s="43">
        <v>34183</v>
      </c>
      <c r="C29" s="42" t="s">
        <v>24</v>
      </c>
      <c r="D29" s="44">
        <v>23.317</v>
      </c>
      <c r="E29" s="44">
        <v>18.348800000000001</v>
      </c>
      <c r="F29">
        <v>1993</v>
      </c>
      <c r="H29" s="9">
        <v>2018</v>
      </c>
      <c r="I29">
        <v>14.092142857142857</v>
      </c>
      <c r="J29">
        <v>12.025714285714285</v>
      </c>
      <c r="K29">
        <v>14</v>
      </c>
      <c r="M29">
        <v>2018</v>
      </c>
      <c r="N29">
        <v>14.092142857142857</v>
      </c>
      <c r="O29">
        <v>12.025714285714285</v>
      </c>
      <c r="P29">
        <v>14</v>
      </c>
    </row>
    <row r="30" spans="1:16" ht="15" customHeight="1" x14ac:dyDescent="0.3">
      <c r="A30" s="42" t="s">
        <v>70</v>
      </c>
      <c r="B30" s="43">
        <v>34219</v>
      </c>
      <c r="C30" s="42" t="s">
        <v>24</v>
      </c>
      <c r="D30" s="44">
        <v>23.947500000000002</v>
      </c>
      <c r="E30" s="44">
        <v>21.822900000000001</v>
      </c>
      <c r="F30">
        <v>1993</v>
      </c>
      <c r="H30" s="9">
        <v>2019</v>
      </c>
      <c r="I30">
        <v>14.253571428571428</v>
      </c>
      <c r="J30">
        <v>12.287857142857144</v>
      </c>
      <c r="K30">
        <v>14</v>
      </c>
      <c r="M30">
        <v>2019</v>
      </c>
      <c r="N30">
        <v>14.253571428571428</v>
      </c>
      <c r="O30">
        <v>12.287857142857144</v>
      </c>
      <c r="P30">
        <v>14</v>
      </c>
    </row>
    <row r="31" spans="1:16" ht="15" customHeight="1" x14ac:dyDescent="0.3">
      <c r="A31" s="42" t="s">
        <v>71</v>
      </c>
      <c r="B31" s="43">
        <v>34247</v>
      </c>
      <c r="C31" s="42" t="s">
        <v>24</v>
      </c>
      <c r="D31" s="44">
        <v>18.825399999999998</v>
      </c>
      <c r="E31" s="44">
        <v>19.083400000000001</v>
      </c>
      <c r="F31">
        <v>1993</v>
      </c>
      <c r="H31" s="9">
        <v>2020</v>
      </c>
      <c r="I31">
        <v>16.806363636363638</v>
      </c>
      <c r="J31">
        <v>14.819090909090908</v>
      </c>
      <c r="K31">
        <v>11</v>
      </c>
      <c r="M31">
        <v>2020</v>
      </c>
      <c r="N31">
        <v>16.806363636363638</v>
      </c>
      <c r="O31">
        <v>14.819090909090908</v>
      </c>
      <c r="P31">
        <v>11</v>
      </c>
    </row>
    <row r="32" spans="1:16" ht="15" customHeight="1" x14ac:dyDescent="0.3">
      <c r="A32" s="42" t="s">
        <v>494</v>
      </c>
      <c r="B32" s="43">
        <v>34275</v>
      </c>
      <c r="C32" s="42" t="s">
        <v>24</v>
      </c>
      <c r="D32" s="44">
        <v>14.3545</v>
      </c>
      <c r="E32" s="44">
        <v>14.3172</v>
      </c>
      <c r="F32">
        <v>1993</v>
      </c>
      <c r="H32" s="9">
        <v>2021</v>
      </c>
      <c r="I32">
        <v>16.739999999999998</v>
      </c>
      <c r="J32">
        <v>14.282500000000001</v>
      </c>
      <c r="K32">
        <v>12</v>
      </c>
      <c r="M32">
        <v>2021</v>
      </c>
      <c r="N32">
        <v>16.739999999999998</v>
      </c>
      <c r="O32">
        <v>14.282500000000001</v>
      </c>
      <c r="P32">
        <v>12</v>
      </c>
    </row>
    <row r="33" spans="1:16" ht="15" customHeight="1" x14ac:dyDescent="0.3">
      <c r="A33" s="42" t="s">
        <v>72</v>
      </c>
      <c r="B33" s="43">
        <v>34318</v>
      </c>
      <c r="C33" s="42" t="s">
        <v>24</v>
      </c>
      <c r="D33" s="44">
        <v>8.6217000000000006</v>
      </c>
      <c r="E33" s="44">
        <v>8.3352000000000004</v>
      </c>
      <c r="F33">
        <v>1993</v>
      </c>
      <c r="H33" s="9">
        <v>2022</v>
      </c>
      <c r="I33">
        <v>15.459230769230768</v>
      </c>
      <c r="J33">
        <v>13.786153846153846</v>
      </c>
      <c r="K33">
        <v>13</v>
      </c>
      <c r="M33">
        <v>2022</v>
      </c>
      <c r="N33">
        <v>15.459230769230768</v>
      </c>
      <c r="O33">
        <v>13.786153846153846</v>
      </c>
      <c r="P33">
        <v>13</v>
      </c>
    </row>
    <row r="34" spans="1:16" ht="15" customHeight="1" x14ac:dyDescent="0.3">
      <c r="A34" s="42" t="s">
        <v>73</v>
      </c>
      <c r="B34" s="43">
        <v>34345</v>
      </c>
      <c r="C34" s="42" t="s">
        <v>24</v>
      </c>
      <c r="D34" s="44">
        <v>2.84</v>
      </c>
      <c r="E34" s="44">
        <v>3.01</v>
      </c>
      <c r="F34">
        <v>1994</v>
      </c>
      <c r="H34" s="9">
        <v>2023</v>
      </c>
      <c r="I34">
        <v>17.094999999999999</v>
      </c>
      <c r="J34">
        <v>14.277500000000003</v>
      </c>
      <c r="K34">
        <v>12</v>
      </c>
      <c r="M34" s="9">
        <v>2023</v>
      </c>
      <c r="N34">
        <v>17.094999999999999</v>
      </c>
      <c r="O34">
        <v>14.277500000000003</v>
      </c>
      <c r="P34">
        <v>12</v>
      </c>
    </row>
    <row r="35" spans="1:16" ht="15" customHeight="1" thickBot="1" x14ac:dyDescent="0.35">
      <c r="A35" s="42" t="s">
        <v>74</v>
      </c>
      <c r="B35" s="43">
        <v>34366</v>
      </c>
      <c r="C35" s="42" t="s">
        <v>24</v>
      </c>
      <c r="D35" s="44">
        <v>0.28000000000000003</v>
      </c>
      <c r="E35" s="44">
        <v>0.32</v>
      </c>
      <c r="F35">
        <v>1994</v>
      </c>
      <c r="H35" s="9">
        <v>2024</v>
      </c>
      <c r="I35">
        <v>15.64</v>
      </c>
      <c r="J35">
        <v>13.301666666666668</v>
      </c>
      <c r="K35">
        <v>12</v>
      </c>
      <c r="M35" s="122">
        <v>2024</v>
      </c>
      <c r="N35" s="115">
        <v>15.64</v>
      </c>
      <c r="O35" s="115">
        <v>13.301666666666668</v>
      </c>
      <c r="P35" s="115">
        <v>12</v>
      </c>
    </row>
    <row r="36" spans="1:16" ht="15" customHeight="1" x14ac:dyDescent="0.3">
      <c r="A36" s="42" t="s">
        <v>75</v>
      </c>
      <c r="B36" s="43">
        <v>34400</v>
      </c>
      <c r="C36" s="42" t="s">
        <v>24</v>
      </c>
      <c r="D36" s="44">
        <v>-0.46</v>
      </c>
      <c r="E36" s="44">
        <v>-0.5</v>
      </c>
      <c r="F36">
        <v>1994</v>
      </c>
      <c r="H36" s="9" t="s">
        <v>517</v>
      </c>
      <c r="I36">
        <v>14.446551576576573</v>
      </c>
      <c r="J36">
        <v>12.379817792792787</v>
      </c>
      <c r="K36">
        <v>454</v>
      </c>
      <c r="M36" t="s">
        <v>517</v>
      </c>
      <c r="N36">
        <v>14.446551576576573</v>
      </c>
      <c r="O36">
        <v>12.379817792792787</v>
      </c>
      <c r="P36">
        <v>454</v>
      </c>
    </row>
    <row r="37" spans="1:16" ht="15" customHeight="1" x14ac:dyDescent="0.3">
      <c r="A37" s="42" t="s">
        <v>76</v>
      </c>
      <c r="B37" s="43">
        <v>34429</v>
      </c>
      <c r="C37" s="42" t="s">
        <v>24</v>
      </c>
      <c r="D37" s="44">
        <v>3.9</v>
      </c>
      <c r="E37" s="44">
        <v>2.2000000000000002</v>
      </c>
      <c r="F37">
        <v>1994</v>
      </c>
    </row>
    <row r="38" spans="1:16" ht="15" customHeight="1" x14ac:dyDescent="0.3">
      <c r="A38" s="42" t="s">
        <v>77</v>
      </c>
      <c r="B38" s="43">
        <v>34457</v>
      </c>
      <c r="C38" s="42" t="s">
        <v>24</v>
      </c>
      <c r="D38" s="44">
        <v>8.6</v>
      </c>
      <c r="E38" s="44">
        <v>5.13</v>
      </c>
      <c r="F38">
        <v>1994</v>
      </c>
    </row>
    <row r="39" spans="1:16" ht="15" customHeight="1" x14ac:dyDescent="0.3">
      <c r="A39" s="42" t="s">
        <v>78</v>
      </c>
      <c r="B39" s="43">
        <v>34486</v>
      </c>
      <c r="C39" s="42" t="s">
        <v>24</v>
      </c>
      <c r="D39" s="44">
        <v>12.64</v>
      </c>
      <c r="E39" s="44">
        <v>11.31</v>
      </c>
      <c r="F39">
        <v>1994</v>
      </c>
    </row>
    <row r="40" spans="1:16" ht="15" customHeight="1" x14ac:dyDescent="0.3">
      <c r="A40" s="42" t="s">
        <v>79</v>
      </c>
      <c r="B40" s="43">
        <v>34506</v>
      </c>
      <c r="C40" s="42" t="s">
        <v>24</v>
      </c>
      <c r="D40" s="44">
        <v>19.95</v>
      </c>
      <c r="E40" s="45"/>
      <c r="F40">
        <v>1994</v>
      </c>
    </row>
    <row r="41" spans="1:16" ht="15" customHeight="1" x14ac:dyDescent="0.3">
      <c r="A41" s="42" t="s">
        <v>80</v>
      </c>
      <c r="B41" s="43">
        <v>34522</v>
      </c>
      <c r="C41" s="42" t="s">
        <v>24</v>
      </c>
      <c r="D41" s="44">
        <v>22.62</v>
      </c>
      <c r="E41" s="44">
        <v>14.66</v>
      </c>
      <c r="F41">
        <v>1994</v>
      </c>
    </row>
    <row r="42" spans="1:16" ht="15" customHeight="1" x14ac:dyDescent="0.3">
      <c r="A42" s="42" t="s">
        <v>82</v>
      </c>
      <c r="B42" s="43">
        <v>34547</v>
      </c>
      <c r="C42" s="42" t="s">
        <v>24</v>
      </c>
      <c r="D42" s="44">
        <v>23.15</v>
      </c>
      <c r="E42" s="44">
        <v>19.7</v>
      </c>
      <c r="F42">
        <v>1994</v>
      </c>
    </row>
    <row r="43" spans="1:16" ht="15" customHeight="1" x14ac:dyDescent="0.3">
      <c r="A43" s="42" t="s">
        <v>83</v>
      </c>
      <c r="B43" s="43">
        <v>34563</v>
      </c>
      <c r="C43" s="42" t="s">
        <v>24</v>
      </c>
      <c r="D43" s="44">
        <v>21.89</v>
      </c>
      <c r="F43">
        <v>1994</v>
      </c>
    </row>
    <row r="44" spans="1:16" ht="15" customHeight="1" x14ac:dyDescent="0.3">
      <c r="A44" s="42" t="s">
        <v>84</v>
      </c>
      <c r="B44" s="43">
        <v>34575</v>
      </c>
      <c r="C44" s="42" t="s">
        <v>24</v>
      </c>
      <c r="D44" s="44">
        <v>22.28</v>
      </c>
      <c r="E44" s="46">
        <v>21.18</v>
      </c>
      <c r="F44">
        <v>1994</v>
      </c>
    </row>
    <row r="45" spans="1:16" ht="15" customHeight="1" x14ac:dyDescent="0.3">
      <c r="A45" s="42" t="s">
        <v>86</v>
      </c>
      <c r="B45" s="43">
        <v>34611</v>
      </c>
      <c r="C45" s="42" t="s">
        <v>24</v>
      </c>
      <c r="D45" s="44">
        <v>18.47</v>
      </c>
      <c r="E45" s="44">
        <v>18.510000000000002</v>
      </c>
      <c r="F45">
        <v>1994</v>
      </c>
    </row>
    <row r="46" spans="1:16" ht="15" customHeight="1" x14ac:dyDescent="0.3">
      <c r="A46" s="42" t="s">
        <v>87</v>
      </c>
      <c r="B46" s="43">
        <v>34647</v>
      </c>
      <c r="C46" s="42" t="s">
        <v>24</v>
      </c>
      <c r="D46" s="44">
        <v>14.96</v>
      </c>
      <c r="E46" s="44">
        <v>14.94</v>
      </c>
      <c r="F46">
        <v>1994</v>
      </c>
    </row>
    <row r="47" spans="1:16" ht="15" customHeight="1" x14ac:dyDescent="0.3">
      <c r="A47" s="42" t="s">
        <v>88</v>
      </c>
      <c r="B47" s="43">
        <v>34675</v>
      </c>
      <c r="C47" s="42" t="s">
        <v>24</v>
      </c>
      <c r="D47" s="44">
        <v>10.52</v>
      </c>
      <c r="E47" s="44">
        <v>10.33</v>
      </c>
      <c r="F47">
        <v>1994</v>
      </c>
    </row>
    <row r="48" spans="1:16" ht="15" customHeight="1" x14ac:dyDescent="0.3">
      <c r="A48" s="42" t="s">
        <v>89</v>
      </c>
      <c r="B48" s="43">
        <v>34709</v>
      </c>
      <c r="C48" s="42" t="s">
        <v>24</v>
      </c>
      <c r="D48" s="44">
        <v>4.71</v>
      </c>
      <c r="E48" s="44">
        <v>5.33</v>
      </c>
      <c r="F48">
        <v>1995</v>
      </c>
    </row>
    <row r="49" spans="1:6" ht="15" customHeight="1" x14ac:dyDescent="0.3">
      <c r="A49" s="42" t="s">
        <v>90</v>
      </c>
      <c r="B49" s="43">
        <v>34745</v>
      </c>
      <c r="C49" s="42" t="s">
        <v>24</v>
      </c>
      <c r="D49" s="44">
        <v>1.0900000000000001</v>
      </c>
      <c r="E49" s="44">
        <v>1.5215000000000001</v>
      </c>
      <c r="F49">
        <v>1995</v>
      </c>
    </row>
    <row r="50" spans="1:6" ht="15" customHeight="1" x14ac:dyDescent="0.3">
      <c r="A50" s="42" t="s">
        <v>91</v>
      </c>
      <c r="B50" s="43">
        <v>34765</v>
      </c>
      <c r="C50" s="42" t="s">
        <v>24</v>
      </c>
      <c r="D50" s="44">
        <v>2.33</v>
      </c>
      <c r="E50" s="44">
        <v>1.86</v>
      </c>
      <c r="F50">
        <v>1995</v>
      </c>
    </row>
    <row r="51" spans="1:6" ht="15" customHeight="1" x14ac:dyDescent="0.3">
      <c r="A51" s="42" t="s">
        <v>92</v>
      </c>
      <c r="B51" s="43">
        <v>34799</v>
      </c>
      <c r="C51" s="42" t="s">
        <v>24</v>
      </c>
      <c r="D51" s="44">
        <v>4.97</v>
      </c>
      <c r="E51" s="44">
        <v>4.68</v>
      </c>
      <c r="F51">
        <v>1995</v>
      </c>
    </row>
    <row r="52" spans="1:6" ht="15" customHeight="1" x14ac:dyDescent="0.3">
      <c r="A52" s="42" t="s">
        <v>93</v>
      </c>
      <c r="B52" s="43">
        <v>34828</v>
      </c>
      <c r="C52" s="42" t="s">
        <v>24</v>
      </c>
      <c r="D52" s="44">
        <v>9.9499999999999993</v>
      </c>
      <c r="E52" s="44">
        <v>7.98</v>
      </c>
      <c r="F52">
        <v>1995</v>
      </c>
    </row>
    <row r="53" spans="1:6" ht="15" customHeight="1" x14ac:dyDescent="0.3">
      <c r="A53" s="42" t="s">
        <v>94</v>
      </c>
      <c r="B53" s="43">
        <v>34855</v>
      </c>
      <c r="C53" s="42" t="s">
        <v>24</v>
      </c>
      <c r="D53" s="44">
        <v>15.45</v>
      </c>
      <c r="E53" s="44">
        <v>11.62</v>
      </c>
      <c r="F53">
        <v>1995</v>
      </c>
    </row>
    <row r="54" spans="1:6" ht="15" customHeight="1" x14ac:dyDescent="0.3">
      <c r="A54" s="42" t="s">
        <v>96</v>
      </c>
      <c r="B54" s="43">
        <v>34890</v>
      </c>
      <c r="C54" s="42" t="s">
        <v>24</v>
      </c>
      <c r="D54" s="44">
        <v>20.14</v>
      </c>
      <c r="E54" s="44">
        <v>15.6069</v>
      </c>
      <c r="F54">
        <v>1995</v>
      </c>
    </row>
    <row r="55" spans="1:6" ht="15" customHeight="1" x14ac:dyDescent="0.3">
      <c r="A55" s="42" t="s">
        <v>97</v>
      </c>
      <c r="B55" s="43">
        <v>34899</v>
      </c>
      <c r="C55" s="42" t="s">
        <v>24</v>
      </c>
      <c r="D55" s="44">
        <v>22.13</v>
      </c>
      <c r="E55" s="44">
        <v>17.670000000000002</v>
      </c>
      <c r="F55">
        <v>1995</v>
      </c>
    </row>
    <row r="56" spans="1:6" ht="15" customHeight="1" x14ac:dyDescent="0.3">
      <c r="A56" s="42" t="s">
        <v>98</v>
      </c>
      <c r="B56" s="43">
        <v>34912</v>
      </c>
      <c r="C56" s="42" t="s">
        <v>24</v>
      </c>
      <c r="D56" s="44">
        <v>24.7</v>
      </c>
      <c r="E56" s="44">
        <v>20.51</v>
      </c>
      <c r="F56">
        <v>1995</v>
      </c>
    </row>
    <row r="57" spans="1:6" ht="15" customHeight="1" x14ac:dyDescent="0.3">
      <c r="A57" s="42" t="s">
        <v>99</v>
      </c>
      <c r="B57" s="43">
        <v>34926</v>
      </c>
      <c r="C57" s="42" t="s">
        <v>24</v>
      </c>
      <c r="D57" s="44">
        <v>23.94</v>
      </c>
      <c r="E57" s="44">
        <v>20.6</v>
      </c>
      <c r="F57">
        <v>1995</v>
      </c>
    </row>
    <row r="58" spans="1:6" ht="15" customHeight="1" x14ac:dyDescent="0.3">
      <c r="A58" s="42" t="s">
        <v>100</v>
      </c>
      <c r="B58" s="43">
        <v>34953</v>
      </c>
      <c r="C58" s="42" t="s">
        <v>24</v>
      </c>
      <c r="D58" s="44">
        <v>22.63</v>
      </c>
      <c r="E58" s="44">
        <v>22.1035</v>
      </c>
      <c r="F58">
        <v>1995</v>
      </c>
    </row>
    <row r="59" spans="1:6" ht="15" customHeight="1" x14ac:dyDescent="0.3">
      <c r="A59" s="42" t="s">
        <v>101</v>
      </c>
      <c r="B59" s="43">
        <v>34975</v>
      </c>
      <c r="C59" s="42" t="s">
        <v>24</v>
      </c>
      <c r="D59" s="44">
        <v>20.09</v>
      </c>
      <c r="E59" s="46">
        <v>19.808800000000002</v>
      </c>
      <c r="F59">
        <v>1995</v>
      </c>
    </row>
    <row r="60" spans="1:6" ht="15" customHeight="1" x14ac:dyDescent="0.3">
      <c r="A60" s="42" t="s">
        <v>103</v>
      </c>
      <c r="B60" s="43">
        <v>35038</v>
      </c>
      <c r="C60" s="42" t="s">
        <v>24</v>
      </c>
      <c r="D60" s="44">
        <v>9.2200000000000006</v>
      </c>
      <c r="E60" s="44">
        <v>9.1300000000000008</v>
      </c>
      <c r="F60">
        <v>1995</v>
      </c>
    </row>
    <row r="61" spans="1:6" ht="15" customHeight="1" x14ac:dyDescent="0.3">
      <c r="A61" s="42" t="s">
        <v>495</v>
      </c>
      <c r="B61" s="43">
        <v>35074</v>
      </c>
      <c r="C61" s="42" t="s">
        <v>24</v>
      </c>
      <c r="D61" s="44">
        <v>1.45</v>
      </c>
      <c r="E61" s="44">
        <v>1.54</v>
      </c>
      <c r="F61">
        <v>1996</v>
      </c>
    </row>
    <row r="62" spans="1:6" ht="15" customHeight="1" x14ac:dyDescent="0.3">
      <c r="A62" s="42" t="s">
        <v>104</v>
      </c>
      <c r="B62" s="43">
        <v>35102</v>
      </c>
      <c r="C62" s="42" t="s">
        <v>24</v>
      </c>
      <c r="D62" s="44">
        <v>0.35</v>
      </c>
      <c r="E62" s="44">
        <v>0.6</v>
      </c>
      <c r="F62">
        <v>1996</v>
      </c>
    </row>
    <row r="63" spans="1:6" ht="15" customHeight="1" x14ac:dyDescent="0.3">
      <c r="A63" s="42" t="s">
        <v>105</v>
      </c>
      <c r="B63" s="43">
        <v>35130</v>
      </c>
      <c r="C63" s="42" t="s">
        <v>24</v>
      </c>
      <c r="D63" s="44">
        <v>0.82</v>
      </c>
      <c r="E63" s="44">
        <v>0.78</v>
      </c>
      <c r="F63">
        <v>1996</v>
      </c>
    </row>
    <row r="64" spans="1:6" ht="15" customHeight="1" x14ac:dyDescent="0.3">
      <c r="A64" s="42" t="s">
        <v>106</v>
      </c>
      <c r="B64" s="43">
        <v>35158</v>
      </c>
      <c r="C64" s="42" t="s">
        <v>24</v>
      </c>
      <c r="D64" s="44">
        <v>3.06</v>
      </c>
      <c r="E64" s="44">
        <v>2.44</v>
      </c>
      <c r="F64">
        <v>1996</v>
      </c>
    </row>
    <row r="65" spans="1:6" ht="15" customHeight="1" x14ac:dyDescent="0.3">
      <c r="A65" s="42" t="s">
        <v>107</v>
      </c>
      <c r="B65" s="43">
        <v>35195</v>
      </c>
      <c r="C65" s="42" t="s">
        <v>24</v>
      </c>
      <c r="D65" s="44">
        <v>9.32</v>
      </c>
      <c r="E65" s="44">
        <v>6.9</v>
      </c>
      <c r="F65">
        <v>1996</v>
      </c>
    </row>
    <row r="66" spans="1:6" ht="15" customHeight="1" x14ac:dyDescent="0.3">
      <c r="A66" s="42" t="s">
        <v>108</v>
      </c>
      <c r="B66" s="43">
        <v>35221</v>
      </c>
      <c r="C66" s="42" t="s">
        <v>24</v>
      </c>
      <c r="D66" s="44">
        <v>13.59</v>
      </c>
      <c r="E66" s="44">
        <v>10.27</v>
      </c>
      <c r="F66">
        <v>1996</v>
      </c>
    </row>
    <row r="67" spans="1:6" ht="15" customHeight="1" x14ac:dyDescent="0.3">
      <c r="A67" s="42" t="s">
        <v>109</v>
      </c>
      <c r="B67" s="43">
        <v>35241</v>
      </c>
      <c r="C67" s="42" t="s">
        <v>24</v>
      </c>
      <c r="D67" s="44">
        <v>18.45</v>
      </c>
      <c r="E67" s="44">
        <v>12.85</v>
      </c>
      <c r="F67">
        <v>1996</v>
      </c>
    </row>
    <row r="68" spans="1:6" ht="15" customHeight="1" x14ac:dyDescent="0.3">
      <c r="A68" s="42" t="s">
        <v>110</v>
      </c>
      <c r="B68" s="43">
        <v>35256</v>
      </c>
      <c r="C68" s="42" t="s">
        <v>24</v>
      </c>
      <c r="D68" s="44">
        <v>19.91</v>
      </c>
      <c r="E68" s="44">
        <v>15.27</v>
      </c>
      <c r="F68">
        <v>1996</v>
      </c>
    </row>
    <row r="69" spans="1:6" ht="15" customHeight="1" x14ac:dyDescent="0.3">
      <c r="A69" s="42" t="s">
        <v>111</v>
      </c>
      <c r="B69" s="43">
        <v>35269</v>
      </c>
      <c r="C69" s="42" t="s">
        <v>24</v>
      </c>
      <c r="D69" s="44">
        <v>20.399999999999999</v>
      </c>
      <c r="E69" s="44">
        <v>18.05</v>
      </c>
      <c r="F69">
        <v>1996</v>
      </c>
    </row>
    <row r="70" spans="1:6" ht="15" customHeight="1" x14ac:dyDescent="0.3">
      <c r="A70" s="42" t="s">
        <v>112</v>
      </c>
      <c r="B70" s="43">
        <v>35283</v>
      </c>
      <c r="C70" s="42" t="s">
        <v>24</v>
      </c>
      <c r="D70" s="44">
        <v>22.24</v>
      </c>
      <c r="E70" s="46">
        <v>18.75</v>
      </c>
      <c r="F70">
        <v>1996</v>
      </c>
    </row>
    <row r="71" spans="1:6" ht="15" customHeight="1" x14ac:dyDescent="0.3">
      <c r="A71" s="42" t="s">
        <v>113</v>
      </c>
      <c r="B71" s="43">
        <v>35297</v>
      </c>
      <c r="C71" s="42" t="s">
        <v>24</v>
      </c>
      <c r="D71" s="44">
        <v>22.8</v>
      </c>
      <c r="E71" s="44">
        <v>19.510000000000002</v>
      </c>
      <c r="F71">
        <v>1996</v>
      </c>
    </row>
    <row r="72" spans="1:6" ht="15" customHeight="1" x14ac:dyDescent="0.3">
      <c r="A72" s="42" t="s">
        <v>114</v>
      </c>
      <c r="B72" s="43">
        <v>35312</v>
      </c>
      <c r="C72" s="42" t="s">
        <v>24</v>
      </c>
      <c r="D72" s="44">
        <v>22.52</v>
      </c>
      <c r="E72" s="44">
        <v>20.43</v>
      </c>
      <c r="F72">
        <v>1996</v>
      </c>
    </row>
    <row r="73" spans="1:6" ht="15" customHeight="1" x14ac:dyDescent="0.3">
      <c r="A73" s="42" t="s">
        <v>115</v>
      </c>
      <c r="B73" s="43">
        <v>35340</v>
      </c>
      <c r="C73" s="42" t="s">
        <v>24</v>
      </c>
      <c r="D73" s="44">
        <v>19.940000000000001</v>
      </c>
      <c r="E73" s="44">
        <v>19.79</v>
      </c>
      <c r="F73">
        <v>1996</v>
      </c>
    </row>
    <row r="74" spans="1:6" ht="15" customHeight="1" x14ac:dyDescent="0.3">
      <c r="A74" s="42" t="s">
        <v>116</v>
      </c>
      <c r="B74" s="43">
        <v>35376</v>
      </c>
      <c r="C74" s="42" t="s">
        <v>24</v>
      </c>
      <c r="D74" s="44">
        <v>14.42</v>
      </c>
      <c r="E74" s="44">
        <v>14.1</v>
      </c>
      <c r="F74">
        <v>1996</v>
      </c>
    </row>
    <row r="75" spans="1:6" ht="15" customHeight="1" x14ac:dyDescent="0.3">
      <c r="A75" s="42" t="s">
        <v>117</v>
      </c>
      <c r="B75" s="43">
        <v>35402</v>
      </c>
      <c r="C75" s="42" t="s">
        <v>24</v>
      </c>
      <c r="D75" s="44">
        <v>9.4700000000000006</v>
      </c>
      <c r="E75" s="44">
        <v>9.33</v>
      </c>
      <c r="F75">
        <v>1996</v>
      </c>
    </row>
    <row r="76" spans="1:6" ht="15" customHeight="1" x14ac:dyDescent="0.3">
      <c r="A76" s="42" t="s">
        <v>118</v>
      </c>
      <c r="B76" s="43">
        <v>35467</v>
      </c>
      <c r="C76" s="42" t="s">
        <v>24</v>
      </c>
      <c r="D76" s="44">
        <v>2.4300000000000002</v>
      </c>
      <c r="E76" s="44">
        <v>2.62</v>
      </c>
      <c r="F76">
        <v>1997</v>
      </c>
    </row>
    <row r="77" spans="1:6" ht="15" customHeight="1" x14ac:dyDescent="0.3">
      <c r="A77" s="42" t="s">
        <v>119</v>
      </c>
      <c r="B77" s="43">
        <v>35494</v>
      </c>
      <c r="C77" s="42" t="s">
        <v>24</v>
      </c>
      <c r="D77" s="44">
        <v>3.13</v>
      </c>
      <c r="E77" s="44">
        <v>3.25</v>
      </c>
      <c r="F77">
        <v>1997</v>
      </c>
    </row>
    <row r="78" spans="1:6" ht="15" customHeight="1" x14ac:dyDescent="0.3">
      <c r="A78" s="42" t="s">
        <v>120</v>
      </c>
      <c r="B78" s="43">
        <v>35522</v>
      </c>
      <c r="C78" s="42" t="s">
        <v>24</v>
      </c>
      <c r="D78" s="44">
        <v>4.3600000000000003</v>
      </c>
      <c r="E78" s="44">
        <v>4.33</v>
      </c>
      <c r="F78">
        <v>1997</v>
      </c>
    </row>
    <row r="79" spans="1:6" ht="15" customHeight="1" x14ac:dyDescent="0.3">
      <c r="A79" s="42" t="s">
        <v>121</v>
      </c>
      <c r="B79" s="43">
        <v>35559</v>
      </c>
      <c r="C79" s="42" t="s">
        <v>24</v>
      </c>
      <c r="D79" s="44">
        <v>8.9600000000000009</v>
      </c>
      <c r="E79" s="44">
        <v>8.7899999999999991</v>
      </c>
      <c r="F79">
        <v>1997</v>
      </c>
    </row>
    <row r="80" spans="1:6" ht="15" customHeight="1" x14ac:dyDescent="0.3">
      <c r="A80" s="42" t="s">
        <v>122</v>
      </c>
      <c r="B80" s="43">
        <v>35584</v>
      </c>
      <c r="C80" s="42" t="s">
        <v>24</v>
      </c>
      <c r="D80" s="44">
        <v>12.41</v>
      </c>
      <c r="E80" s="44">
        <v>10.62</v>
      </c>
      <c r="F80">
        <v>1997</v>
      </c>
    </row>
    <row r="81" spans="1:6" ht="15" customHeight="1" x14ac:dyDescent="0.3">
      <c r="A81" s="42" t="s">
        <v>123</v>
      </c>
      <c r="B81" s="43">
        <v>35611</v>
      </c>
      <c r="C81" s="42" t="s">
        <v>24</v>
      </c>
      <c r="D81" s="44">
        <v>19.059999999999999</v>
      </c>
      <c r="E81" s="45"/>
      <c r="F81">
        <v>1997</v>
      </c>
    </row>
    <row r="82" spans="1:6" ht="15" customHeight="1" x14ac:dyDescent="0.3">
      <c r="A82" s="42" t="s">
        <v>491</v>
      </c>
      <c r="B82" s="43">
        <v>35619</v>
      </c>
      <c r="C82" s="42" t="s">
        <v>24</v>
      </c>
      <c r="D82" s="44">
        <v>19.899999999999999</v>
      </c>
      <c r="E82" s="44">
        <v>16.760000000000002</v>
      </c>
      <c r="F82">
        <v>1997</v>
      </c>
    </row>
    <row r="83" spans="1:6" ht="15" customHeight="1" x14ac:dyDescent="0.3">
      <c r="A83" s="42" t="s">
        <v>125</v>
      </c>
      <c r="B83" s="43">
        <v>35648</v>
      </c>
      <c r="C83" s="42" t="s">
        <v>24</v>
      </c>
      <c r="D83" s="44">
        <v>22.51</v>
      </c>
      <c r="E83" s="44">
        <v>19.96</v>
      </c>
      <c r="F83">
        <v>1997</v>
      </c>
    </row>
    <row r="84" spans="1:6" ht="15" customHeight="1" x14ac:dyDescent="0.3">
      <c r="A84" s="42" t="s">
        <v>126</v>
      </c>
      <c r="B84" s="43">
        <v>35661</v>
      </c>
      <c r="C84" s="42" t="s">
        <v>24</v>
      </c>
      <c r="D84" s="44">
        <v>22.6</v>
      </c>
      <c r="E84" s="46">
        <v>20.239999999999998</v>
      </c>
      <c r="F84">
        <v>1997</v>
      </c>
    </row>
    <row r="85" spans="1:6" ht="15" customHeight="1" x14ac:dyDescent="0.3">
      <c r="A85" s="42" t="s">
        <v>127</v>
      </c>
      <c r="B85" s="43">
        <v>35678</v>
      </c>
      <c r="C85" s="42" t="s">
        <v>24</v>
      </c>
      <c r="D85" s="44">
        <v>21.52</v>
      </c>
      <c r="E85" s="44">
        <v>20.94</v>
      </c>
      <c r="F85">
        <v>1997</v>
      </c>
    </row>
    <row r="86" spans="1:6" ht="15" customHeight="1" x14ac:dyDescent="0.3">
      <c r="A86" s="42" t="s">
        <v>128</v>
      </c>
      <c r="B86" s="43">
        <v>35709</v>
      </c>
      <c r="C86" s="42" t="s">
        <v>24</v>
      </c>
      <c r="D86" s="44">
        <v>19.399999999999999</v>
      </c>
      <c r="E86" s="46">
        <v>18.41</v>
      </c>
      <c r="F86">
        <v>1997</v>
      </c>
    </row>
    <row r="87" spans="1:6" ht="15" customHeight="1" x14ac:dyDescent="0.3">
      <c r="A87" s="42" t="s">
        <v>129</v>
      </c>
      <c r="B87" s="43">
        <v>35739</v>
      </c>
      <c r="C87" s="42" t="s">
        <v>24</v>
      </c>
      <c r="D87" s="44">
        <v>14.54</v>
      </c>
      <c r="E87" s="44">
        <v>14.48</v>
      </c>
      <c r="F87">
        <v>1997</v>
      </c>
    </row>
    <row r="88" spans="1:6" ht="15" customHeight="1" x14ac:dyDescent="0.3">
      <c r="A88" s="42" t="s">
        <v>130</v>
      </c>
      <c r="B88" s="43">
        <v>35769</v>
      </c>
      <c r="C88" s="42" t="s">
        <v>24</v>
      </c>
      <c r="D88" s="44">
        <v>8.4499999999999993</v>
      </c>
      <c r="E88" s="44">
        <v>8.41</v>
      </c>
      <c r="F88">
        <v>1997</v>
      </c>
    </row>
    <row r="89" spans="1:6" ht="15" customHeight="1" x14ac:dyDescent="0.3">
      <c r="A89" s="42" t="s">
        <v>131</v>
      </c>
      <c r="B89" s="43">
        <v>35803</v>
      </c>
      <c r="C89" s="42" t="s">
        <v>24</v>
      </c>
      <c r="D89" s="44">
        <v>5.12</v>
      </c>
      <c r="E89" s="44">
        <v>4.8099999999999996</v>
      </c>
      <c r="F89">
        <v>1998</v>
      </c>
    </row>
    <row r="90" spans="1:6" ht="15" customHeight="1" x14ac:dyDescent="0.3">
      <c r="A90" s="42" t="s">
        <v>132</v>
      </c>
      <c r="B90" s="43">
        <v>35829</v>
      </c>
      <c r="C90" s="42" t="s">
        <v>24</v>
      </c>
      <c r="D90" s="44">
        <v>3.75</v>
      </c>
      <c r="E90" s="44">
        <v>3.75</v>
      </c>
      <c r="F90">
        <v>1998</v>
      </c>
    </row>
    <row r="91" spans="1:6" ht="15" customHeight="1" x14ac:dyDescent="0.3">
      <c r="A91" s="42" t="s">
        <v>134</v>
      </c>
      <c r="B91" s="43">
        <v>35857</v>
      </c>
      <c r="C91" s="42" t="s">
        <v>24</v>
      </c>
      <c r="D91" s="44">
        <v>4.18</v>
      </c>
      <c r="E91" s="44">
        <v>3.94</v>
      </c>
      <c r="F91">
        <v>1998</v>
      </c>
    </row>
    <row r="92" spans="1:6" ht="15" customHeight="1" x14ac:dyDescent="0.3">
      <c r="A92" s="42" t="s">
        <v>136</v>
      </c>
      <c r="B92" s="43">
        <v>35899</v>
      </c>
      <c r="C92" s="42" t="s">
        <v>24</v>
      </c>
      <c r="D92" s="44">
        <v>7.66</v>
      </c>
      <c r="E92" s="44">
        <v>5.66</v>
      </c>
      <c r="F92">
        <v>1998</v>
      </c>
    </row>
    <row r="93" spans="1:6" ht="15" customHeight="1" x14ac:dyDescent="0.3">
      <c r="A93" s="42" t="s">
        <v>137</v>
      </c>
      <c r="B93" s="43">
        <v>35923</v>
      </c>
      <c r="C93" s="42" t="s">
        <v>24</v>
      </c>
      <c r="D93" s="44">
        <v>11.78</v>
      </c>
      <c r="E93" s="44">
        <v>8.9</v>
      </c>
      <c r="F93">
        <v>1998</v>
      </c>
    </row>
    <row r="94" spans="1:6" ht="15" customHeight="1" x14ac:dyDescent="0.3">
      <c r="A94" s="42" t="s">
        <v>138</v>
      </c>
      <c r="B94" s="43">
        <v>35947</v>
      </c>
      <c r="C94" s="42" t="s">
        <v>24</v>
      </c>
      <c r="D94" s="44">
        <v>14.59</v>
      </c>
      <c r="E94" s="46">
        <v>12.47</v>
      </c>
      <c r="F94">
        <v>1998</v>
      </c>
    </row>
    <row r="95" spans="1:6" ht="15" customHeight="1" x14ac:dyDescent="0.3">
      <c r="A95" s="42" t="s">
        <v>139</v>
      </c>
      <c r="B95" s="43">
        <v>35970</v>
      </c>
      <c r="C95" s="42" t="s">
        <v>24</v>
      </c>
      <c r="D95" s="44">
        <v>18.45</v>
      </c>
      <c r="E95" s="44">
        <v>14.38</v>
      </c>
      <c r="F95">
        <v>1998</v>
      </c>
    </row>
    <row r="96" spans="1:6" ht="15" customHeight="1" x14ac:dyDescent="0.3">
      <c r="A96" s="42" t="s">
        <v>140</v>
      </c>
      <c r="B96" s="43">
        <v>35983</v>
      </c>
      <c r="C96" s="42" t="s">
        <v>24</v>
      </c>
      <c r="D96" s="44">
        <v>21.7</v>
      </c>
      <c r="E96" s="44">
        <v>14.98</v>
      </c>
      <c r="F96">
        <v>1998</v>
      </c>
    </row>
    <row r="97" spans="1:6" ht="15" customHeight="1" x14ac:dyDescent="0.3">
      <c r="A97" s="42" t="s">
        <v>141</v>
      </c>
      <c r="B97" s="43">
        <v>35997</v>
      </c>
      <c r="C97" s="42" t="s">
        <v>24</v>
      </c>
      <c r="D97" s="44">
        <v>22.14</v>
      </c>
      <c r="E97" s="44">
        <v>16.3</v>
      </c>
      <c r="F97">
        <v>1998</v>
      </c>
    </row>
    <row r="98" spans="1:6" ht="15" customHeight="1" x14ac:dyDescent="0.3">
      <c r="A98" s="42" t="s">
        <v>142</v>
      </c>
      <c r="B98" s="43">
        <v>36012</v>
      </c>
      <c r="C98" s="42" t="s">
        <v>24</v>
      </c>
      <c r="D98" s="44">
        <v>22.57</v>
      </c>
      <c r="E98" s="44">
        <v>19.71</v>
      </c>
      <c r="F98">
        <v>1998</v>
      </c>
    </row>
    <row r="99" spans="1:6" ht="15" customHeight="1" x14ac:dyDescent="0.3">
      <c r="A99" s="42" t="s">
        <v>143</v>
      </c>
      <c r="B99" s="43">
        <v>36025</v>
      </c>
      <c r="C99" s="42" t="s">
        <v>24</v>
      </c>
      <c r="D99" s="44">
        <v>23.45</v>
      </c>
      <c r="E99" s="44">
        <v>20.13</v>
      </c>
      <c r="F99">
        <v>1998</v>
      </c>
    </row>
    <row r="100" spans="1:6" ht="15" customHeight="1" x14ac:dyDescent="0.3">
      <c r="A100" s="42" t="s">
        <v>144</v>
      </c>
      <c r="B100" s="43">
        <v>36039</v>
      </c>
      <c r="C100" s="42" t="s">
        <v>24</v>
      </c>
      <c r="D100" s="44">
        <v>23.58</v>
      </c>
      <c r="E100" s="44">
        <v>21.45</v>
      </c>
      <c r="F100">
        <v>1998</v>
      </c>
    </row>
    <row r="101" spans="1:6" ht="15" customHeight="1" x14ac:dyDescent="0.3">
      <c r="A101" s="42" t="s">
        <v>146</v>
      </c>
      <c r="B101" s="43">
        <v>36073</v>
      </c>
      <c r="C101" s="42" t="s">
        <v>24</v>
      </c>
      <c r="D101" s="44">
        <v>19.45</v>
      </c>
      <c r="E101" s="44">
        <v>19.47</v>
      </c>
      <c r="F101">
        <v>1998</v>
      </c>
    </row>
    <row r="102" spans="1:6" ht="15" customHeight="1" x14ac:dyDescent="0.3">
      <c r="A102" s="42" t="s">
        <v>147</v>
      </c>
      <c r="B102" s="43">
        <v>36105</v>
      </c>
      <c r="C102" s="42" t="s">
        <v>24</v>
      </c>
      <c r="D102" s="44">
        <v>14.41</v>
      </c>
      <c r="E102" s="44">
        <v>14.13</v>
      </c>
      <c r="F102">
        <v>1998</v>
      </c>
    </row>
    <row r="103" spans="1:6" ht="15" customHeight="1" x14ac:dyDescent="0.3">
      <c r="A103" s="42" t="s">
        <v>148</v>
      </c>
      <c r="B103" s="43">
        <v>36132</v>
      </c>
      <c r="C103" s="42" t="s">
        <v>24</v>
      </c>
      <c r="D103" s="44">
        <v>10.73</v>
      </c>
      <c r="E103" s="44">
        <v>10.64</v>
      </c>
      <c r="F103">
        <v>1998</v>
      </c>
    </row>
    <row r="104" spans="1:6" ht="15" customHeight="1" x14ac:dyDescent="0.3">
      <c r="A104" s="42" t="s">
        <v>149</v>
      </c>
      <c r="B104" s="43">
        <v>36166</v>
      </c>
      <c r="C104" s="42" t="s">
        <v>24</v>
      </c>
      <c r="D104" s="44">
        <v>5.66</v>
      </c>
      <c r="E104" s="44">
        <v>5.74</v>
      </c>
      <c r="F104">
        <v>1999</v>
      </c>
    </row>
    <row r="105" spans="1:6" ht="15" customHeight="1" x14ac:dyDescent="0.3">
      <c r="A105" s="42" t="s">
        <v>150</v>
      </c>
      <c r="B105" s="43">
        <v>36194</v>
      </c>
      <c r="C105" s="42" t="s">
        <v>24</v>
      </c>
      <c r="D105" s="44">
        <v>3.6</v>
      </c>
      <c r="E105" s="44">
        <v>3.24</v>
      </c>
      <c r="F105">
        <v>1999</v>
      </c>
    </row>
    <row r="106" spans="1:6" ht="15" customHeight="1" x14ac:dyDescent="0.3">
      <c r="A106" s="42" t="s">
        <v>152</v>
      </c>
      <c r="B106" s="43">
        <v>36224</v>
      </c>
      <c r="C106" s="42" t="s">
        <v>24</v>
      </c>
      <c r="D106" s="44">
        <v>3.27</v>
      </c>
      <c r="E106" s="44">
        <v>3.21</v>
      </c>
      <c r="F106">
        <v>1999</v>
      </c>
    </row>
    <row r="107" spans="1:6" ht="15" customHeight="1" x14ac:dyDescent="0.3">
      <c r="A107" s="42" t="s">
        <v>154</v>
      </c>
      <c r="B107" s="43">
        <v>36256</v>
      </c>
      <c r="C107" s="42" t="s">
        <v>24</v>
      </c>
      <c r="D107" s="44">
        <v>5.52</v>
      </c>
      <c r="E107" s="44">
        <v>4.42</v>
      </c>
      <c r="F107">
        <v>1999</v>
      </c>
    </row>
    <row r="108" spans="1:6" ht="15" customHeight="1" x14ac:dyDescent="0.3">
      <c r="A108" s="42" t="s">
        <v>155</v>
      </c>
      <c r="B108" s="43">
        <v>36287</v>
      </c>
      <c r="C108" s="42" t="s">
        <v>24</v>
      </c>
      <c r="D108" s="44">
        <v>10.59</v>
      </c>
      <c r="E108" s="44">
        <v>7.92</v>
      </c>
      <c r="F108">
        <v>1999</v>
      </c>
    </row>
    <row r="109" spans="1:6" ht="15" customHeight="1" x14ac:dyDescent="0.3">
      <c r="A109" s="42" t="s">
        <v>156</v>
      </c>
      <c r="B109" s="43">
        <v>36313</v>
      </c>
      <c r="C109" s="42" t="s">
        <v>24</v>
      </c>
      <c r="D109" s="44">
        <v>16.66</v>
      </c>
      <c r="E109" s="44">
        <v>12</v>
      </c>
      <c r="F109">
        <v>1999</v>
      </c>
    </row>
    <row r="110" spans="1:6" ht="15" customHeight="1" x14ac:dyDescent="0.3">
      <c r="A110" s="42" t="s">
        <v>157</v>
      </c>
      <c r="B110" s="43">
        <v>36333</v>
      </c>
      <c r="C110" s="42" t="s">
        <v>24</v>
      </c>
      <c r="D110" s="44">
        <v>18.170000000000002</v>
      </c>
      <c r="E110" s="44">
        <v>14.94</v>
      </c>
      <c r="F110">
        <v>1999</v>
      </c>
    </row>
    <row r="111" spans="1:6" ht="15" customHeight="1" x14ac:dyDescent="0.3">
      <c r="A111" s="42" t="s">
        <v>158</v>
      </c>
      <c r="B111" s="43">
        <v>36349</v>
      </c>
      <c r="C111" s="42" t="s">
        <v>24</v>
      </c>
      <c r="D111" s="44">
        <v>22.91</v>
      </c>
      <c r="E111" s="44">
        <v>17.95</v>
      </c>
      <c r="F111">
        <v>1999</v>
      </c>
    </row>
    <row r="112" spans="1:6" ht="15" customHeight="1" x14ac:dyDescent="0.3">
      <c r="A112" s="42" t="s">
        <v>159</v>
      </c>
      <c r="B112" s="43">
        <v>36363</v>
      </c>
      <c r="C112" s="42" t="s">
        <v>24</v>
      </c>
      <c r="D112" s="44">
        <v>22.54</v>
      </c>
      <c r="E112" s="44">
        <v>19.52</v>
      </c>
      <c r="F112">
        <v>1999</v>
      </c>
    </row>
    <row r="113" spans="1:6" ht="15" customHeight="1" x14ac:dyDescent="0.3">
      <c r="A113" s="42" t="s">
        <v>160</v>
      </c>
      <c r="B113" s="43">
        <v>36375</v>
      </c>
      <c r="C113" s="42" t="s">
        <v>24</v>
      </c>
      <c r="D113" s="44">
        <v>24.36</v>
      </c>
      <c r="E113" s="44">
        <v>20.02</v>
      </c>
      <c r="F113">
        <v>1999</v>
      </c>
    </row>
    <row r="114" spans="1:6" ht="15" customHeight="1" x14ac:dyDescent="0.3">
      <c r="A114" s="42" t="s">
        <v>161</v>
      </c>
      <c r="B114" s="43">
        <v>36389</v>
      </c>
      <c r="C114" s="42" t="s">
        <v>24</v>
      </c>
      <c r="D114" s="44">
        <v>23.26</v>
      </c>
      <c r="E114" s="44">
        <v>21.27</v>
      </c>
      <c r="F114">
        <v>1999</v>
      </c>
    </row>
    <row r="115" spans="1:6" ht="15" customHeight="1" x14ac:dyDescent="0.3">
      <c r="A115" s="42" t="s">
        <v>162</v>
      </c>
      <c r="B115" s="43">
        <v>36405</v>
      </c>
      <c r="C115" s="42" t="s">
        <v>24</v>
      </c>
      <c r="D115" s="44">
        <v>22.16</v>
      </c>
      <c r="E115" s="44">
        <v>21.78</v>
      </c>
      <c r="F115">
        <v>1999</v>
      </c>
    </row>
    <row r="116" spans="1:6" ht="15" customHeight="1" x14ac:dyDescent="0.3">
      <c r="A116" s="42" t="s">
        <v>163</v>
      </c>
      <c r="B116" s="43">
        <v>36432</v>
      </c>
      <c r="C116" s="42" t="s">
        <v>24</v>
      </c>
      <c r="D116" s="46">
        <v>21.12</v>
      </c>
      <c r="E116" s="46">
        <v>20.62</v>
      </c>
      <c r="F116">
        <v>1999</v>
      </c>
    </row>
    <row r="117" spans="1:6" ht="15" customHeight="1" x14ac:dyDescent="0.3">
      <c r="A117" s="42" t="s">
        <v>164</v>
      </c>
      <c r="B117" s="43">
        <v>36466</v>
      </c>
      <c r="C117" s="42" t="s">
        <v>24</v>
      </c>
      <c r="D117" s="44">
        <v>15.94</v>
      </c>
      <c r="E117" s="44">
        <v>15.83</v>
      </c>
      <c r="F117">
        <v>1999</v>
      </c>
    </row>
    <row r="118" spans="1:6" ht="15" customHeight="1" x14ac:dyDescent="0.3">
      <c r="A118" s="42" t="s">
        <v>165</v>
      </c>
      <c r="B118" s="43">
        <v>36502</v>
      </c>
      <c r="C118" s="42" t="s">
        <v>24</v>
      </c>
      <c r="D118" s="44">
        <v>10.1</v>
      </c>
      <c r="E118" s="44">
        <v>10.06</v>
      </c>
      <c r="F118">
        <v>1999</v>
      </c>
    </row>
    <row r="119" spans="1:6" ht="15" customHeight="1" x14ac:dyDescent="0.3">
      <c r="A119" s="42" t="s">
        <v>166</v>
      </c>
      <c r="B119" s="43">
        <v>36532</v>
      </c>
      <c r="C119" s="42" t="s">
        <v>24</v>
      </c>
      <c r="D119" s="44">
        <v>5.93</v>
      </c>
      <c r="E119" s="44">
        <v>6.14</v>
      </c>
      <c r="F119">
        <v>2000</v>
      </c>
    </row>
    <row r="120" spans="1:6" ht="15" customHeight="1" x14ac:dyDescent="0.3">
      <c r="A120" s="42" t="s">
        <v>167</v>
      </c>
      <c r="B120" s="43">
        <v>36560</v>
      </c>
      <c r="C120" s="42" t="s">
        <v>24</v>
      </c>
      <c r="D120" s="44">
        <v>0.97</v>
      </c>
      <c r="E120" s="44">
        <v>0.95</v>
      </c>
      <c r="F120">
        <v>2000</v>
      </c>
    </row>
    <row r="121" spans="1:6" ht="15" customHeight="1" x14ac:dyDescent="0.3">
      <c r="A121" s="42" t="s">
        <v>171</v>
      </c>
      <c r="B121" s="43">
        <v>36623</v>
      </c>
      <c r="C121" s="42" t="s">
        <v>24</v>
      </c>
      <c r="D121" s="44">
        <v>6.23</v>
      </c>
      <c r="E121" s="44">
        <v>5.52</v>
      </c>
      <c r="F121">
        <v>2000</v>
      </c>
    </row>
    <row r="122" spans="1:6" ht="15" customHeight="1" x14ac:dyDescent="0.3">
      <c r="A122" s="42" t="s">
        <v>172</v>
      </c>
      <c r="B122" s="43">
        <v>36648</v>
      </c>
      <c r="C122" s="42" t="s">
        <v>24</v>
      </c>
      <c r="D122" s="44">
        <v>9.01</v>
      </c>
      <c r="E122" s="44">
        <v>7.1</v>
      </c>
      <c r="F122">
        <v>2000</v>
      </c>
    </row>
    <row r="123" spans="1:6" ht="15" customHeight="1" x14ac:dyDescent="0.3">
      <c r="A123" s="42" t="s">
        <v>173</v>
      </c>
      <c r="B123" s="43">
        <v>36679</v>
      </c>
      <c r="C123" s="42" t="s">
        <v>24</v>
      </c>
      <c r="D123" s="44">
        <v>16.690000000000001</v>
      </c>
      <c r="E123" s="44">
        <v>11.1</v>
      </c>
      <c r="F123">
        <v>2000</v>
      </c>
    </row>
    <row r="124" spans="1:6" ht="15" customHeight="1" x14ac:dyDescent="0.3">
      <c r="A124" s="42" t="s">
        <v>174</v>
      </c>
      <c r="B124" s="43">
        <v>36699</v>
      </c>
      <c r="C124" s="42" t="s">
        <v>24</v>
      </c>
      <c r="D124" s="44">
        <v>17.25</v>
      </c>
      <c r="E124" s="44">
        <v>13.68</v>
      </c>
      <c r="F124">
        <v>2000</v>
      </c>
    </row>
    <row r="125" spans="1:6" ht="15" customHeight="1" x14ac:dyDescent="0.3">
      <c r="A125" s="42" t="s">
        <v>175</v>
      </c>
      <c r="B125" s="43">
        <v>36713</v>
      </c>
      <c r="C125" s="42" t="s">
        <v>24</v>
      </c>
      <c r="D125" s="44">
        <v>20.399999999999999</v>
      </c>
      <c r="E125" s="44">
        <v>15.78</v>
      </c>
      <c r="F125">
        <v>2000</v>
      </c>
    </row>
    <row r="126" spans="1:6" ht="15" customHeight="1" x14ac:dyDescent="0.3">
      <c r="A126" s="42" t="s">
        <v>176</v>
      </c>
      <c r="B126" s="43">
        <v>36725</v>
      </c>
      <c r="C126" s="42" t="s">
        <v>24</v>
      </c>
      <c r="D126" s="44">
        <v>20.84</v>
      </c>
      <c r="E126" s="44">
        <v>18.55</v>
      </c>
      <c r="F126">
        <v>2000</v>
      </c>
    </row>
    <row r="127" spans="1:6" ht="15" customHeight="1" x14ac:dyDescent="0.3">
      <c r="A127" s="42" t="s">
        <v>177</v>
      </c>
      <c r="B127" s="43">
        <v>36740</v>
      </c>
      <c r="C127" s="42" t="s">
        <v>24</v>
      </c>
      <c r="D127" s="44">
        <v>20.399999999999999</v>
      </c>
      <c r="E127" s="44">
        <v>19.02</v>
      </c>
      <c r="F127">
        <v>2000</v>
      </c>
    </row>
    <row r="128" spans="1:6" ht="15" customHeight="1" x14ac:dyDescent="0.3">
      <c r="A128" s="42" t="s">
        <v>178</v>
      </c>
      <c r="B128" s="43">
        <v>36753</v>
      </c>
      <c r="C128" s="42" t="s">
        <v>24</v>
      </c>
      <c r="D128" s="44">
        <v>21.37</v>
      </c>
      <c r="E128" s="44">
        <v>20.09</v>
      </c>
      <c r="F128">
        <v>2000</v>
      </c>
    </row>
    <row r="129" spans="1:6" ht="15" customHeight="1" x14ac:dyDescent="0.3">
      <c r="A129" s="42" t="s">
        <v>179</v>
      </c>
      <c r="B129" s="43">
        <v>36768</v>
      </c>
      <c r="C129" s="42" t="s">
        <v>24</v>
      </c>
      <c r="D129" s="44">
        <v>21.63</v>
      </c>
      <c r="E129" s="44">
        <v>20.83</v>
      </c>
      <c r="F129">
        <v>2000</v>
      </c>
    </row>
    <row r="130" spans="1:6" ht="15" customHeight="1" x14ac:dyDescent="0.3">
      <c r="A130" s="42" t="s">
        <v>180</v>
      </c>
      <c r="B130" s="43">
        <v>36801</v>
      </c>
      <c r="C130" s="42" t="s">
        <v>24</v>
      </c>
      <c r="D130" s="44">
        <v>19.55</v>
      </c>
      <c r="E130" s="44">
        <v>19.45</v>
      </c>
      <c r="F130">
        <v>2000</v>
      </c>
    </row>
    <row r="131" spans="1:6" ht="15" customHeight="1" x14ac:dyDescent="0.3">
      <c r="A131" s="42" t="s">
        <v>181</v>
      </c>
      <c r="B131" s="43">
        <v>36843</v>
      </c>
      <c r="C131" s="42" t="s">
        <v>24</v>
      </c>
      <c r="D131" s="44">
        <v>13.28</v>
      </c>
      <c r="E131" s="44">
        <v>13.35</v>
      </c>
      <c r="F131">
        <v>2000</v>
      </c>
    </row>
    <row r="132" spans="1:6" ht="15" customHeight="1" x14ac:dyDescent="0.3">
      <c r="A132" s="42" t="s">
        <v>182</v>
      </c>
      <c r="B132" s="43">
        <v>36865</v>
      </c>
      <c r="C132" s="42" t="s">
        <v>24</v>
      </c>
      <c r="D132" s="44">
        <v>8.43</v>
      </c>
      <c r="E132" s="44">
        <v>8.6199999999999992</v>
      </c>
      <c r="F132">
        <v>2000</v>
      </c>
    </row>
    <row r="133" spans="1:6" ht="15" customHeight="1" x14ac:dyDescent="0.3">
      <c r="A133" s="42" t="s">
        <v>183</v>
      </c>
      <c r="B133" s="43">
        <v>36903</v>
      </c>
      <c r="C133" s="42" t="s">
        <v>24</v>
      </c>
      <c r="D133" s="44">
        <v>2.21</v>
      </c>
      <c r="E133" s="44">
        <v>2.2200000000000002</v>
      </c>
      <c r="F133">
        <v>2001</v>
      </c>
    </row>
    <row r="134" spans="1:6" ht="15" customHeight="1" x14ac:dyDescent="0.3">
      <c r="A134" s="42" t="s">
        <v>184</v>
      </c>
      <c r="B134" s="43">
        <v>36924</v>
      </c>
      <c r="C134" s="42" t="s">
        <v>24</v>
      </c>
      <c r="D134" s="44">
        <v>2.11</v>
      </c>
      <c r="E134" s="44">
        <v>1.98</v>
      </c>
      <c r="F134">
        <v>2001</v>
      </c>
    </row>
    <row r="135" spans="1:6" ht="15" customHeight="1" x14ac:dyDescent="0.3">
      <c r="A135" s="42" t="s">
        <v>186</v>
      </c>
      <c r="B135" s="43">
        <v>36952</v>
      </c>
      <c r="C135" s="42" t="s">
        <v>24</v>
      </c>
      <c r="D135" s="44">
        <v>1.84</v>
      </c>
      <c r="E135" s="44">
        <v>1.92</v>
      </c>
      <c r="F135">
        <v>2001</v>
      </c>
    </row>
    <row r="136" spans="1:6" ht="15" customHeight="1" x14ac:dyDescent="0.3">
      <c r="A136" s="42" t="s">
        <v>187</v>
      </c>
      <c r="B136" s="43">
        <v>36986</v>
      </c>
      <c r="C136" s="42" t="s">
        <v>24</v>
      </c>
      <c r="D136" s="44">
        <v>4.53</v>
      </c>
      <c r="E136" s="44">
        <v>3.42</v>
      </c>
      <c r="F136">
        <v>2001</v>
      </c>
    </row>
    <row r="137" spans="1:6" ht="15" customHeight="1" x14ac:dyDescent="0.3">
      <c r="A137" s="42" t="s">
        <v>188</v>
      </c>
      <c r="B137" s="43">
        <v>37013</v>
      </c>
      <c r="C137" s="42" t="s">
        <v>24</v>
      </c>
      <c r="D137" s="45"/>
      <c r="E137" s="45"/>
      <c r="F137">
        <v>2001</v>
      </c>
    </row>
    <row r="138" spans="1:6" ht="15" customHeight="1" x14ac:dyDescent="0.3">
      <c r="A138" s="42" t="s">
        <v>189</v>
      </c>
      <c r="B138" s="43">
        <v>37047</v>
      </c>
      <c r="C138" s="42" t="s">
        <v>24</v>
      </c>
      <c r="D138" s="44">
        <v>13.85</v>
      </c>
      <c r="E138" s="44">
        <v>10.75</v>
      </c>
      <c r="F138">
        <v>2001</v>
      </c>
    </row>
    <row r="139" spans="1:6" ht="15" customHeight="1" x14ac:dyDescent="0.3">
      <c r="A139" s="42" t="s">
        <v>191</v>
      </c>
      <c r="B139" s="43">
        <v>37081</v>
      </c>
      <c r="C139" s="42" t="s">
        <v>24</v>
      </c>
      <c r="D139" s="44">
        <v>19.809999999999999</v>
      </c>
      <c r="E139" s="44">
        <v>15.56</v>
      </c>
      <c r="F139">
        <v>2001</v>
      </c>
    </row>
    <row r="140" spans="1:6" ht="15" customHeight="1" x14ac:dyDescent="0.3">
      <c r="A140" s="42" t="s">
        <v>192</v>
      </c>
      <c r="B140" s="43">
        <v>37096</v>
      </c>
      <c r="C140" s="42" t="s">
        <v>24</v>
      </c>
      <c r="D140" s="44">
        <v>21.29</v>
      </c>
      <c r="E140" s="44">
        <v>18.59</v>
      </c>
      <c r="F140">
        <v>2001</v>
      </c>
    </row>
    <row r="141" spans="1:6" ht="15" customHeight="1" x14ac:dyDescent="0.3">
      <c r="A141" s="42" t="s">
        <v>193</v>
      </c>
      <c r="B141" s="43">
        <v>37111</v>
      </c>
      <c r="C141" s="42" t="s">
        <v>24</v>
      </c>
      <c r="D141" s="44">
        <v>23.37</v>
      </c>
      <c r="E141" s="44">
        <v>20.45</v>
      </c>
      <c r="F141">
        <v>2001</v>
      </c>
    </row>
    <row r="142" spans="1:6" ht="15" customHeight="1" x14ac:dyDescent="0.3">
      <c r="A142" s="42" t="s">
        <v>194</v>
      </c>
      <c r="B142" s="43">
        <v>37125</v>
      </c>
      <c r="C142" s="42" t="s">
        <v>24</v>
      </c>
      <c r="D142" s="44">
        <v>22.87</v>
      </c>
      <c r="E142" s="44">
        <v>20.92</v>
      </c>
      <c r="F142">
        <v>2001</v>
      </c>
    </row>
    <row r="143" spans="1:6" ht="15" customHeight="1" x14ac:dyDescent="0.3">
      <c r="A143" s="42" t="s">
        <v>196</v>
      </c>
      <c r="B143" s="43">
        <v>37140</v>
      </c>
      <c r="C143" s="42" t="s">
        <v>24</v>
      </c>
      <c r="D143" s="44">
        <v>22.91</v>
      </c>
      <c r="E143" s="44">
        <v>21.94</v>
      </c>
      <c r="F143">
        <v>2001</v>
      </c>
    </row>
    <row r="144" spans="1:6" ht="15" customHeight="1" x14ac:dyDescent="0.3">
      <c r="A144" s="42" t="s">
        <v>198</v>
      </c>
      <c r="B144" s="43">
        <v>37167</v>
      </c>
      <c r="C144" s="42" t="s">
        <v>24</v>
      </c>
      <c r="D144" s="44">
        <v>19.77</v>
      </c>
      <c r="E144" s="44">
        <v>19.29</v>
      </c>
      <c r="F144">
        <v>2001</v>
      </c>
    </row>
    <row r="145" spans="1:6" ht="15" customHeight="1" x14ac:dyDescent="0.3">
      <c r="A145" s="42" t="s">
        <v>199</v>
      </c>
      <c r="B145" s="43">
        <v>37209</v>
      </c>
      <c r="C145" s="42" t="s">
        <v>24</v>
      </c>
      <c r="D145" s="44">
        <v>13.08</v>
      </c>
      <c r="E145" s="44">
        <v>13.07</v>
      </c>
      <c r="F145">
        <v>2001</v>
      </c>
    </row>
    <row r="146" spans="1:6" ht="15" customHeight="1" x14ac:dyDescent="0.3">
      <c r="A146" s="42" t="s">
        <v>200</v>
      </c>
      <c r="B146" s="43">
        <v>37229</v>
      </c>
      <c r="C146" s="42" t="s">
        <v>24</v>
      </c>
      <c r="D146" s="44">
        <v>12</v>
      </c>
      <c r="E146" s="44">
        <v>11.81</v>
      </c>
      <c r="F146">
        <v>2001</v>
      </c>
    </row>
    <row r="147" spans="1:6" ht="15" customHeight="1" x14ac:dyDescent="0.3">
      <c r="A147" s="42" t="s">
        <v>201</v>
      </c>
      <c r="B147" s="43">
        <v>37270</v>
      </c>
      <c r="C147" s="42" t="s">
        <v>24</v>
      </c>
      <c r="D147" s="44">
        <v>5.45</v>
      </c>
      <c r="E147" s="44">
        <v>5.18</v>
      </c>
      <c r="F147">
        <v>2002</v>
      </c>
    </row>
    <row r="148" spans="1:6" ht="15" customHeight="1" x14ac:dyDescent="0.3">
      <c r="A148" s="42" t="s">
        <v>202</v>
      </c>
      <c r="B148" s="43">
        <v>37294</v>
      </c>
      <c r="C148" s="42" t="s">
        <v>24</v>
      </c>
      <c r="D148" s="44">
        <v>4.3099999999999996</v>
      </c>
      <c r="E148" s="44">
        <v>4.2699999999999996</v>
      </c>
      <c r="F148">
        <v>2002</v>
      </c>
    </row>
    <row r="149" spans="1:6" ht="15" customHeight="1" x14ac:dyDescent="0.3">
      <c r="A149" s="42" t="s">
        <v>204</v>
      </c>
      <c r="B149" s="43">
        <v>37316</v>
      </c>
      <c r="C149" s="42" t="s">
        <v>24</v>
      </c>
      <c r="D149" s="44">
        <v>4.41</v>
      </c>
      <c r="E149" s="44">
        <v>4.45</v>
      </c>
      <c r="F149">
        <v>2002</v>
      </c>
    </row>
    <row r="150" spans="1:6" ht="15" customHeight="1" x14ac:dyDescent="0.3">
      <c r="A150" s="42" t="s">
        <v>206</v>
      </c>
      <c r="B150" s="43">
        <v>37351</v>
      </c>
      <c r="C150" s="42" t="s">
        <v>24</v>
      </c>
      <c r="D150" s="44">
        <v>6.36</v>
      </c>
      <c r="E150" s="44">
        <v>5.72</v>
      </c>
      <c r="F150">
        <v>2002</v>
      </c>
    </row>
    <row r="151" spans="1:6" ht="15" customHeight="1" x14ac:dyDescent="0.3">
      <c r="A151" s="42" t="s">
        <v>207</v>
      </c>
      <c r="B151" s="43">
        <v>37385</v>
      </c>
      <c r="C151" s="42" t="s">
        <v>24</v>
      </c>
      <c r="D151" s="44">
        <v>10.89</v>
      </c>
      <c r="E151" s="44">
        <v>8.93</v>
      </c>
      <c r="F151">
        <v>2002</v>
      </c>
    </row>
    <row r="152" spans="1:6" ht="15" customHeight="1" x14ac:dyDescent="0.3">
      <c r="A152" s="42" t="s">
        <v>208</v>
      </c>
      <c r="B152" s="43">
        <v>37417</v>
      </c>
      <c r="C152" s="42" t="s">
        <v>24</v>
      </c>
      <c r="D152" s="44">
        <v>16.96</v>
      </c>
      <c r="E152" s="44">
        <v>12.08</v>
      </c>
      <c r="F152">
        <v>2002</v>
      </c>
    </row>
    <row r="153" spans="1:6" ht="15" customHeight="1" x14ac:dyDescent="0.3">
      <c r="A153" s="42" t="s">
        <v>210</v>
      </c>
      <c r="B153" s="43">
        <v>37447</v>
      </c>
      <c r="C153" s="42" t="s">
        <v>24</v>
      </c>
      <c r="D153" s="44">
        <v>21.78</v>
      </c>
      <c r="E153" s="44">
        <v>17.95</v>
      </c>
      <c r="F153">
        <v>2002</v>
      </c>
    </row>
    <row r="154" spans="1:6" ht="15" customHeight="1" x14ac:dyDescent="0.3">
      <c r="A154" s="42" t="s">
        <v>212</v>
      </c>
      <c r="B154" s="43">
        <v>37476</v>
      </c>
      <c r="C154" s="42" t="s">
        <v>24</v>
      </c>
      <c r="D154" s="44">
        <v>23.19</v>
      </c>
      <c r="E154" s="44">
        <v>20.89</v>
      </c>
      <c r="F154">
        <v>2002</v>
      </c>
    </row>
    <row r="155" spans="1:6" ht="15" customHeight="1" x14ac:dyDescent="0.3">
      <c r="A155" s="42" t="s">
        <v>214</v>
      </c>
      <c r="B155" s="43">
        <v>37512</v>
      </c>
      <c r="C155" s="42" t="s">
        <v>24</v>
      </c>
      <c r="D155" s="44">
        <v>21.93</v>
      </c>
      <c r="E155" s="44">
        <v>21.53</v>
      </c>
      <c r="F155">
        <v>2002</v>
      </c>
    </row>
    <row r="156" spans="1:6" ht="15" customHeight="1" x14ac:dyDescent="0.3">
      <c r="A156" s="42" t="s">
        <v>215</v>
      </c>
      <c r="B156" s="43">
        <v>37539</v>
      </c>
      <c r="C156" s="42" t="s">
        <v>24</v>
      </c>
      <c r="D156" s="44">
        <v>20.25</v>
      </c>
      <c r="E156" s="44">
        <v>20.350000000000001</v>
      </c>
      <c r="F156">
        <v>2002</v>
      </c>
    </row>
    <row r="157" spans="1:6" ht="15" customHeight="1" x14ac:dyDescent="0.3">
      <c r="A157" s="42" t="s">
        <v>216</v>
      </c>
      <c r="B157" s="43">
        <v>37574</v>
      </c>
      <c r="C157" s="42" t="s">
        <v>24</v>
      </c>
      <c r="D157" s="44">
        <v>12.81</v>
      </c>
      <c r="E157" s="44">
        <v>12.94</v>
      </c>
      <c r="F157">
        <v>2002</v>
      </c>
    </row>
    <row r="158" spans="1:6" ht="15" customHeight="1" x14ac:dyDescent="0.3">
      <c r="A158" s="42" t="s">
        <v>217</v>
      </c>
      <c r="B158" s="43">
        <v>37603</v>
      </c>
      <c r="C158" s="42" t="s">
        <v>24</v>
      </c>
      <c r="D158" s="44">
        <v>6.69</v>
      </c>
      <c r="E158" s="44">
        <v>6.79</v>
      </c>
      <c r="F158">
        <v>2002</v>
      </c>
    </row>
    <row r="159" spans="1:6" ht="15" customHeight="1" x14ac:dyDescent="0.3">
      <c r="A159" s="42" t="s">
        <v>218</v>
      </c>
      <c r="B159" s="43">
        <v>37655</v>
      </c>
      <c r="C159" s="42" t="s">
        <v>24</v>
      </c>
      <c r="D159" s="44">
        <v>0.38</v>
      </c>
      <c r="E159" s="44">
        <v>0.35</v>
      </c>
      <c r="F159">
        <v>2003</v>
      </c>
    </row>
    <row r="160" spans="1:6" ht="15" customHeight="1" x14ac:dyDescent="0.3">
      <c r="A160" s="42" t="s">
        <v>219</v>
      </c>
      <c r="B160" s="43">
        <v>37691</v>
      </c>
      <c r="C160" s="42" t="s">
        <v>24</v>
      </c>
      <c r="D160" s="44">
        <v>0.23</v>
      </c>
      <c r="E160" s="44">
        <v>0.08</v>
      </c>
      <c r="F160">
        <v>2003</v>
      </c>
    </row>
    <row r="161" spans="1:6" ht="15" customHeight="1" x14ac:dyDescent="0.3">
      <c r="A161" s="42" t="s">
        <v>221</v>
      </c>
      <c r="B161" s="43">
        <v>37713</v>
      </c>
      <c r="C161" s="42" t="s">
        <v>24</v>
      </c>
      <c r="D161" s="45"/>
      <c r="E161" s="45"/>
      <c r="F161">
        <v>2003</v>
      </c>
    </row>
    <row r="162" spans="1:6" ht="15" customHeight="1" x14ac:dyDescent="0.3">
      <c r="A162" s="42" t="s">
        <v>222</v>
      </c>
      <c r="B162" s="43">
        <v>37748</v>
      </c>
      <c r="C162" s="42" t="s">
        <v>24</v>
      </c>
      <c r="D162" s="44">
        <v>9.18</v>
      </c>
      <c r="E162" s="44">
        <v>5.61</v>
      </c>
      <c r="F162">
        <v>2003</v>
      </c>
    </row>
    <row r="163" spans="1:6" ht="15" customHeight="1" x14ac:dyDescent="0.3">
      <c r="A163" s="42" t="s">
        <v>223</v>
      </c>
      <c r="B163" s="43">
        <v>37776</v>
      </c>
      <c r="C163" s="42" t="s">
        <v>24</v>
      </c>
      <c r="D163" s="44">
        <v>12.98</v>
      </c>
      <c r="E163" s="44">
        <v>8.7100000000000009</v>
      </c>
      <c r="F163">
        <v>2003</v>
      </c>
    </row>
    <row r="164" spans="1:6" ht="15" customHeight="1" x14ac:dyDescent="0.3">
      <c r="A164" s="42" t="s">
        <v>225</v>
      </c>
      <c r="B164" s="43">
        <v>37811</v>
      </c>
      <c r="C164" s="42" t="s">
        <v>24</v>
      </c>
      <c r="D164" s="44">
        <v>18.97</v>
      </c>
      <c r="E164" s="44">
        <v>15.07</v>
      </c>
      <c r="F164">
        <v>2003</v>
      </c>
    </row>
    <row r="165" spans="1:6" ht="15" customHeight="1" x14ac:dyDescent="0.3">
      <c r="A165" s="42" t="s">
        <v>226</v>
      </c>
      <c r="B165" s="43">
        <v>37826</v>
      </c>
      <c r="C165" s="42" t="s">
        <v>24</v>
      </c>
      <c r="D165" s="44">
        <v>20.38</v>
      </c>
      <c r="E165" s="44">
        <v>15.99</v>
      </c>
      <c r="F165">
        <v>2003</v>
      </c>
    </row>
    <row r="166" spans="1:6" ht="15" customHeight="1" x14ac:dyDescent="0.3">
      <c r="A166" s="42" t="s">
        <v>227</v>
      </c>
      <c r="B166" s="43">
        <v>37838</v>
      </c>
      <c r="C166" s="42" t="s">
        <v>24</v>
      </c>
      <c r="D166" s="44">
        <v>20.55</v>
      </c>
      <c r="E166" s="44">
        <v>18.21</v>
      </c>
      <c r="F166">
        <v>2003</v>
      </c>
    </row>
    <row r="167" spans="1:6" ht="15" customHeight="1" x14ac:dyDescent="0.3">
      <c r="A167" s="42" t="s">
        <v>228</v>
      </c>
      <c r="B167" s="43">
        <v>37852</v>
      </c>
      <c r="C167" s="42" t="s">
        <v>24</v>
      </c>
      <c r="D167" s="44">
        <v>23.35</v>
      </c>
      <c r="E167" s="44">
        <v>18.71</v>
      </c>
      <c r="F167">
        <v>2003</v>
      </c>
    </row>
    <row r="168" spans="1:6" ht="15" customHeight="1" x14ac:dyDescent="0.3">
      <c r="A168" s="42" t="s">
        <v>229</v>
      </c>
      <c r="B168" s="43">
        <v>37872</v>
      </c>
      <c r="C168" s="42" t="s">
        <v>24</v>
      </c>
      <c r="D168" s="44">
        <v>21.35</v>
      </c>
      <c r="E168" s="44">
        <v>20.62</v>
      </c>
      <c r="F168">
        <v>2003</v>
      </c>
    </row>
    <row r="169" spans="1:6" ht="15" customHeight="1" x14ac:dyDescent="0.3">
      <c r="A169" s="42" t="s">
        <v>230</v>
      </c>
      <c r="B169" s="43">
        <v>37901</v>
      </c>
      <c r="C169" s="42" t="s">
        <v>24</v>
      </c>
      <c r="D169" s="44">
        <v>18.829999999999998</v>
      </c>
      <c r="E169" s="44">
        <v>19.14</v>
      </c>
      <c r="F169">
        <v>2003</v>
      </c>
    </row>
    <row r="170" spans="1:6" ht="15" customHeight="1" x14ac:dyDescent="0.3">
      <c r="A170" s="42" t="s">
        <v>231</v>
      </c>
      <c r="B170" s="43">
        <v>37929</v>
      </c>
      <c r="C170" s="42" t="s">
        <v>24</v>
      </c>
      <c r="D170" s="44">
        <v>15.39</v>
      </c>
      <c r="E170" s="44">
        <v>15.08</v>
      </c>
      <c r="F170">
        <v>2003</v>
      </c>
    </row>
    <row r="171" spans="1:6" ht="15" customHeight="1" x14ac:dyDescent="0.3">
      <c r="A171" s="42" t="s">
        <v>232</v>
      </c>
      <c r="B171" s="43">
        <v>37965</v>
      </c>
      <c r="C171" s="42" t="s">
        <v>24</v>
      </c>
      <c r="D171" s="44">
        <v>7.8</v>
      </c>
      <c r="E171" s="44">
        <v>7.5</v>
      </c>
      <c r="F171">
        <v>2003</v>
      </c>
    </row>
    <row r="172" spans="1:6" ht="15" customHeight="1" x14ac:dyDescent="0.3">
      <c r="A172" s="42" t="s">
        <v>497</v>
      </c>
      <c r="B172" s="43">
        <v>37999</v>
      </c>
      <c r="C172" s="42" t="s">
        <v>24</v>
      </c>
      <c r="D172" s="44">
        <v>3.2</v>
      </c>
      <c r="E172" s="44">
        <v>3.59</v>
      </c>
      <c r="F172">
        <v>2004</v>
      </c>
    </row>
    <row r="173" spans="1:6" ht="15" customHeight="1" x14ac:dyDescent="0.3">
      <c r="A173" s="42" t="s">
        <v>233</v>
      </c>
      <c r="B173" s="43">
        <v>38020</v>
      </c>
      <c r="C173" s="42" t="s">
        <v>24</v>
      </c>
      <c r="D173" s="44">
        <v>-0.63</v>
      </c>
      <c r="E173" s="44">
        <v>-0.56000000000000005</v>
      </c>
      <c r="F173">
        <v>2004</v>
      </c>
    </row>
    <row r="174" spans="1:6" ht="15" customHeight="1" x14ac:dyDescent="0.3">
      <c r="A174" s="42" t="s">
        <v>235</v>
      </c>
      <c r="B174" s="43">
        <v>38048</v>
      </c>
      <c r="C174" s="42" t="s">
        <v>24</v>
      </c>
      <c r="D174" s="44">
        <v>1.96</v>
      </c>
      <c r="E174" s="44">
        <v>0.88</v>
      </c>
      <c r="F174">
        <v>2004</v>
      </c>
    </row>
    <row r="175" spans="1:6" ht="15" customHeight="1" x14ac:dyDescent="0.3">
      <c r="A175" s="42" t="s">
        <v>237</v>
      </c>
      <c r="B175" s="43">
        <v>38089</v>
      </c>
      <c r="C175" s="42" t="s">
        <v>24</v>
      </c>
      <c r="D175" s="44">
        <v>4.96</v>
      </c>
      <c r="E175" s="44">
        <v>3.71</v>
      </c>
      <c r="F175">
        <v>2004</v>
      </c>
    </row>
    <row r="176" spans="1:6" ht="15" customHeight="1" x14ac:dyDescent="0.3">
      <c r="A176" s="42" t="s">
        <v>238</v>
      </c>
      <c r="B176" s="43">
        <v>38112</v>
      </c>
      <c r="C176" s="42" t="s">
        <v>24</v>
      </c>
      <c r="D176" s="46">
        <v>9.86</v>
      </c>
      <c r="E176" s="46">
        <v>6.7</v>
      </c>
      <c r="F176">
        <v>2004</v>
      </c>
    </row>
    <row r="177" spans="1:6" ht="15" customHeight="1" x14ac:dyDescent="0.3">
      <c r="A177" s="42" t="s">
        <v>239</v>
      </c>
      <c r="B177" s="43">
        <v>38141</v>
      </c>
      <c r="C177" s="42" t="s">
        <v>24</v>
      </c>
      <c r="D177" s="44">
        <v>15.01</v>
      </c>
      <c r="E177" s="44">
        <v>9.9700000000000006</v>
      </c>
      <c r="F177">
        <v>2004</v>
      </c>
    </row>
    <row r="178" spans="1:6" ht="15" customHeight="1" x14ac:dyDescent="0.3">
      <c r="A178" s="42" t="s">
        <v>240</v>
      </c>
      <c r="B178" s="43">
        <v>38166</v>
      </c>
      <c r="C178" s="42" t="s">
        <v>24</v>
      </c>
      <c r="D178" s="44">
        <v>18.11</v>
      </c>
      <c r="E178" s="44">
        <v>15.51</v>
      </c>
      <c r="F178">
        <v>2004</v>
      </c>
    </row>
    <row r="179" spans="1:6" ht="15" customHeight="1" x14ac:dyDescent="0.3">
      <c r="A179" s="42" t="s">
        <v>241</v>
      </c>
      <c r="B179" s="43">
        <v>38175</v>
      </c>
      <c r="C179" s="42" t="s">
        <v>24</v>
      </c>
      <c r="D179" s="44">
        <v>19.8</v>
      </c>
      <c r="E179" s="44">
        <v>15.7</v>
      </c>
      <c r="F179">
        <v>2004</v>
      </c>
    </row>
    <row r="180" spans="1:6" ht="15" customHeight="1" x14ac:dyDescent="0.3">
      <c r="A180" s="42" t="s">
        <v>242</v>
      </c>
      <c r="B180" s="43">
        <v>38187</v>
      </c>
      <c r="C180" s="42" t="s">
        <v>24</v>
      </c>
      <c r="D180" s="44">
        <v>20.87</v>
      </c>
      <c r="E180" s="44">
        <v>16.48</v>
      </c>
      <c r="F180">
        <v>2004</v>
      </c>
    </row>
    <row r="181" spans="1:6" ht="15" customHeight="1" x14ac:dyDescent="0.3">
      <c r="A181" s="42" t="s">
        <v>243</v>
      </c>
      <c r="B181" s="43">
        <v>38201</v>
      </c>
      <c r="C181" s="42" t="s">
        <v>24</v>
      </c>
      <c r="D181" s="44">
        <v>21.55</v>
      </c>
      <c r="E181" s="44">
        <v>18.3</v>
      </c>
      <c r="F181">
        <v>2004</v>
      </c>
    </row>
    <row r="182" spans="1:6" ht="15" customHeight="1" x14ac:dyDescent="0.3">
      <c r="A182" s="42" t="s">
        <v>244</v>
      </c>
      <c r="B182" s="43">
        <v>38218</v>
      </c>
      <c r="C182" s="42" t="s">
        <v>24</v>
      </c>
      <c r="D182" s="44">
        <v>22.32</v>
      </c>
      <c r="E182" s="44">
        <v>20.56</v>
      </c>
      <c r="F182">
        <v>2004</v>
      </c>
    </row>
    <row r="183" spans="1:6" ht="15" customHeight="1" x14ac:dyDescent="0.3">
      <c r="A183" s="42" t="s">
        <v>245</v>
      </c>
      <c r="B183" s="43">
        <v>38231</v>
      </c>
      <c r="C183" s="42" t="s">
        <v>24</v>
      </c>
      <c r="D183" s="44">
        <v>23.43</v>
      </c>
      <c r="E183" s="44">
        <v>21</v>
      </c>
      <c r="F183">
        <v>2004</v>
      </c>
    </row>
    <row r="184" spans="1:6" ht="15" customHeight="1" x14ac:dyDescent="0.3">
      <c r="A184" s="42" t="s">
        <v>246</v>
      </c>
      <c r="B184" s="43">
        <v>38266</v>
      </c>
      <c r="C184" s="42" t="s">
        <v>24</v>
      </c>
      <c r="D184" s="44">
        <v>20.239999999999998</v>
      </c>
      <c r="E184" s="44">
        <v>20.239999999999998</v>
      </c>
      <c r="F184">
        <v>2004</v>
      </c>
    </row>
    <row r="185" spans="1:6" ht="15" customHeight="1" x14ac:dyDescent="0.3">
      <c r="A185" s="42" t="s">
        <v>247</v>
      </c>
      <c r="B185" s="43">
        <v>38320</v>
      </c>
      <c r="C185" s="42" t="s">
        <v>24</v>
      </c>
      <c r="D185" s="44">
        <v>10.93</v>
      </c>
      <c r="E185" s="44">
        <v>10.87</v>
      </c>
      <c r="F185">
        <v>2004</v>
      </c>
    </row>
    <row r="186" spans="1:6" ht="15" customHeight="1" x14ac:dyDescent="0.3">
      <c r="A186" s="42" t="s">
        <v>248</v>
      </c>
      <c r="B186" s="43">
        <v>38363</v>
      </c>
      <c r="C186" s="42" t="s">
        <v>24</v>
      </c>
      <c r="D186" s="44">
        <v>5.05</v>
      </c>
      <c r="E186" s="44">
        <v>5.04</v>
      </c>
      <c r="F186">
        <v>2005</v>
      </c>
    </row>
    <row r="187" spans="1:6" ht="15" customHeight="1" x14ac:dyDescent="0.3">
      <c r="A187" s="42" t="s">
        <v>249</v>
      </c>
      <c r="B187" s="43">
        <v>38384</v>
      </c>
      <c r="C187" s="42" t="s">
        <v>24</v>
      </c>
      <c r="D187" s="44">
        <v>0.97</v>
      </c>
      <c r="E187" s="44">
        <v>1.1599999999999999</v>
      </c>
      <c r="F187">
        <v>2005</v>
      </c>
    </row>
    <row r="188" spans="1:6" ht="15" customHeight="1" x14ac:dyDescent="0.3">
      <c r="A188" s="42" t="s">
        <v>250</v>
      </c>
      <c r="B188" s="43">
        <v>38422</v>
      </c>
      <c r="C188" s="42" t="s">
        <v>24</v>
      </c>
      <c r="D188" s="46">
        <v>0.94</v>
      </c>
      <c r="E188" s="46">
        <v>1.19</v>
      </c>
      <c r="F188">
        <v>2005</v>
      </c>
    </row>
    <row r="189" spans="1:6" ht="15" customHeight="1" x14ac:dyDescent="0.3">
      <c r="A189" s="42" t="s">
        <v>251</v>
      </c>
      <c r="B189" s="43">
        <v>38450</v>
      </c>
      <c r="C189" s="42" t="s">
        <v>24</v>
      </c>
      <c r="D189" s="44">
        <v>5.01</v>
      </c>
      <c r="E189" s="44">
        <v>2.82</v>
      </c>
      <c r="F189">
        <v>2005</v>
      </c>
    </row>
    <row r="190" spans="1:6" ht="15" customHeight="1" x14ac:dyDescent="0.3">
      <c r="A190" s="42" t="s">
        <v>252</v>
      </c>
      <c r="B190" s="43">
        <v>38477</v>
      </c>
      <c r="C190" s="42" t="s">
        <v>24</v>
      </c>
      <c r="D190" s="44">
        <v>10.88</v>
      </c>
      <c r="E190" s="44">
        <v>6.56</v>
      </c>
      <c r="F190">
        <v>2005</v>
      </c>
    </row>
    <row r="191" spans="1:6" ht="15" customHeight="1" x14ac:dyDescent="0.3">
      <c r="A191" s="42" t="s">
        <v>253</v>
      </c>
      <c r="B191" s="43">
        <v>38511</v>
      </c>
      <c r="C191" s="42" t="s">
        <v>24</v>
      </c>
      <c r="D191" s="44">
        <v>15.56</v>
      </c>
      <c r="E191" s="44">
        <v>11.23</v>
      </c>
      <c r="F191">
        <v>2005</v>
      </c>
    </row>
    <row r="192" spans="1:6" ht="15" customHeight="1" x14ac:dyDescent="0.3">
      <c r="A192" s="42" t="s">
        <v>255</v>
      </c>
      <c r="B192" s="43">
        <v>38540</v>
      </c>
      <c r="C192" s="42" t="s">
        <v>24</v>
      </c>
      <c r="D192" s="44">
        <v>18.899999999999999</v>
      </c>
      <c r="E192" s="44">
        <v>13.86</v>
      </c>
      <c r="F192">
        <v>2005</v>
      </c>
    </row>
    <row r="193" spans="1:6" ht="15" customHeight="1" x14ac:dyDescent="0.3">
      <c r="A193" s="42" t="s">
        <v>256</v>
      </c>
      <c r="B193" s="43">
        <v>38551</v>
      </c>
      <c r="C193" s="42" t="s">
        <v>24</v>
      </c>
      <c r="D193" s="44">
        <v>21.49</v>
      </c>
      <c r="E193" s="44">
        <v>15.4</v>
      </c>
      <c r="F193">
        <v>2005</v>
      </c>
    </row>
    <row r="194" spans="1:6" ht="15" customHeight="1" x14ac:dyDescent="0.3">
      <c r="A194" s="42" t="s">
        <v>257</v>
      </c>
      <c r="B194" s="43">
        <v>38568</v>
      </c>
      <c r="C194" s="42" t="s">
        <v>24</v>
      </c>
      <c r="D194" s="44">
        <v>24.63</v>
      </c>
      <c r="E194" s="44">
        <v>17.73</v>
      </c>
      <c r="F194">
        <v>2005</v>
      </c>
    </row>
    <row r="195" spans="1:6" ht="15" customHeight="1" x14ac:dyDescent="0.3">
      <c r="A195" s="42" t="s">
        <v>258</v>
      </c>
      <c r="B195" s="43">
        <v>38580</v>
      </c>
      <c r="C195" s="42" t="s">
        <v>24</v>
      </c>
      <c r="D195" s="44">
        <v>24.16</v>
      </c>
      <c r="E195" s="44">
        <v>20.27</v>
      </c>
      <c r="F195">
        <v>2005</v>
      </c>
    </row>
    <row r="196" spans="1:6" ht="15" customHeight="1" x14ac:dyDescent="0.3">
      <c r="A196" s="42" t="s">
        <v>259</v>
      </c>
      <c r="B196" s="43">
        <v>38597</v>
      </c>
      <c r="C196" s="42" t="s">
        <v>24</v>
      </c>
      <c r="D196" s="44">
        <v>23.29</v>
      </c>
      <c r="E196" s="44">
        <v>21.65</v>
      </c>
      <c r="F196">
        <v>2005</v>
      </c>
    </row>
    <row r="197" spans="1:6" ht="15" customHeight="1" x14ac:dyDescent="0.3">
      <c r="A197" s="42" t="s">
        <v>261</v>
      </c>
      <c r="B197" s="43">
        <v>38636</v>
      </c>
      <c r="C197" s="42" t="s">
        <v>24</v>
      </c>
      <c r="D197" s="44">
        <v>20.75</v>
      </c>
      <c r="E197" s="44">
        <v>20.77</v>
      </c>
      <c r="F197">
        <v>2005</v>
      </c>
    </row>
    <row r="198" spans="1:6" ht="15" customHeight="1" x14ac:dyDescent="0.3">
      <c r="A198" s="42" t="s">
        <v>262</v>
      </c>
      <c r="B198" s="43">
        <v>38670</v>
      </c>
      <c r="C198" s="42" t="s">
        <v>24</v>
      </c>
      <c r="D198" s="44">
        <v>13.66</v>
      </c>
      <c r="E198" s="44">
        <v>13.7</v>
      </c>
      <c r="F198">
        <v>2005</v>
      </c>
    </row>
    <row r="199" spans="1:6" ht="15" customHeight="1" x14ac:dyDescent="0.3">
      <c r="A199" s="42" t="s">
        <v>263</v>
      </c>
      <c r="B199" s="43">
        <v>38694</v>
      </c>
      <c r="C199" s="42" t="s">
        <v>24</v>
      </c>
      <c r="D199" s="44">
        <v>8.6999999999999993</v>
      </c>
      <c r="E199" s="44">
        <v>8.9600000000000009</v>
      </c>
      <c r="F199">
        <v>2005</v>
      </c>
    </row>
    <row r="200" spans="1:6" ht="15" customHeight="1" x14ac:dyDescent="0.3">
      <c r="A200" s="42" t="s">
        <v>264</v>
      </c>
      <c r="B200" s="43">
        <v>38783</v>
      </c>
      <c r="C200" s="42" t="s">
        <v>24</v>
      </c>
      <c r="D200" s="44">
        <v>2.11</v>
      </c>
      <c r="E200" s="44">
        <v>2.44</v>
      </c>
      <c r="F200">
        <v>2006</v>
      </c>
    </row>
    <row r="201" spans="1:6" ht="15" customHeight="1" x14ac:dyDescent="0.3">
      <c r="A201" s="42" t="s">
        <v>498</v>
      </c>
      <c r="B201" s="43">
        <v>38819</v>
      </c>
      <c r="C201" s="42" t="s">
        <v>24</v>
      </c>
      <c r="D201" s="44">
        <v>6.6</v>
      </c>
      <c r="E201" s="44">
        <v>5.74</v>
      </c>
      <c r="F201">
        <v>2006</v>
      </c>
    </row>
    <row r="202" spans="1:6" ht="15" customHeight="1" x14ac:dyDescent="0.3">
      <c r="A202" s="42" t="s">
        <v>265</v>
      </c>
      <c r="B202" s="43">
        <v>38841</v>
      </c>
      <c r="C202" s="42" t="s">
        <v>24</v>
      </c>
      <c r="D202" s="44">
        <v>10.79</v>
      </c>
      <c r="E202" s="44">
        <v>7.06</v>
      </c>
      <c r="F202">
        <v>2006</v>
      </c>
    </row>
    <row r="203" spans="1:6" ht="15" customHeight="1" x14ac:dyDescent="0.3">
      <c r="A203" s="42" t="s">
        <v>266</v>
      </c>
      <c r="B203" s="43">
        <v>38874</v>
      </c>
      <c r="C203" s="42" t="s">
        <v>24</v>
      </c>
      <c r="D203" s="44">
        <v>16.09</v>
      </c>
      <c r="E203" s="44">
        <v>11.46</v>
      </c>
      <c r="F203">
        <v>2006</v>
      </c>
    </row>
    <row r="204" spans="1:6" ht="15" customHeight="1" x14ac:dyDescent="0.3">
      <c r="A204" s="42" t="s">
        <v>268</v>
      </c>
      <c r="B204" s="43">
        <v>38904</v>
      </c>
      <c r="C204" s="42" t="s">
        <v>24</v>
      </c>
      <c r="D204" s="44">
        <v>21.2</v>
      </c>
      <c r="E204" s="45"/>
      <c r="F204">
        <v>2006</v>
      </c>
    </row>
    <row r="205" spans="1:6" ht="15" customHeight="1" x14ac:dyDescent="0.3">
      <c r="A205" s="42" t="s">
        <v>269</v>
      </c>
      <c r="B205" s="43">
        <v>38917</v>
      </c>
      <c r="C205" s="42" t="s">
        <v>24</v>
      </c>
      <c r="D205" s="44">
        <v>23.22</v>
      </c>
      <c r="E205" s="44">
        <v>16.989999999999998</v>
      </c>
      <c r="F205">
        <v>2006</v>
      </c>
    </row>
    <row r="206" spans="1:6" ht="15" customHeight="1" x14ac:dyDescent="0.3">
      <c r="A206" s="42" t="s">
        <v>270</v>
      </c>
      <c r="B206" s="43">
        <v>38930</v>
      </c>
      <c r="C206" s="42" t="s">
        <v>24</v>
      </c>
      <c r="D206" s="44">
        <v>25.44</v>
      </c>
      <c r="E206" s="44">
        <v>18.010000000000002</v>
      </c>
      <c r="F206">
        <v>2006</v>
      </c>
    </row>
    <row r="207" spans="1:6" ht="15" customHeight="1" x14ac:dyDescent="0.3">
      <c r="A207" s="42" t="s">
        <v>271</v>
      </c>
      <c r="B207" s="43">
        <v>38945</v>
      </c>
      <c r="C207" s="42" t="s">
        <v>24</v>
      </c>
      <c r="D207" s="44">
        <v>22.25</v>
      </c>
      <c r="E207" s="44">
        <v>20.67</v>
      </c>
      <c r="F207">
        <v>2006</v>
      </c>
    </row>
    <row r="208" spans="1:6" ht="15" customHeight="1" x14ac:dyDescent="0.3">
      <c r="A208" s="42" t="s">
        <v>272</v>
      </c>
      <c r="B208" s="43">
        <v>38959</v>
      </c>
      <c r="C208" s="42" t="s">
        <v>24</v>
      </c>
      <c r="D208" s="44">
        <v>21.8</v>
      </c>
      <c r="E208" s="44">
        <v>21.56</v>
      </c>
      <c r="F208">
        <v>2006</v>
      </c>
    </row>
    <row r="209" spans="1:6" ht="15" customHeight="1" x14ac:dyDescent="0.3">
      <c r="A209" s="42" t="s">
        <v>273</v>
      </c>
      <c r="B209" s="43">
        <v>38994</v>
      </c>
      <c r="C209" s="42" t="s">
        <v>24</v>
      </c>
      <c r="D209" s="44">
        <v>19.73</v>
      </c>
      <c r="E209" s="44">
        <v>19.82</v>
      </c>
      <c r="F209">
        <v>2006</v>
      </c>
    </row>
    <row r="210" spans="1:6" ht="15" customHeight="1" x14ac:dyDescent="0.3">
      <c r="A210" s="42" t="s">
        <v>274</v>
      </c>
      <c r="B210" s="43">
        <v>39028</v>
      </c>
      <c r="C210" s="42" t="s">
        <v>24</v>
      </c>
      <c r="D210" s="44">
        <v>13.49</v>
      </c>
      <c r="E210" s="44">
        <v>13.63</v>
      </c>
      <c r="F210">
        <v>2006</v>
      </c>
    </row>
    <row r="211" spans="1:6" ht="15" customHeight="1" x14ac:dyDescent="0.3">
      <c r="A211" s="42" t="s">
        <v>275</v>
      </c>
      <c r="B211" s="43">
        <v>39062</v>
      </c>
      <c r="C211" s="42" t="s">
        <v>24</v>
      </c>
      <c r="D211" s="44">
        <v>9.5500000000000007</v>
      </c>
      <c r="E211" s="44">
        <v>9.82</v>
      </c>
      <c r="F211">
        <v>2006</v>
      </c>
    </row>
    <row r="212" spans="1:6" ht="15" customHeight="1" x14ac:dyDescent="0.3">
      <c r="A212" s="42" t="s">
        <v>276</v>
      </c>
      <c r="B212" s="43">
        <v>39093</v>
      </c>
      <c r="C212" s="42" t="s">
        <v>24</v>
      </c>
      <c r="D212" s="44">
        <v>7.4</v>
      </c>
      <c r="E212" s="44">
        <v>7.16</v>
      </c>
      <c r="F212">
        <v>2007</v>
      </c>
    </row>
    <row r="213" spans="1:6" ht="15" customHeight="1" x14ac:dyDescent="0.3">
      <c r="A213" s="42" t="s">
        <v>277</v>
      </c>
      <c r="B213" s="43">
        <v>39126</v>
      </c>
      <c r="C213" s="42" t="s">
        <v>24</v>
      </c>
      <c r="D213" s="44">
        <v>1.58</v>
      </c>
      <c r="E213" s="44">
        <v>2.12</v>
      </c>
      <c r="F213">
        <v>2007</v>
      </c>
    </row>
    <row r="214" spans="1:6" ht="15" customHeight="1" x14ac:dyDescent="0.3">
      <c r="A214" s="42" t="s">
        <v>278</v>
      </c>
      <c r="B214" s="43">
        <v>39154</v>
      </c>
      <c r="C214" s="42" t="s">
        <v>24</v>
      </c>
      <c r="D214" s="44">
        <v>1.45</v>
      </c>
      <c r="E214" s="44">
        <v>1.29</v>
      </c>
      <c r="F214">
        <v>2007</v>
      </c>
    </row>
    <row r="215" spans="1:6" ht="15" customHeight="1" x14ac:dyDescent="0.3">
      <c r="A215" s="42" t="s">
        <v>280</v>
      </c>
      <c r="B215" s="43">
        <v>39174</v>
      </c>
      <c r="C215" s="42" t="s">
        <v>24</v>
      </c>
      <c r="D215" s="44">
        <v>4.2</v>
      </c>
      <c r="E215" s="44">
        <v>2.44</v>
      </c>
      <c r="F215">
        <v>2007</v>
      </c>
    </row>
    <row r="216" spans="1:6" ht="15" customHeight="1" x14ac:dyDescent="0.3">
      <c r="A216" s="42" t="s">
        <v>281</v>
      </c>
      <c r="B216" s="43">
        <v>39209</v>
      </c>
      <c r="C216" s="42" t="s">
        <v>24</v>
      </c>
      <c r="D216" s="44">
        <v>11.03</v>
      </c>
      <c r="E216" s="44">
        <v>5.43</v>
      </c>
      <c r="F216">
        <v>2007</v>
      </c>
    </row>
    <row r="217" spans="1:6" ht="15" customHeight="1" x14ac:dyDescent="0.3">
      <c r="A217" s="42" t="s">
        <v>282</v>
      </c>
      <c r="B217" s="43">
        <v>39238</v>
      </c>
      <c r="C217" s="42" t="s">
        <v>24</v>
      </c>
      <c r="D217" s="44">
        <v>15.92</v>
      </c>
      <c r="E217" s="44">
        <v>11.38</v>
      </c>
      <c r="F217">
        <v>2007</v>
      </c>
    </row>
    <row r="218" spans="1:6" ht="15" customHeight="1" x14ac:dyDescent="0.3">
      <c r="A218" s="42" t="s">
        <v>284</v>
      </c>
      <c r="B218" s="43">
        <v>39272</v>
      </c>
      <c r="C218" s="42" t="s">
        <v>24</v>
      </c>
      <c r="D218" s="44">
        <v>20.72</v>
      </c>
      <c r="E218" s="44">
        <v>17.53</v>
      </c>
      <c r="F218">
        <v>2007</v>
      </c>
    </row>
    <row r="219" spans="1:6" ht="15" customHeight="1" x14ac:dyDescent="0.3">
      <c r="A219" s="42" t="s">
        <v>285</v>
      </c>
      <c r="B219" s="43">
        <v>39282</v>
      </c>
      <c r="C219" s="42" t="s">
        <v>24</v>
      </c>
      <c r="D219" s="44">
        <v>20.56</v>
      </c>
      <c r="E219" s="44">
        <v>17.670000000000002</v>
      </c>
      <c r="F219">
        <v>2007</v>
      </c>
    </row>
    <row r="220" spans="1:6" ht="15" customHeight="1" x14ac:dyDescent="0.3">
      <c r="A220" s="42" t="s">
        <v>286</v>
      </c>
      <c r="B220" s="43">
        <v>39294</v>
      </c>
      <c r="C220" s="42" t="s">
        <v>24</v>
      </c>
      <c r="D220" s="44">
        <v>24.1</v>
      </c>
      <c r="E220" s="44">
        <v>18.100000000000001</v>
      </c>
      <c r="F220">
        <v>2007</v>
      </c>
    </row>
    <row r="221" spans="1:6" ht="15" customHeight="1" x14ac:dyDescent="0.3">
      <c r="A221" s="42" t="s">
        <v>287</v>
      </c>
      <c r="B221" s="43">
        <v>39307</v>
      </c>
      <c r="C221" s="42" t="s">
        <v>24</v>
      </c>
      <c r="D221" s="44">
        <v>22.84</v>
      </c>
      <c r="E221" s="44">
        <v>20.079999999999998</v>
      </c>
      <c r="F221">
        <v>2007</v>
      </c>
    </row>
    <row r="222" spans="1:6" ht="15" customHeight="1" x14ac:dyDescent="0.3">
      <c r="A222" s="42" t="s">
        <v>288</v>
      </c>
      <c r="B222" s="43">
        <v>39322</v>
      </c>
      <c r="C222" s="42" t="s">
        <v>24</v>
      </c>
      <c r="D222" s="44">
        <v>23.05</v>
      </c>
      <c r="E222" s="44">
        <v>21.78</v>
      </c>
      <c r="F222">
        <v>2007</v>
      </c>
    </row>
    <row r="223" spans="1:6" ht="15" customHeight="1" x14ac:dyDescent="0.3">
      <c r="A223" s="42" t="s">
        <v>290</v>
      </c>
      <c r="B223" s="43">
        <v>39357</v>
      </c>
      <c r="C223" s="42" t="s">
        <v>24</v>
      </c>
      <c r="D223" s="44">
        <v>21.16</v>
      </c>
      <c r="E223" s="44">
        <v>20.85</v>
      </c>
      <c r="F223">
        <v>2007</v>
      </c>
    </row>
    <row r="224" spans="1:6" ht="15" customHeight="1" x14ac:dyDescent="0.3">
      <c r="A224" s="42" t="s">
        <v>291</v>
      </c>
      <c r="B224" s="43">
        <v>39394</v>
      </c>
      <c r="C224" s="42" t="s">
        <v>24</v>
      </c>
      <c r="D224" s="44">
        <v>15.34</v>
      </c>
      <c r="E224" s="44">
        <v>15.3</v>
      </c>
      <c r="F224">
        <v>2007</v>
      </c>
    </row>
    <row r="225" spans="1:6" ht="15" customHeight="1" x14ac:dyDescent="0.3">
      <c r="A225" s="42" t="s">
        <v>292</v>
      </c>
      <c r="B225" s="43">
        <v>39426</v>
      </c>
      <c r="C225" s="42" t="s">
        <v>24</v>
      </c>
      <c r="D225" s="44">
        <v>8.31</v>
      </c>
      <c r="E225" s="44">
        <v>8.27</v>
      </c>
      <c r="F225">
        <v>2007</v>
      </c>
    </row>
    <row r="226" spans="1:6" ht="15" customHeight="1" x14ac:dyDescent="0.3">
      <c r="A226" s="42" t="s">
        <v>293</v>
      </c>
      <c r="B226" s="43">
        <v>39454</v>
      </c>
      <c r="C226" s="42" t="s">
        <v>24</v>
      </c>
      <c r="D226" s="44">
        <v>4.8899999999999997</v>
      </c>
      <c r="E226" s="44">
        <v>5</v>
      </c>
      <c r="F226">
        <v>2008</v>
      </c>
    </row>
    <row r="227" spans="1:6" ht="15" customHeight="1" x14ac:dyDescent="0.3">
      <c r="A227" s="42" t="s">
        <v>294</v>
      </c>
      <c r="B227" s="43">
        <v>39482</v>
      </c>
      <c r="C227" s="42" t="s">
        <v>24</v>
      </c>
      <c r="D227" s="44">
        <v>3.27</v>
      </c>
      <c r="E227" s="44">
        <v>3.32</v>
      </c>
      <c r="F227">
        <v>2008</v>
      </c>
    </row>
    <row r="228" spans="1:6" ht="15" customHeight="1" x14ac:dyDescent="0.3">
      <c r="A228" s="42" t="s">
        <v>296</v>
      </c>
      <c r="B228" s="43">
        <v>39513</v>
      </c>
      <c r="C228" s="42" t="s">
        <v>24</v>
      </c>
      <c r="D228" s="46">
        <v>3.08</v>
      </c>
      <c r="E228" s="46">
        <v>2.8</v>
      </c>
      <c r="F228">
        <v>2008</v>
      </c>
    </row>
    <row r="229" spans="1:6" ht="15" customHeight="1" x14ac:dyDescent="0.3">
      <c r="A229" s="42" t="s">
        <v>298</v>
      </c>
      <c r="B229" s="43">
        <v>39541</v>
      </c>
      <c r="C229" s="42" t="s">
        <v>24</v>
      </c>
      <c r="D229" s="46">
        <v>5.0199999999999996</v>
      </c>
      <c r="E229" s="44">
        <v>4.57</v>
      </c>
      <c r="F229">
        <v>2008</v>
      </c>
    </row>
    <row r="230" spans="1:6" ht="15" customHeight="1" x14ac:dyDescent="0.3">
      <c r="A230" s="42" t="s">
        <v>299</v>
      </c>
      <c r="B230" s="43">
        <v>39574</v>
      </c>
      <c r="C230" s="42" t="s">
        <v>24</v>
      </c>
      <c r="D230" s="44">
        <v>10.7</v>
      </c>
      <c r="E230" s="44">
        <v>7.45</v>
      </c>
      <c r="F230">
        <v>2008</v>
      </c>
    </row>
    <row r="231" spans="1:6" ht="15" customHeight="1" x14ac:dyDescent="0.3">
      <c r="A231" s="42" t="s">
        <v>300</v>
      </c>
      <c r="B231" s="43">
        <v>39601</v>
      </c>
      <c r="C231" s="42" t="s">
        <v>24</v>
      </c>
      <c r="D231" s="44">
        <v>16.27</v>
      </c>
      <c r="E231" s="44">
        <v>11.08</v>
      </c>
      <c r="F231">
        <v>2008</v>
      </c>
    </row>
    <row r="232" spans="1:6" ht="15" customHeight="1" x14ac:dyDescent="0.3">
      <c r="A232" s="42" t="s">
        <v>302</v>
      </c>
      <c r="B232" s="43">
        <v>39631</v>
      </c>
      <c r="C232" s="42" t="s">
        <v>24</v>
      </c>
      <c r="D232" s="44">
        <v>19.89</v>
      </c>
      <c r="E232" s="44">
        <v>14.85</v>
      </c>
      <c r="F232">
        <v>2008</v>
      </c>
    </row>
    <row r="233" spans="1:6" ht="15" customHeight="1" x14ac:dyDescent="0.3">
      <c r="A233" s="42" t="s">
        <v>303</v>
      </c>
      <c r="B233" s="43">
        <v>39650</v>
      </c>
      <c r="C233" s="42" t="s">
        <v>24</v>
      </c>
      <c r="D233" s="44">
        <v>22.06</v>
      </c>
      <c r="E233" s="44">
        <v>18.32</v>
      </c>
      <c r="F233">
        <v>2008</v>
      </c>
    </row>
    <row r="234" spans="1:6" ht="15" customHeight="1" x14ac:dyDescent="0.3">
      <c r="A234" s="42" t="s">
        <v>304</v>
      </c>
      <c r="B234" s="43">
        <v>39667</v>
      </c>
      <c r="C234" s="42" t="s">
        <v>24</v>
      </c>
      <c r="D234" s="44">
        <v>22.96</v>
      </c>
      <c r="E234" s="44">
        <v>19.559999999999999</v>
      </c>
      <c r="F234">
        <v>2008</v>
      </c>
    </row>
    <row r="235" spans="1:6" ht="15" customHeight="1" x14ac:dyDescent="0.3">
      <c r="A235" s="42" t="s">
        <v>305</v>
      </c>
      <c r="B235" s="43">
        <v>39682</v>
      </c>
      <c r="C235" s="42" t="s">
        <v>24</v>
      </c>
      <c r="D235" s="44">
        <v>22.61</v>
      </c>
      <c r="E235" s="44">
        <v>19.760000000000002</v>
      </c>
      <c r="F235">
        <v>2008</v>
      </c>
    </row>
    <row r="236" spans="1:6" ht="15" customHeight="1" x14ac:dyDescent="0.3">
      <c r="A236" s="42" t="s">
        <v>306</v>
      </c>
      <c r="B236" s="43">
        <v>39696</v>
      </c>
      <c r="C236" s="42" t="s">
        <v>24</v>
      </c>
      <c r="D236" s="44">
        <v>23.35</v>
      </c>
      <c r="E236" s="44">
        <v>21.22</v>
      </c>
      <c r="F236">
        <v>2008</v>
      </c>
    </row>
    <row r="237" spans="1:6" ht="15" customHeight="1" x14ac:dyDescent="0.3">
      <c r="A237" s="42" t="s">
        <v>308</v>
      </c>
      <c r="B237" s="43">
        <v>39727</v>
      </c>
      <c r="C237" s="42" t="s">
        <v>24</v>
      </c>
      <c r="D237" s="44">
        <v>19.55</v>
      </c>
      <c r="E237" s="44">
        <v>19.329999999999998</v>
      </c>
      <c r="F237">
        <v>2008</v>
      </c>
    </row>
    <row r="238" spans="1:6" ht="15" customHeight="1" x14ac:dyDescent="0.3">
      <c r="A238" s="42" t="s">
        <v>309</v>
      </c>
      <c r="B238" s="43">
        <v>39757</v>
      </c>
      <c r="C238" s="42" t="s">
        <v>24</v>
      </c>
      <c r="D238" s="44">
        <v>14.84</v>
      </c>
      <c r="E238" s="44">
        <v>14.86</v>
      </c>
      <c r="F238">
        <v>2008</v>
      </c>
    </row>
    <row r="239" spans="1:6" ht="15" customHeight="1" x14ac:dyDescent="0.3">
      <c r="A239" s="42" t="s">
        <v>310</v>
      </c>
      <c r="B239" s="43">
        <v>39798</v>
      </c>
      <c r="C239" s="42" t="s">
        <v>24</v>
      </c>
      <c r="D239" s="44">
        <v>7.72</v>
      </c>
      <c r="E239" s="44">
        <v>7.75</v>
      </c>
      <c r="F239">
        <v>2008</v>
      </c>
    </row>
    <row r="240" spans="1:6" ht="15" customHeight="1" x14ac:dyDescent="0.3">
      <c r="A240" s="42" t="s">
        <v>311</v>
      </c>
      <c r="B240" s="43">
        <v>39826</v>
      </c>
      <c r="C240" s="42" t="s">
        <v>24</v>
      </c>
      <c r="D240" s="44">
        <v>3.26</v>
      </c>
      <c r="E240" s="44">
        <v>3.35</v>
      </c>
      <c r="F240">
        <v>2009</v>
      </c>
    </row>
    <row r="241" spans="1:6" ht="15" customHeight="1" x14ac:dyDescent="0.3">
      <c r="A241" s="42" t="s">
        <v>312</v>
      </c>
      <c r="B241" s="43">
        <v>39846</v>
      </c>
      <c r="C241" s="42" t="s">
        <v>24</v>
      </c>
      <c r="D241" s="44">
        <v>1.4</v>
      </c>
      <c r="E241" s="44">
        <v>1.41</v>
      </c>
      <c r="F241">
        <v>2009</v>
      </c>
    </row>
    <row r="242" spans="1:6" ht="15" customHeight="1" x14ac:dyDescent="0.3">
      <c r="A242" s="42" t="s">
        <v>314</v>
      </c>
      <c r="B242" s="43">
        <v>39878</v>
      </c>
      <c r="C242" s="42" t="s">
        <v>24</v>
      </c>
      <c r="D242" s="46">
        <v>1.59</v>
      </c>
      <c r="E242" s="44">
        <v>1.77</v>
      </c>
      <c r="F242">
        <v>2009</v>
      </c>
    </row>
    <row r="243" spans="1:6" ht="15" customHeight="1" x14ac:dyDescent="0.3">
      <c r="A243" s="42" t="s">
        <v>316</v>
      </c>
      <c r="B243" s="43">
        <v>39903</v>
      </c>
      <c r="C243" s="42" t="s">
        <v>24</v>
      </c>
      <c r="D243" s="44">
        <v>4.25</v>
      </c>
      <c r="E243" s="44">
        <v>3</v>
      </c>
      <c r="F243">
        <v>2009</v>
      </c>
    </row>
    <row r="244" spans="1:6" ht="15" customHeight="1" x14ac:dyDescent="0.3">
      <c r="A244" s="42" t="s">
        <v>317</v>
      </c>
      <c r="B244" s="43">
        <v>39932</v>
      </c>
      <c r="C244" s="42" t="s">
        <v>24</v>
      </c>
      <c r="D244" s="44">
        <v>8.84</v>
      </c>
      <c r="E244" s="44">
        <v>6.15</v>
      </c>
      <c r="F244">
        <v>2009</v>
      </c>
    </row>
    <row r="245" spans="1:6" ht="15" customHeight="1" x14ac:dyDescent="0.3">
      <c r="A245" s="42" t="s">
        <v>318</v>
      </c>
      <c r="B245" s="43">
        <v>39968</v>
      </c>
      <c r="C245" s="42" t="s">
        <v>24</v>
      </c>
      <c r="D245" s="44">
        <v>15.07</v>
      </c>
      <c r="E245" s="44">
        <v>10.73</v>
      </c>
      <c r="F245">
        <v>2009</v>
      </c>
    </row>
    <row r="246" spans="1:6" ht="15" customHeight="1" x14ac:dyDescent="0.3">
      <c r="A246" s="42" t="s">
        <v>320</v>
      </c>
      <c r="B246" s="43">
        <v>40001</v>
      </c>
      <c r="C246" s="42" t="s">
        <v>24</v>
      </c>
      <c r="D246" s="44">
        <v>21.67</v>
      </c>
      <c r="E246" s="44">
        <v>13.65</v>
      </c>
      <c r="F246">
        <v>2009</v>
      </c>
    </row>
    <row r="247" spans="1:6" ht="15" customHeight="1" x14ac:dyDescent="0.3">
      <c r="A247" s="42" t="s">
        <v>321</v>
      </c>
      <c r="B247" s="43">
        <v>40014</v>
      </c>
      <c r="C247" s="42" t="s">
        <v>24</v>
      </c>
      <c r="D247" s="44">
        <v>22.21</v>
      </c>
      <c r="E247" s="44">
        <v>15.21</v>
      </c>
      <c r="F247">
        <v>2009</v>
      </c>
    </row>
    <row r="248" spans="1:6" ht="15" customHeight="1" x14ac:dyDescent="0.3">
      <c r="A248" s="42" t="s">
        <v>322</v>
      </c>
      <c r="B248" s="43">
        <v>40028</v>
      </c>
      <c r="C248" s="42" t="s">
        <v>24</v>
      </c>
      <c r="D248" s="44">
        <v>22.57</v>
      </c>
      <c r="E248" s="44">
        <v>18.07</v>
      </c>
      <c r="F248">
        <v>2009</v>
      </c>
    </row>
    <row r="249" spans="1:6" ht="15" customHeight="1" x14ac:dyDescent="0.3">
      <c r="A249" s="42" t="s">
        <v>323</v>
      </c>
      <c r="B249" s="43">
        <v>40044</v>
      </c>
      <c r="C249" s="42" t="s">
        <v>24</v>
      </c>
      <c r="D249" s="44">
        <v>24.52</v>
      </c>
      <c r="E249" s="44">
        <v>19.25</v>
      </c>
      <c r="F249">
        <v>2009</v>
      </c>
    </row>
    <row r="250" spans="1:6" ht="15" customHeight="1" x14ac:dyDescent="0.3">
      <c r="A250" s="42" t="s">
        <v>324</v>
      </c>
      <c r="B250" s="43">
        <v>40058</v>
      </c>
      <c r="C250" s="42" t="s">
        <v>24</v>
      </c>
      <c r="D250" s="44">
        <v>22.59</v>
      </c>
      <c r="E250" s="44">
        <v>20.89</v>
      </c>
      <c r="F250">
        <v>2009</v>
      </c>
    </row>
    <row r="251" spans="1:6" ht="15" customHeight="1" x14ac:dyDescent="0.3">
      <c r="A251" s="42" t="s">
        <v>325</v>
      </c>
      <c r="B251" s="43">
        <v>40094</v>
      </c>
      <c r="C251" s="42" t="s">
        <v>24</v>
      </c>
      <c r="D251" s="44">
        <v>18.86</v>
      </c>
      <c r="E251" s="44">
        <v>18.670000000000002</v>
      </c>
      <c r="F251">
        <v>2009</v>
      </c>
    </row>
    <row r="252" spans="1:6" ht="15" customHeight="1" x14ac:dyDescent="0.3">
      <c r="A252" s="42" t="s">
        <v>326</v>
      </c>
      <c r="B252" s="43">
        <v>40122</v>
      </c>
      <c r="C252" s="42" t="s">
        <v>24</v>
      </c>
      <c r="D252" s="44">
        <v>14.56</v>
      </c>
      <c r="E252" s="44">
        <v>14.6</v>
      </c>
      <c r="F252">
        <v>2009</v>
      </c>
    </row>
    <row r="253" spans="1:6" ht="15" customHeight="1" x14ac:dyDescent="0.3">
      <c r="A253" s="42" t="s">
        <v>327</v>
      </c>
      <c r="B253" s="43">
        <v>40154</v>
      </c>
      <c r="C253" s="42" t="s">
        <v>24</v>
      </c>
      <c r="D253" s="44">
        <v>10.75</v>
      </c>
      <c r="E253" s="44">
        <v>10.83</v>
      </c>
      <c r="F253">
        <v>2009</v>
      </c>
    </row>
    <row r="254" spans="1:6" ht="15" customHeight="1" x14ac:dyDescent="0.3">
      <c r="A254" s="42" t="s">
        <v>328</v>
      </c>
      <c r="B254" s="43">
        <v>40186</v>
      </c>
      <c r="C254" s="42" t="s">
        <v>24</v>
      </c>
      <c r="D254" s="44">
        <v>3.12</v>
      </c>
      <c r="E254" s="44">
        <v>3.35</v>
      </c>
      <c r="F254">
        <v>2010</v>
      </c>
    </row>
    <row r="255" spans="1:6" ht="15" customHeight="1" x14ac:dyDescent="0.3">
      <c r="A255" s="42" t="s">
        <v>329</v>
      </c>
      <c r="B255" s="43">
        <v>40218</v>
      </c>
      <c r="C255" s="42" t="s">
        <v>24</v>
      </c>
      <c r="D255" s="44">
        <v>1.38</v>
      </c>
      <c r="E255" s="44">
        <v>1.57</v>
      </c>
      <c r="F255">
        <v>2010</v>
      </c>
    </row>
    <row r="256" spans="1:6" ht="15" customHeight="1" x14ac:dyDescent="0.3">
      <c r="A256" s="42" t="s">
        <v>330</v>
      </c>
      <c r="B256" s="43">
        <v>40242</v>
      </c>
      <c r="C256" s="42" t="s">
        <v>24</v>
      </c>
      <c r="D256" s="44">
        <v>2.46</v>
      </c>
      <c r="E256" s="44">
        <v>2.0499999999999998</v>
      </c>
      <c r="F256">
        <v>2010</v>
      </c>
    </row>
    <row r="257" spans="1:6" ht="15" customHeight="1" x14ac:dyDescent="0.3">
      <c r="A257" s="42" t="s">
        <v>332</v>
      </c>
      <c r="B257" s="43">
        <v>40269</v>
      </c>
      <c r="C257" s="42" t="s">
        <v>24</v>
      </c>
      <c r="D257" s="44">
        <v>5.28</v>
      </c>
      <c r="E257" s="44">
        <v>4.22</v>
      </c>
      <c r="F257">
        <v>2010</v>
      </c>
    </row>
    <row r="258" spans="1:6" ht="15" customHeight="1" x14ac:dyDescent="0.3">
      <c r="A258" s="42" t="s">
        <v>333</v>
      </c>
      <c r="B258" s="43">
        <v>40303</v>
      </c>
      <c r="C258" s="42" t="s">
        <v>24</v>
      </c>
      <c r="D258" s="44">
        <v>11.39</v>
      </c>
      <c r="E258" s="44">
        <v>8.89</v>
      </c>
      <c r="F258">
        <v>2010</v>
      </c>
    </row>
    <row r="259" spans="1:6" ht="15" customHeight="1" x14ac:dyDescent="0.3">
      <c r="A259" s="42" t="s">
        <v>334</v>
      </c>
      <c r="B259" s="43">
        <v>40332</v>
      </c>
      <c r="C259" s="42" t="s">
        <v>24</v>
      </c>
      <c r="D259" s="44">
        <v>17.440000000000001</v>
      </c>
      <c r="E259" s="44">
        <v>11.96</v>
      </c>
      <c r="F259">
        <v>2010</v>
      </c>
    </row>
    <row r="260" spans="1:6" ht="15" customHeight="1" x14ac:dyDescent="0.3">
      <c r="A260" s="42" t="s">
        <v>336</v>
      </c>
      <c r="B260" s="43">
        <v>40368</v>
      </c>
      <c r="C260" s="42" t="s">
        <v>24</v>
      </c>
      <c r="D260" s="44">
        <v>23.15</v>
      </c>
      <c r="E260" s="44">
        <v>15.67</v>
      </c>
      <c r="F260">
        <v>2010</v>
      </c>
    </row>
    <row r="261" spans="1:6" ht="15" customHeight="1" x14ac:dyDescent="0.3">
      <c r="A261" s="42" t="s">
        <v>337</v>
      </c>
      <c r="B261" s="43">
        <v>40380</v>
      </c>
      <c r="C261" s="42" t="s">
        <v>24</v>
      </c>
      <c r="D261" s="44">
        <v>24.04</v>
      </c>
      <c r="E261" s="44">
        <v>18.86</v>
      </c>
      <c r="F261">
        <v>2010</v>
      </c>
    </row>
    <row r="262" spans="1:6" ht="15" customHeight="1" x14ac:dyDescent="0.3">
      <c r="A262" s="42" t="s">
        <v>338</v>
      </c>
      <c r="B262" s="43">
        <v>40394</v>
      </c>
      <c r="C262" s="42" t="s">
        <v>24</v>
      </c>
      <c r="D262" s="44">
        <v>22.81</v>
      </c>
      <c r="E262" s="44">
        <v>20.52</v>
      </c>
      <c r="F262">
        <v>2010</v>
      </c>
    </row>
    <row r="263" spans="1:6" ht="15" customHeight="1" x14ac:dyDescent="0.3">
      <c r="A263" s="42" t="s">
        <v>339</v>
      </c>
      <c r="B263" s="43">
        <v>40409</v>
      </c>
      <c r="C263" s="42" t="s">
        <v>24</v>
      </c>
      <c r="D263" s="44">
        <v>23.88</v>
      </c>
      <c r="E263" s="44">
        <v>21.39</v>
      </c>
      <c r="F263">
        <v>2010</v>
      </c>
    </row>
    <row r="264" spans="1:6" ht="15" customHeight="1" x14ac:dyDescent="0.3">
      <c r="A264" s="42" t="s">
        <v>340</v>
      </c>
      <c r="B264" s="43">
        <v>40422</v>
      </c>
      <c r="C264" s="42" t="s">
        <v>24</v>
      </c>
      <c r="D264" s="44">
        <v>24.37</v>
      </c>
      <c r="E264" s="44">
        <v>21.95</v>
      </c>
      <c r="F264">
        <v>2010</v>
      </c>
    </row>
    <row r="265" spans="1:6" ht="15" customHeight="1" x14ac:dyDescent="0.3">
      <c r="A265" s="42" t="s">
        <v>341</v>
      </c>
      <c r="B265" s="43">
        <v>40464</v>
      </c>
      <c r="C265" s="42" t="s">
        <v>24</v>
      </c>
      <c r="D265" s="44">
        <v>18.95</v>
      </c>
      <c r="E265" s="44">
        <v>18.940000000000001</v>
      </c>
      <c r="F265">
        <v>2010</v>
      </c>
    </row>
    <row r="266" spans="1:6" ht="15" customHeight="1" x14ac:dyDescent="0.3">
      <c r="A266" s="42" t="s">
        <v>342</v>
      </c>
      <c r="B266" s="43">
        <v>40485</v>
      </c>
      <c r="C266" s="42" t="s">
        <v>24</v>
      </c>
      <c r="D266" s="44">
        <v>15.42</v>
      </c>
      <c r="E266" s="44">
        <v>15.06</v>
      </c>
      <c r="F266">
        <v>2010</v>
      </c>
    </row>
    <row r="267" spans="1:6" ht="15" customHeight="1" x14ac:dyDescent="0.3">
      <c r="A267" s="42" t="s">
        <v>343</v>
      </c>
      <c r="B267" s="43">
        <v>40511</v>
      </c>
      <c r="C267" s="42" t="s">
        <v>24</v>
      </c>
      <c r="D267" s="44">
        <v>11.17</v>
      </c>
      <c r="E267" s="44">
        <v>11.09</v>
      </c>
      <c r="F267">
        <v>2010</v>
      </c>
    </row>
    <row r="268" spans="1:6" ht="15" customHeight="1" x14ac:dyDescent="0.3">
      <c r="A268" s="42" t="s">
        <v>344</v>
      </c>
      <c r="B268" s="43">
        <v>40549</v>
      </c>
      <c r="C268" s="42" t="s">
        <v>24</v>
      </c>
      <c r="D268" s="44">
        <v>3.62</v>
      </c>
      <c r="E268" s="44">
        <v>3.2</v>
      </c>
      <c r="F268">
        <v>2011</v>
      </c>
    </row>
    <row r="269" spans="1:6" ht="15" customHeight="1" x14ac:dyDescent="0.3">
      <c r="A269" s="42" t="s">
        <v>345</v>
      </c>
      <c r="B269" s="43">
        <v>40574</v>
      </c>
      <c r="C269" s="42" t="s">
        <v>24</v>
      </c>
      <c r="D269" s="44">
        <v>1.44</v>
      </c>
      <c r="E269" s="44">
        <v>1.1599999999999999</v>
      </c>
      <c r="F269">
        <v>2011</v>
      </c>
    </row>
    <row r="270" spans="1:6" ht="15" customHeight="1" x14ac:dyDescent="0.3">
      <c r="A270" s="42" t="s">
        <v>347</v>
      </c>
      <c r="B270" s="43">
        <v>40616</v>
      </c>
      <c r="C270" s="42" t="s">
        <v>24</v>
      </c>
      <c r="D270" s="44">
        <v>4.05</v>
      </c>
      <c r="E270" s="44">
        <v>2.31</v>
      </c>
      <c r="F270">
        <v>2011</v>
      </c>
    </row>
    <row r="271" spans="1:6" ht="15" customHeight="1" x14ac:dyDescent="0.3">
      <c r="A271" s="42" t="s">
        <v>348</v>
      </c>
      <c r="B271" s="43">
        <v>40645</v>
      </c>
      <c r="C271" s="42" t="s">
        <v>24</v>
      </c>
      <c r="D271" s="44">
        <v>6.46</v>
      </c>
      <c r="E271" s="44">
        <v>4.54</v>
      </c>
      <c r="F271">
        <v>2011</v>
      </c>
    </row>
    <row r="272" spans="1:6" ht="15" customHeight="1" x14ac:dyDescent="0.3">
      <c r="A272" s="42" t="s">
        <v>349</v>
      </c>
      <c r="B272" s="43">
        <v>40667</v>
      </c>
      <c r="C272" s="42" t="s">
        <v>24</v>
      </c>
      <c r="D272" s="44">
        <v>10.9</v>
      </c>
      <c r="E272" s="44">
        <v>6.59</v>
      </c>
      <c r="F272">
        <v>2011</v>
      </c>
    </row>
    <row r="273" spans="1:6" ht="15" customHeight="1" x14ac:dyDescent="0.3">
      <c r="A273" s="42" t="s">
        <v>350</v>
      </c>
      <c r="B273" s="43">
        <v>40694</v>
      </c>
      <c r="C273" s="42" t="s">
        <v>24</v>
      </c>
      <c r="D273" s="44">
        <v>19.77</v>
      </c>
      <c r="E273" s="44">
        <v>9.7899999999999991</v>
      </c>
      <c r="F273">
        <v>2011</v>
      </c>
    </row>
    <row r="274" spans="1:6" ht="15" customHeight="1" x14ac:dyDescent="0.3">
      <c r="A274" s="42" t="s">
        <v>352</v>
      </c>
      <c r="B274" s="43">
        <v>40729</v>
      </c>
      <c r="C274" s="42" t="s">
        <v>24</v>
      </c>
      <c r="D274" s="44">
        <v>20.89</v>
      </c>
      <c r="E274" s="44">
        <v>16.97</v>
      </c>
      <c r="F274">
        <v>2011</v>
      </c>
    </row>
    <row r="275" spans="1:6" ht="15" customHeight="1" x14ac:dyDescent="0.3">
      <c r="A275" s="42" t="s">
        <v>353</v>
      </c>
      <c r="B275" s="43">
        <v>40743</v>
      </c>
      <c r="C275" s="42" t="s">
        <v>24</v>
      </c>
      <c r="D275" s="44">
        <v>21.69</v>
      </c>
      <c r="E275" s="44">
        <v>17.07</v>
      </c>
      <c r="F275">
        <v>2011</v>
      </c>
    </row>
    <row r="276" spans="1:6" ht="15" customHeight="1" x14ac:dyDescent="0.3">
      <c r="A276" s="42" t="s">
        <v>354</v>
      </c>
      <c r="B276" s="43">
        <v>40756</v>
      </c>
      <c r="C276" s="42" t="s">
        <v>24</v>
      </c>
      <c r="D276" s="44">
        <v>24.46</v>
      </c>
      <c r="E276" s="44">
        <v>20.04</v>
      </c>
      <c r="F276">
        <v>2011</v>
      </c>
    </row>
    <row r="277" spans="1:6" ht="15" customHeight="1" x14ac:dyDescent="0.3">
      <c r="A277" s="42" t="s">
        <v>355</v>
      </c>
      <c r="B277" s="43">
        <v>40771</v>
      </c>
      <c r="C277" s="42" t="s">
        <v>24</v>
      </c>
      <c r="D277" s="44">
        <v>22.72</v>
      </c>
      <c r="E277" s="44">
        <v>21.19</v>
      </c>
      <c r="F277">
        <v>2011</v>
      </c>
    </row>
    <row r="278" spans="1:6" ht="15" customHeight="1" x14ac:dyDescent="0.3">
      <c r="A278" s="42" t="s">
        <v>356</v>
      </c>
      <c r="B278" s="43">
        <v>40785</v>
      </c>
      <c r="C278" s="42" t="s">
        <v>24</v>
      </c>
      <c r="D278" s="44">
        <v>23.1</v>
      </c>
      <c r="E278" s="44">
        <v>21.99</v>
      </c>
      <c r="F278">
        <v>2011</v>
      </c>
    </row>
    <row r="279" spans="1:6" ht="15" customHeight="1" x14ac:dyDescent="0.3">
      <c r="A279" s="42" t="s">
        <v>357</v>
      </c>
      <c r="B279" s="43">
        <v>40820</v>
      </c>
      <c r="C279" s="42" t="s">
        <v>24</v>
      </c>
      <c r="D279" s="44">
        <v>20.57</v>
      </c>
      <c r="E279" s="44">
        <v>20.9</v>
      </c>
      <c r="F279">
        <v>2011</v>
      </c>
    </row>
    <row r="280" spans="1:6" ht="15" customHeight="1" x14ac:dyDescent="0.3">
      <c r="A280" s="42" t="s">
        <v>358</v>
      </c>
      <c r="B280" s="43">
        <v>40855</v>
      </c>
      <c r="C280" s="42" t="s">
        <v>24</v>
      </c>
      <c r="D280" s="44">
        <v>14.3</v>
      </c>
      <c r="E280" s="44">
        <v>14.3</v>
      </c>
      <c r="F280">
        <v>2011</v>
      </c>
    </row>
    <row r="281" spans="1:6" ht="15" customHeight="1" x14ac:dyDescent="0.3">
      <c r="A281" s="42" t="s">
        <v>359</v>
      </c>
      <c r="B281" s="43">
        <v>40875</v>
      </c>
      <c r="C281" s="42" t="s">
        <v>24</v>
      </c>
      <c r="D281" s="44">
        <v>12.01</v>
      </c>
      <c r="E281" s="44">
        <v>11.95</v>
      </c>
      <c r="F281">
        <v>2011</v>
      </c>
    </row>
    <row r="282" spans="1:6" ht="15" customHeight="1" x14ac:dyDescent="0.3">
      <c r="A282" s="42" t="s">
        <v>360</v>
      </c>
      <c r="B282" s="43">
        <v>40919</v>
      </c>
      <c r="C282" s="42" t="s">
        <v>24</v>
      </c>
      <c r="D282" s="44">
        <v>6.36</v>
      </c>
      <c r="E282" s="44">
        <v>7.42</v>
      </c>
      <c r="F282">
        <v>2012</v>
      </c>
    </row>
    <row r="283" spans="1:6" ht="15" customHeight="1" x14ac:dyDescent="0.3">
      <c r="A283" s="42" t="s">
        <v>361</v>
      </c>
      <c r="B283" s="43">
        <v>40942</v>
      </c>
      <c r="C283" s="42" t="s">
        <v>24</v>
      </c>
      <c r="D283" s="44">
        <v>4.6100000000000003</v>
      </c>
      <c r="E283" s="44">
        <v>5.54</v>
      </c>
      <c r="F283">
        <v>2012</v>
      </c>
    </row>
    <row r="284" spans="1:6" ht="15" customHeight="1" x14ac:dyDescent="0.3">
      <c r="A284" s="42" t="s">
        <v>363</v>
      </c>
      <c r="B284" s="43">
        <v>40974</v>
      </c>
      <c r="C284" s="42" t="s">
        <v>24</v>
      </c>
      <c r="D284" s="44">
        <v>4.76</v>
      </c>
      <c r="E284" s="44">
        <v>5.1100000000000003</v>
      </c>
      <c r="F284">
        <v>2012</v>
      </c>
    </row>
    <row r="285" spans="1:6" ht="15" customHeight="1" x14ac:dyDescent="0.3">
      <c r="A285" s="42" t="s">
        <v>365</v>
      </c>
      <c r="B285" s="43">
        <v>41003</v>
      </c>
      <c r="C285" s="42" t="s">
        <v>24</v>
      </c>
      <c r="D285" s="44">
        <v>7.42</v>
      </c>
      <c r="E285" s="44">
        <v>6.49</v>
      </c>
      <c r="F285">
        <v>2012</v>
      </c>
    </row>
    <row r="286" spans="1:6" ht="15" customHeight="1" x14ac:dyDescent="0.3">
      <c r="A286" s="42" t="s">
        <v>366</v>
      </c>
      <c r="B286" s="43">
        <v>41032</v>
      </c>
      <c r="C286" s="42" t="s">
        <v>24</v>
      </c>
      <c r="D286" s="44">
        <v>10.88</v>
      </c>
      <c r="E286" s="44">
        <v>10.78</v>
      </c>
      <c r="F286">
        <v>2012</v>
      </c>
    </row>
    <row r="287" spans="1:6" ht="15" customHeight="1" x14ac:dyDescent="0.3">
      <c r="A287" s="42" t="s">
        <v>367</v>
      </c>
      <c r="B287" s="43">
        <v>41060</v>
      </c>
      <c r="C287" s="42" t="s">
        <v>24</v>
      </c>
      <c r="D287" s="44">
        <v>17.61</v>
      </c>
      <c r="E287" s="44">
        <v>12.06</v>
      </c>
      <c r="F287">
        <v>2012</v>
      </c>
    </row>
    <row r="288" spans="1:6" ht="15" customHeight="1" x14ac:dyDescent="0.3">
      <c r="A288" s="42" t="s">
        <v>369</v>
      </c>
      <c r="B288" s="43">
        <v>41088</v>
      </c>
      <c r="C288" s="42" t="s">
        <v>24</v>
      </c>
      <c r="D288" s="44">
        <v>20.22</v>
      </c>
      <c r="E288" s="44">
        <v>14.6</v>
      </c>
      <c r="F288">
        <v>2012</v>
      </c>
    </row>
    <row r="289" spans="1:6" ht="15" customHeight="1" x14ac:dyDescent="0.3">
      <c r="A289" s="42" t="s">
        <v>370</v>
      </c>
      <c r="B289" s="43">
        <v>41108</v>
      </c>
      <c r="C289" s="42" t="s">
        <v>24</v>
      </c>
      <c r="D289" s="44">
        <v>23.53</v>
      </c>
      <c r="E289" s="44">
        <v>20.57</v>
      </c>
      <c r="F289">
        <v>2012</v>
      </c>
    </row>
    <row r="290" spans="1:6" ht="15" customHeight="1" x14ac:dyDescent="0.3">
      <c r="A290" s="42" t="s">
        <v>371</v>
      </c>
      <c r="B290" s="43">
        <v>41121</v>
      </c>
      <c r="C290" s="42" t="s">
        <v>24</v>
      </c>
      <c r="D290" s="44">
        <v>22.79</v>
      </c>
      <c r="E290" s="44">
        <v>20.5</v>
      </c>
      <c r="F290">
        <v>2012</v>
      </c>
    </row>
    <row r="291" spans="1:6" ht="15" customHeight="1" x14ac:dyDescent="0.3">
      <c r="A291" s="42" t="s">
        <v>372</v>
      </c>
      <c r="B291" s="43">
        <v>41135</v>
      </c>
      <c r="C291" s="42" t="s">
        <v>24</v>
      </c>
      <c r="D291" s="44">
        <v>24.87</v>
      </c>
      <c r="E291" s="44">
        <v>21.49</v>
      </c>
      <c r="F291">
        <v>2012</v>
      </c>
    </row>
    <row r="292" spans="1:6" ht="15" customHeight="1" x14ac:dyDescent="0.3">
      <c r="A292" s="42" t="s">
        <v>373</v>
      </c>
      <c r="B292" s="43">
        <v>41148</v>
      </c>
      <c r="C292" s="42" t="s">
        <v>24</v>
      </c>
      <c r="D292" s="44">
        <v>24.24</v>
      </c>
      <c r="E292" s="44">
        <v>22.6</v>
      </c>
      <c r="F292">
        <v>2012</v>
      </c>
    </row>
    <row r="293" spans="1:6" ht="15" customHeight="1" x14ac:dyDescent="0.3">
      <c r="A293" s="42" t="s">
        <v>375</v>
      </c>
      <c r="B293" s="43">
        <v>41186</v>
      </c>
      <c r="C293" s="42" t="s">
        <v>24</v>
      </c>
      <c r="D293" s="44">
        <v>20.79</v>
      </c>
      <c r="E293" s="44">
        <v>20.74</v>
      </c>
      <c r="F293">
        <v>2012</v>
      </c>
    </row>
    <row r="294" spans="1:6" ht="15" customHeight="1" x14ac:dyDescent="0.3">
      <c r="A294" s="42" t="s">
        <v>376</v>
      </c>
      <c r="B294" s="43">
        <v>41228</v>
      </c>
      <c r="C294" s="42" t="s">
        <v>24</v>
      </c>
      <c r="D294" s="44">
        <v>12.81</v>
      </c>
      <c r="E294" s="44">
        <v>12.87</v>
      </c>
      <c r="F294">
        <v>2012</v>
      </c>
    </row>
    <row r="295" spans="1:6" ht="15" customHeight="1" x14ac:dyDescent="0.3">
      <c r="A295" s="42" t="s">
        <v>377</v>
      </c>
      <c r="B295" s="43">
        <v>41246</v>
      </c>
      <c r="C295" s="42" t="s">
        <v>24</v>
      </c>
      <c r="D295" s="44">
        <v>10.35</v>
      </c>
      <c r="E295" s="44">
        <v>10.09</v>
      </c>
      <c r="F295">
        <v>2012</v>
      </c>
    </row>
    <row r="296" spans="1:6" ht="15" customHeight="1" x14ac:dyDescent="0.3">
      <c r="A296" s="42" t="s">
        <v>378</v>
      </c>
      <c r="B296" s="43">
        <v>41285</v>
      </c>
      <c r="C296" s="42" t="s">
        <v>24</v>
      </c>
      <c r="D296" s="46">
        <v>5.07</v>
      </c>
      <c r="E296" s="46">
        <v>5.1100000000000003</v>
      </c>
      <c r="F296">
        <v>2013</v>
      </c>
    </row>
    <row r="297" spans="1:6" ht="15" customHeight="1" x14ac:dyDescent="0.3">
      <c r="A297" s="42" t="s">
        <v>379</v>
      </c>
      <c r="B297" s="43">
        <v>41302</v>
      </c>
      <c r="C297" s="42" t="s">
        <v>24</v>
      </c>
      <c r="D297" s="44">
        <v>2.89</v>
      </c>
      <c r="E297" s="44">
        <v>3.26</v>
      </c>
      <c r="F297">
        <v>2013</v>
      </c>
    </row>
    <row r="298" spans="1:6" ht="15" customHeight="1" x14ac:dyDescent="0.3">
      <c r="A298" s="42" t="s">
        <v>381</v>
      </c>
      <c r="B298" s="43">
        <v>41338</v>
      </c>
      <c r="C298" s="42" t="s">
        <v>24</v>
      </c>
      <c r="D298" s="44">
        <v>2.46</v>
      </c>
      <c r="E298" s="44">
        <v>2.81</v>
      </c>
      <c r="F298">
        <v>2013</v>
      </c>
    </row>
    <row r="299" spans="1:6" ht="15" customHeight="1" x14ac:dyDescent="0.3">
      <c r="A299" s="42" t="s">
        <v>382</v>
      </c>
      <c r="B299" s="43">
        <v>41365</v>
      </c>
      <c r="C299" s="42" t="s">
        <v>24</v>
      </c>
      <c r="D299" s="44">
        <v>4.95</v>
      </c>
      <c r="E299" s="44">
        <v>3.8</v>
      </c>
      <c r="F299">
        <v>2013</v>
      </c>
    </row>
    <row r="300" spans="1:6" ht="15" customHeight="1" x14ac:dyDescent="0.3">
      <c r="A300" s="42" t="s">
        <v>383</v>
      </c>
      <c r="B300" s="43">
        <v>41394</v>
      </c>
      <c r="C300" s="42" t="s">
        <v>24</v>
      </c>
      <c r="D300" s="44">
        <v>9.42</v>
      </c>
      <c r="E300" s="44">
        <v>6.95</v>
      </c>
      <c r="F300">
        <v>2013</v>
      </c>
    </row>
    <row r="301" spans="1:6" ht="15" customHeight="1" x14ac:dyDescent="0.3">
      <c r="A301" s="42" t="s">
        <v>384</v>
      </c>
      <c r="B301" s="43">
        <v>41428</v>
      </c>
      <c r="C301" s="42" t="s">
        <v>24</v>
      </c>
      <c r="D301" s="44">
        <v>15.67</v>
      </c>
      <c r="E301" s="44">
        <v>12.39</v>
      </c>
      <c r="F301">
        <v>2013</v>
      </c>
    </row>
    <row r="302" spans="1:6" ht="15" customHeight="1" x14ac:dyDescent="0.3">
      <c r="A302" s="42" t="s">
        <v>386</v>
      </c>
      <c r="B302" s="43">
        <v>41456</v>
      </c>
      <c r="C302" s="42" t="s">
        <v>24</v>
      </c>
      <c r="D302" s="44">
        <v>21.04</v>
      </c>
      <c r="E302" s="44">
        <v>14.54</v>
      </c>
      <c r="F302">
        <v>2013</v>
      </c>
    </row>
    <row r="303" spans="1:6" ht="15" customHeight="1" x14ac:dyDescent="0.3">
      <c r="A303" s="42" t="s">
        <v>387</v>
      </c>
      <c r="B303" s="43">
        <v>41471</v>
      </c>
      <c r="C303" s="42" t="s">
        <v>24</v>
      </c>
      <c r="D303" s="44">
        <v>25.41</v>
      </c>
      <c r="E303" s="44">
        <v>17.73</v>
      </c>
      <c r="F303">
        <v>2013</v>
      </c>
    </row>
    <row r="304" spans="1:6" ht="15" customHeight="1" x14ac:dyDescent="0.3">
      <c r="A304" s="42" t="s">
        <v>388</v>
      </c>
      <c r="B304" s="43">
        <v>41485</v>
      </c>
      <c r="C304" s="42" t="s">
        <v>24</v>
      </c>
      <c r="D304" s="46">
        <v>22.81</v>
      </c>
      <c r="E304" s="46">
        <v>18.850000000000001</v>
      </c>
      <c r="F304">
        <v>2013</v>
      </c>
    </row>
    <row r="305" spans="1:6" ht="15" customHeight="1" x14ac:dyDescent="0.3">
      <c r="A305" s="42" t="s">
        <v>389</v>
      </c>
      <c r="B305" s="43">
        <v>41499</v>
      </c>
      <c r="C305" s="42" t="s">
        <v>24</v>
      </c>
      <c r="D305" s="44">
        <v>22.79</v>
      </c>
      <c r="E305" s="44">
        <v>21.29</v>
      </c>
      <c r="F305">
        <v>2013</v>
      </c>
    </row>
    <row r="306" spans="1:6" ht="15" customHeight="1" x14ac:dyDescent="0.3">
      <c r="A306" s="42" t="s">
        <v>390</v>
      </c>
      <c r="B306" s="43">
        <v>41513</v>
      </c>
      <c r="C306" s="42" t="s">
        <v>24</v>
      </c>
      <c r="D306" s="44">
        <v>22.92</v>
      </c>
      <c r="E306" s="44">
        <v>21.45</v>
      </c>
      <c r="F306">
        <v>2013</v>
      </c>
    </row>
    <row r="307" spans="1:6" ht="15" customHeight="1" x14ac:dyDescent="0.3">
      <c r="A307" s="42" t="s">
        <v>392</v>
      </c>
      <c r="B307" s="43">
        <v>41548</v>
      </c>
      <c r="C307" s="42" t="s">
        <v>24</v>
      </c>
      <c r="D307" s="44">
        <v>20.440000000000001</v>
      </c>
      <c r="E307" s="44">
        <v>19.91</v>
      </c>
      <c r="F307">
        <v>2013</v>
      </c>
    </row>
    <row r="308" spans="1:6" ht="15" customHeight="1" x14ac:dyDescent="0.3">
      <c r="A308" s="42" t="s">
        <v>393</v>
      </c>
      <c r="B308" s="43">
        <v>41582</v>
      </c>
      <c r="C308" s="42" t="s">
        <v>24</v>
      </c>
      <c r="D308" s="44">
        <v>15.54</v>
      </c>
      <c r="E308" s="44">
        <v>15.54</v>
      </c>
      <c r="F308">
        <v>2013</v>
      </c>
    </row>
    <row r="309" spans="1:6" ht="15" customHeight="1" x14ac:dyDescent="0.3">
      <c r="A309" s="42" t="s">
        <v>394</v>
      </c>
      <c r="B309" s="43">
        <v>41617</v>
      </c>
      <c r="C309" s="42" t="s">
        <v>24</v>
      </c>
      <c r="D309" s="44">
        <v>8.6199999999999992</v>
      </c>
      <c r="E309" s="44">
        <v>8.59</v>
      </c>
      <c r="F309">
        <v>2013</v>
      </c>
    </row>
    <row r="310" spans="1:6" ht="15" customHeight="1" x14ac:dyDescent="0.3">
      <c r="A310" s="42" t="s">
        <v>395</v>
      </c>
      <c r="B310" s="43">
        <v>41649</v>
      </c>
      <c r="C310" s="42" t="s">
        <v>24</v>
      </c>
      <c r="D310" s="44">
        <v>2.21</v>
      </c>
      <c r="E310" s="44">
        <v>3</v>
      </c>
      <c r="F310">
        <v>2014</v>
      </c>
    </row>
    <row r="311" spans="1:6" ht="15" customHeight="1" x14ac:dyDescent="0.3">
      <c r="A311" s="42" t="s">
        <v>396</v>
      </c>
      <c r="B311" s="43">
        <v>41673</v>
      </c>
      <c r="C311" s="42" t="s">
        <v>24</v>
      </c>
      <c r="D311" s="44">
        <v>1.06</v>
      </c>
      <c r="E311" s="44">
        <v>1.1499999999999999</v>
      </c>
      <c r="F311">
        <v>2014</v>
      </c>
    </row>
    <row r="312" spans="1:6" ht="15" customHeight="1" x14ac:dyDescent="0.3">
      <c r="A312" s="42" t="s">
        <v>398</v>
      </c>
      <c r="B312" s="43">
        <v>41702</v>
      </c>
      <c r="C312" s="42" t="s">
        <v>24</v>
      </c>
      <c r="D312" s="44">
        <v>0.35</v>
      </c>
      <c r="E312" s="44">
        <v>0.52</v>
      </c>
      <c r="F312">
        <v>2014</v>
      </c>
    </row>
    <row r="313" spans="1:6" ht="15" customHeight="1" x14ac:dyDescent="0.3">
      <c r="A313" s="42" t="s">
        <v>399</v>
      </c>
      <c r="B313" s="43">
        <v>41732</v>
      </c>
      <c r="C313" s="42" t="s">
        <v>24</v>
      </c>
      <c r="D313" s="44">
        <v>3.28</v>
      </c>
      <c r="E313" s="44">
        <v>1.92</v>
      </c>
      <c r="F313">
        <v>2014</v>
      </c>
    </row>
    <row r="314" spans="1:6" ht="15" customHeight="1" x14ac:dyDescent="0.3">
      <c r="A314" s="42" t="s">
        <v>400</v>
      </c>
      <c r="B314" s="43">
        <v>41767</v>
      </c>
      <c r="C314" s="42" t="s">
        <v>24</v>
      </c>
      <c r="D314" s="44">
        <v>10.26</v>
      </c>
      <c r="E314" s="44">
        <v>6.85</v>
      </c>
      <c r="F314">
        <v>2014</v>
      </c>
    </row>
    <row r="315" spans="1:6" ht="15" customHeight="1" x14ac:dyDescent="0.3">
      <c r="A315" s="42" t="s">
        <v>401</v>
      </c>
      <c r="B315" s="43">
        <v>41792</v>
      </c>
      <c r="C315" s="42" t="s">
        <v>24</v>
      </c>
      <c r="D315" s="44">
        <v>15.81</v>
      </c>
      <c r="E315" s="44">
        <v>9.76</v>
      </c>
      <c r="F315">
        <v>2014</v>
      </c>
    </row>
    <row r="316" spans="1:6" ht="15" customHeight="1" x14ac:dyDescent="0.3">
      <c r="A316" s="42" t="s">
        <v>403</v>
      </c>
      <c r="B316" s="43">
        <v>41820</v>
      </c>
      <c r="C316" s="42" t="s">
        <v>24</v>
      </c>
      <c r="D316" s="44">
        <v>20.440000000000001</v>
      </c>
      <c r="E316" s="44">
        <v>14.38</v>
      </c>
      <c r="F316">
        <v>2014</v>
      </c>
    </row>
    <row r="317" spans="1:6" ht="15" customHeight="1" x14ac:dyDescent="0.3">
      <c r="A317" s="42" t="s">
        <v>405</v>
      </c>
      <c r="B317" s="43">
        <v>41855</v>
      </c>
      <c r="C317" s="42" t="s">
        <v>24</v>
      </c>
      <c r="D317" s="44">
        <v>22.83</v>
      </c>
      <c r="E317" s="44">
        <v>20.440000000000001</v>
      </c>
      <c r="F317">
        <v>2014</v>
      </c>
    </row>
    <row r="318" spans="1:6" ht="15" customHeight="1" x14ac:dyDescent="0.3">
      <c r="A318" s="42" t="s">
        <v>406</v>
      </c>
      <c r="B318" s="43">
        <v>41871</v>
      </c>
      <c r="C318" s="42" t="s">
        <v>24</v>
      </c>
      <c r="D318" s="44">
        <v>22.61</v>
      </c>
      <c r="E318" s="44">
        <v>21.43</v>
      </c>
      <c r="F318">
        <v>2014</v>
      </c>
    </row>
    <row r="319" spans="1:6" ht="15" customHeight="1" x14ac:dyDescent="0.3">
      <c r="A319" s="42" t="s">
        <v>407</v>
      </c>
      <c r="B319" s="43">
        <v>41886</v>
      </c>
      <c r="C319" s="42" t="s">
        <v>24</v>
      </c>
      <c r="D319" s="44">
        <v>23.42</v>
      </c>
      <c r="E319" s="44">
        <v>21.54</v>
      </c>
      <c r="F319">
        <v>2014</v>
      </c>
    </row>
    <row r="320" spans="1:6" ht="15" customHeight="1" x14ac:dyDescent="0.3">
      <c r="A320" s="42" t="s">
        <v>408</v>
      </c>
      <c r="B320" s="43">
        <v>41897</v>
      </c>
      <c r="C320" s="42" t="s">
        <v>24</v>
      </c>
      <c r="D320" s="44">
        <v>21.79</v>
      </c>
      <c r="E320" s="44">
        <v>21.79</v>
      </c>
      <c r="F320">
        <v>2014</v>
      </c>
    </row>
    <row r="321" spans="1:6" ht="15" customHeight="1" x14ac:dyDescent="0.3">
      <c r="A321" s="42" t="s">
        <v>409</v>
      </c>
      <c r="B321" s="43">
        <v>41912</v>
      </c>
      <c r="C321" s="42" t="s">
        <v>24</v>
      </c>
      <c r="D321" s="44">
        <v>20.85</v>
      </c>
      <c r="E321" s="44">
        <v>20.56</v>
      </c>
      <c r="F321">
        <v>2014</v>
      </c>
    </row>
    <row r="322" spans="1:6" ht="15" customHeight="1" x14ac:dyDescent="0.3">
      <c r="A322" s="42" t="s">
        <v>410</v>
      </c>
      <c r="B322" s="43">
        <v>41955</v>
      </c>
      <c r="C322" s="42" t="s">
        <v>24</v>
      </c>
      <c r="D322" s="44">
        <v>13.92</v>
      </c>
      <c r="E322" s="44">
        <v>13.82</v>
      </c>
      <c r="F322">
        <v>2014</v>
      </c>
    </row>
    <row r="323" spans="1:6" ht="15" customHeight="1" x14ac:dyDescent="0.3">
      <c r="A323" s="42" t="s">
        <v>411</v>
      </c>
      <c r="B323" s="43">
        <v>41988</v>
      </c>
      <c r="C323" s="42" t="s">
        <v>24</v>
      </c>
      <c r="D323" s="44">
        <v>6.75</v>
      </c>
      <c r="E323" s="44">
        <v>7.21</v>
      </c>
      <c r="F323">
        <v>2014</v>
      </c>
    </row>
    <row r="324" spans="1:6" ht="15" customHeight="1" x14ac:dyDescent="0.3">
      <c r="A324" s="42" t="s">
        <v>412</v>
      </c>
      <c r="B324" s="43">
        <v>42019</v>
      </c>
      <c r="C324" s="42" t="s">
        <v>24</v>
      </c>
      <c r="D324" s="44">
        <v>3.29</v>
      </c>
      <c r="E324" s="44">
        <v>3.24</v>
      </c>
      <c r="F324">
        <v>2015</v>
      </c>
    </row>
    <row r="325" spans="1:6" ht="15" customHeight="1" x14ac:dyDescent="0.3">
      <c r="A325" s="42" t="s">
        <v>413</v>
      </c>
      <c r="B325" s="43">
        <v>42041</v>
      </c>
      <c r="C325" s="42" t="s">
        <v>24</v>
      </c>
      <c r="D325" s="44">
        <v>0.62</v>
      </c>
      <c r="E325" s="44">
        <v>0.6</v>
      </c>
      <c r="F325">
        <v>2015</v>
      </c>
    </row>
    <row r="326" spans="1:6" ht="15" customHeight="1" x14ac:dyDescent="0.3">
      <c r="A326" s="42" t="s">
        <v>414</v>
      </c>
      <c r="B326" s="43">
        <v>42072</v>
      </c>
      <c r="C326" s="42" t="s">
        <v>24</v>
      </c>
      <c r="D326" s="44">
        <v>-0.74</v>
      </c>
      <c r="E326" s="44">
        <v>-0.88</v>
      </c>
      <c r="F326">
        <v>2015</v>
      </c>
    </row>
    <row r="327" spans="1:6" ht="15" customHeight="1" x14ac:dyDescent="0.3">
      <c r="A327" s="42" t="s">
        <v>416</v>
      </c>
      <c r="B327" s="43">
        <v>42094</v>
      </c>
      <c r="C327" s="42" t="s">
        <v>24</v>
      </c>
      <c r="D327" s="44">
        <v>1.45</v>
      </c>
      <c r="E327" s="44">
        <v>0.91</v>
      </c>
      <c r="F327">
        <v>2015</v>
      </c>
    </row>
    <row r="328" spans="1:6" ht="15" customHeight="1" x14ac:dyDescent="0.3">
      <c r="A328" s="42" t="s">
        <v>417</v>
      </c>
      <c r="B328" s="43">
        <v>42128</v>
      </c>
      <c r="C328" s="42" t="s">
        <v>24</v>
      </c>
      <c r="D328" s="44">
        <v>9.23</v>
      </c>
      <c r="E328" s="44">
        <v>4.5199999999999996</v>
      </c>
      <c r="F328">
        <v>2015</v>
      </c>
    </row>
    <row r="329" spans="1:6" ht="15" customHeight="1" x14ac:dyDescent="0.3">
      <c r="A329" s="42" t="s">
        <v>418</v>
      </c>
      <c r="B329" s="43">
        <v>42160</v>
      </c>
      <c r="C329" s="42" t="s">
        <v>24</v>
      </c>
      <c r="D329" s="44">
        <v>13.61</v>
      </c>
      <c r="E329" s="44">
        <v>11.17</v>
      </c>
      <c r="F329">
        <v>2015</v>
      </c>
    </row>
    <row r="330" spans="1:6" ht="15" customHeight="1" x14ac:dyDescent="0.3">
      <c r="A330" s="42" t="s">
        <v>419</v>
      </c>
      <c r="B330" s="43">
        <v>42172</v>
      </c>
      <c r="C330" s="42" t="s">
        <v>24</v>
      </c>
      <c r="D330" s="44">
        <v>17.100000000000001</v>
      </c>
      <c r="E330" s="44">
        <v>12.81</v>
      </c>
      <c r="F330">
        <v>2015</v>
      </c>
    </row>
    <row r="331" spans="1:6" ht="15" customHeight="1" x14ac:dyDescent="0.3">
      <c r="A331" s="42" t="s">
        <v>420</v>
      </c>
      <c r="B331" s="43">
        <v>42193</v>
      </c>
      <c r="C331" s="42" t="s">
        <v>24</v>
      </c>
      <c r="D331" s="44">
        <v>20.78</v>
      </c>
      <c r="E331" s="44">
        <v>14.48</v>
      </c>
      <c r="F331">
        <v>2015</v>
      </c>
    </row>
    <row r="332" spans="1:6" ht="15" customHeight="1" x14ac:dyDescent="0.3">
      <c r="A332" s="42" t="s">
        <v>421</v>
      </c>
      <c r="B332" s="43">
        <v>42206</v>
      </c>
      <c r="C332" s="42" t="s">
        <v>24</v>
      </c>
      <c r="D332" s="44">
        <v>25.19</v>
      </c>
      <c r="E332" s="44">
        <v>15.78</v>
      </c>
      <c r="F332">
        <v>2015</v>
      </c>
    </row>
    <row r="333" spans="1:6" ht="15" customHeight="1" x14ac:dyDescent="0.3">
      <c r="A333" s="42" t="s">
        <v>422</v>
      </c>
      <c r="B333" s="43">
        <v>42221</v>
      </c>
      <c r="C333" s="42" t="s">
        <v>24</v>
      </c>
      <c r="D333" s="44">
        <v>23.16</v>
      </c>
      <c r="E333" s="44">
        <v>20.239999999999998</v>
      </c>
      <c r="F333">
        <v>2015</v>
      </c>
    </row>
    <row r="334" spans="1:6" ht="15" customHeight="1" x14ac:dyDescent="0.3">
      <c r="A334" s="42" t="s">
        <v>423</v>
      </c>
      <c r="B334" s="43">
        <v>42234</v>
      </c>
      <c r="C334" s="42" t="s">
        <v>24</v>
      </c>
      <c r="D334" s="44">
        <v>24.16</v>
      </c>
      <c r="E334" s="44">
        <v>20.59</v>
      </c>
      <c r="F334">
        <v>2015</v>
      </c>
    </row>
    <row r="335" spans="1:6" ht="15" customHeight="1" x14ac:dyDescent="0.3">
      <c r="A335" s="42" t="s">
        <v>424</v>
      </c>
      <c r="B335" s="43">
        <v>42249</v>
      </c>
      <c r="C335" s="42" t="s">
        <v>24</v>
      </c>
      <c r="D335" s="44">
        <v>24.69</v>
      </c>
      <c r="E335" s="44">
        <v>22.61</v>
      </c>
      <c r="F335">
        <v>2015</v>
      </c>
    </row>
    <row r="336" spans="1:6" ht="15" customHeight="1" x14ac:dyDescent="0.3">
      <c r="A336" s="42" t="s">
        <v>426</v>
      </c>
      <c r="B336" s="43">
        <v>42284</v>
      </c>
      <c r="C336" s="42" t="s">
        <v>24</v>
      </c>
      <c r="D336" s="44">
        <v>19.97</v>
      </c>
      <c r="E336" s="44">
        <v>19.25</v>
      </c>
      <c r="F336">
        <v>2015</v>
      </c>
    </row>
    <row r="337" spans="1:6" ht="15" customHeight="1" x14ac:dyDescent="0.3">
      <c r="A337" s="42" t="s">
        <v>427</v>
      </c>
      <c r="B337" s="43">
        <v>42318</v>
      </c>
      <c r="C337" s="42" t="s">
        <v>24</v>
      </c>
      <c r="D337" s="44">
        <v>15.35</v>
      </c>
      <c r="E337" s="44">
        <v>15.47</v>
      </c>
      <c r="F337">
        <v>2015</v>
      </c>
    </row>
    <row r="338" spans="1:6" ht="15" customHeight="1" x14ac:dyDescent="0.3">
      <c r="A338" s="42" t="s">
        <v>428</v>
      </c>
      <c r="B338" s="43">
        <v>42352</v>
      </c>
      <c r="C338" s="42" t="s">
        <v>24</v>
      </c>
      <c r="D338" s="44">
        <v>11.19</v>
      </c>
      <c r="E338" s="44">
        <v>11.12</v>
      </c>
      <c r="F338">
        <v>2015</v>
      </c>
    </row>
    <row r="339" spans="1:6" ht="15" customHeight="1" x14ac:dyDescent="0.3">
      <c r="A339" s="42" t="s">
        <v>429</v>
      </c>
      <c r="B339" s="43">
        <v>42377</v>
      </c>
      <c r="C339" s="42" t="s">
        <v>24</v>
      </c>
      <c r="D339" s="44">
        <v>8.1</v>
      </c>
      <c r="E339" s="44">
        <v>8.3000000000000007</v>
      </c>
      <c r="F339">
        <v>2016</v>
      </c>
    </row>
    <row r="340" spans="1:6" ht="15" customHeight="1" x14ac:dyDescent="0.3">
      <c r="A340" s="42" t="s">
        <v>430</v>
      </c>
      <c r="B340" s="43">
        <v>42402</v>
      </c>
      <c r="C340" s="42" t="s">
        <v>24</v>
      </c>
      <c r="D340" s="44">
        <v>4.49</v>
      </c>
      <c r="E340" s="44">
        <v>4.47</v>
      </c>
      <c r="F340">
        <v>2016</v>
      </c>
    </row>
    <row r="341" spans="1:6" ht="15" customHeight="1" x14ac:dyDescent="0.3">
      <c r="A341" s="42" t="s">
        <v>432</v>
      </c>
      <c r="B341" s="43">
        <v>42438</v>
      </c>
      <c r="C341" s="42" t="s">
        <v>24</v>
      </c>
      <c r="D341" s="44">
        <v>5</v>
      </c>
      <c r="E341" s="44">
        <v>3.57</v>
      </c>
      <c r="F341">
        <v>2016</v>
      </c>
    </row>
    <row r="342" spans="1:6" ht="15" customHeight="1" x14ac:dyDescent="0.3">
      <c r="A342" s="42" t="s">
        <v>434</v>
      </c>
      <c r="B342" s="43">
        <v>42466</v>
      </c>
      <c r="C342" s="42" t="s">
        <v>24</v>
      </c>
      <c r="D342" s="44">
        <v>6.45</v>
      </c>
      <c r="E342" s="44">
        <v>5.87</v>
      </c>
      <c r="F342">
        <v>2016</v>
      </c>
    </row>
    <row r="343" spans="1:6" ht="15" customHeight="1" x14ac:dyDescent="0.3">
      <c r="A343" s="42" t="s">
        <v>435</v>
      </c>
      <c r="B343" s="43">
        <v>42508</v>
      </c>
      <c r="C343" s="42" t="s">
        <v>24</v>
      </c>
      <c r="D343" s="44">
        <v>11.27</v>
      </c>
      <c r="E343" s="44">
        <v>10.09</v>
      </c>
      <c r="F343">
        <v>2016</v>
      </c>
    </row>
    <row r="344" spans="1:6" ht="15" customHeight="1" x14ac:dyDescent="0.3">
      <c r="A344" s="42" t="s">
        <v>436</v>
      </c>
      <c r="B344" s="43">
        <v>42535</v>
      </c>
      <c r="C344" s="42" t="s">
        <v>24</v>
      </c>
      <c r="D344" s="46">
        <v>16.27</v>
      </c>
      <c r="E344" s="46">
        <v>13.17</v>
      </c>
      <c r="F344">
        <v>2016</v>
      </c>
    </row>
    <row r="345" spans="1:6" ht="15" customHeight="1" x14ac:dyDescent="0.3">
      <c r="A345" s="42" t="s">
        <v>438</v>
      </c>
      <c r="B345" s="43">
        <v>42556</v>
      </c>
      <c r="C345" s="42" t="s">
        <v>24</v>
      </c>
      <c r="D345" s="44">
        <v>21.08</v>
      </c>
      <c r="E345" s="44">
        <v>16.55</v>
      </c>
      <c r="F345">
        <v>2016</v>
      </c>
    </row>
    <row r="346" spans="1:6" ht="15" customHeight="1" x14ac:dyDescent="0.3">
      <c r="A346" s="42" t="s">
        <v>439</v>
      </c>
      <c r="B346" s="43">
        <v>42569</v>
      </c>
      <c r="C346" s="42" t="s">
        <v>24</v>
      </c>
      <c r="D346" s="45"/>
      <c r="E346" s="45"/>
      <c r="F346">
        <v>2016</v>
      </c>
    </row>
    <row r="347" spans="1:6" ht="15" customHeight="1" x14ac:dyDescent="0.3">
      <c r="A347" s="42" t="s">
        <v>440</v>
      </c>
      <c r="B347" s="43">
        <v>42586</v>
      </c>
      <c r="C347" s="42" t="s">
        <v>24</v>
      </c>
      <c r="D347" s="44">
        <v>22.44</v>
      </c>
      <c r="E347" s="44">
        <v>20.78</v>
      </c>
      <c r="F347">
        <v>2016</v>
      </c>
    </row>
    <row r="348" spans="1:6" ht="15" customHeight="1" x14ac:dyDescent="0.3">
      <c r="A348" s="42" t="s">
        <v>441</v>
      </c>
      <c r="B348" s="43">
        <v>42598</v>
      </c>
      <c r="C348" s="42" t="s">
        <v>24</v>
      </c>
      <c r="D348" s="44">
        <v>26.25</v>
      </c>
      <c r="E348" s="44">
        <v>22.26</v>
      </c>
      <c r="F348">
        <v>2016</v>
      </c>
    </row>
    <row r="349" spans="1:6" ht="15" customHeight="1" x14ac:dyDescent="0.3">
      <c r="A349" s="42" t="s">
        <v>442</v>
      </c>
      <c r="B349" s="43">
        <v>42611</v>
      </c>
      <c r="C349" s="42" t="s">
        <v>24</v>
      </c>
      <c r="D349" s="45"/>
      <c r="E349" s="44">
        <v>22.44</v>
      </c>
      <c r="F349">
        <v>2016</v>
      </c>
    </row>
    <row r="350" spans="1:6" ht="15" customHeight="1" x14ac:dyDescent="0.3">
      <c r="A350" s="42" t="s">
        <v>443</v>
      </c>
      <c r="B350" s="43">
        <v>42625</v>
      </c>
      <c r="C350" s="42" t="s">
        <v>24</v>
      </c>
      <c r="D350" s="44">
        <v>23.66</v>
      </c>
      <c r="E350" s="44">
        <v>22.86</v>
      </c>
      <c r="F350">
        <v>2016</v>
      </c>
    </row>
    <row r="351" spans="1:6" ht="15" customHeight="1" x14ac:dyDescent="0.3">
      <c r="A351" s="42" t="s">
        <v>444</v>
      </c>
      <c r="B351" s="43">
        <v>42646</v>
      </c>
      <c r="C351" s="42" t="s">
        <v>24</v>
      </c>
      <c r="D351" s="44">
        <v>21.55</v>
      </c>
      <c r="E351" s="44">
        <v>20.69</v>
      </c>
      <c r="F351">
        <v>2016</v>
      </c>
    </row>
    <row r="352" spans="1:6" ht="15" customHeight="1" x14ac:dyDescent="0.3">
      <c r="A352" s="42" t="s">
        <v>445</v>
      </c>
      <c r="B352" s="43">
        <v>42682</v>
      </c>
      <c r="C352" s="42" t="s">
        <v>24</v>
      </c>
      <c r="D352" s="44">
        <v>15.12</v>
      </c>
      <c r="E352" s="44">
        <v>15.06</v>
      </c>
      <c r="F352">
        <v>2016</v>
      </c>
    </row>
    <row r="353" spans="1:6" ht="15" customHeight="1" x14ac:dyDescent="0.3">
      <c r="A353" s="42" t="s">
        <v>446</v>
      </c>
      <c r="B353" s="43">
        <v>42710</v>
      </c>
      <c r="C353" s="42" t="s">
        <v>24</v>
      </c>
      <c r="D353" s="44">
        <v>10.29</v>
      </c>
      <c r="E353" s="44">
        <v>10.38</v>
      </c>
      <c r="F353">
        <v>2016</v>
      </c>
    </row>
    <row r="354" spans="1:6" ht="15" customHeight="1" x14ac:dyDescent="0.3">
      <c r="A354" s="42" t="s">
        <v>447</v>
      </c>
      <c r="B354" s="43">
        <v>42741</v>
      </c>
      <c r="C354" s="42" t="s">
        <v>24</v>
      </c>
      <c r="D354" s="44">
        <v>5.46</v>
      </c>
      <c r="E354" s="44">
        <v>5.5</v>
      </c>
      <c r="F354">
        <v>2017</v>
      </c>
    </row>
    <row r="355" spans="1:6" ht="15" customHeight="1" x14ac:dyDescent="0.3">
      <c r="A355" s="42" t="s">
        <v>448</v>
      </c>
      <c r="B355" s="43">
        <v>42780</v>
      </c>
      <c r="C355" s="42" t="s">
        <v>24</v>
      </c>
      <c r="D355" s="44">
        <v>2.99</v>
      </c>
      <c r="E355" s="44">
        <v>3.02</v>
      </c>
      <c r="F355">
        <v>2017</v>
      </c>
    </row>
    <row r="356" spans="1:6" ht="15" customHeight="1" x14ac:dyDescent="0.3">
      <c r="A356" s="42" t="s">
        <v>450</v>
      </c>
      <c r="B356" s="43">
        <v>42800</v>
      </c>
      <c r="C356" s="42" t="s">
        <v>24</v>
      </c>
      <c r="D356" s="44">
        <v>3.63</v>
      </c>
      <c r="E356" s="44">
        <v>3.52</v>
      </c>
      <c r="F356">
        <v>2017</v>
      </c>
    </row>
    <row r="357" spans="1:6" ht="15" customHeight="1" x14ac:dyDescent="0.3">
      <c r="A357" s="42" t="s">
        <v>451</v>
      </c>
      <c r="B357" s="43">
        <v>42830</v>
      </c>
      <c r="C357" s="42" t="s">
        <v>24</v>
      </c>
      <c r="D357" s="44">
        <v>4.78</v>
      </c>
      <c r="E357" s="44">
        <v>3.45</v>
      </c>
      <c r="F357">
        <v>2017</v>
      </c>
    </row>
    <row r="358" spans="1:6" ht="15" customHeight="1" x14ac:dyDescent="0.3">
      <c r="A358" s="42" t="s">
        <v>452</v>
      </c>
      <c r="B358" s="43">
        <v>42856</v>
      </c>
      <c r="C358" s="42" t="s">
        <v>24</v>
      </c>
      <c r="D358" s="44">
        <v>9.6999999999999993</v>
      </c>
      <c r="E358" s="44">
        <v>5.94</v>
      </c>
      <c r="F358">
        <v>2017</v>
      </c>
    </row>
    <row r="359" spans="1:6" ht="15" customHeight="1" x14ac:dyDescent="0.3">
      <c r="A359" s="42" t="s">
        <v>453</v>
      </c>
      <c r="B359" s="43">
        <v>42894</v>
      </c>
      <c r="C359" s="42" t="s">
        <v>24</v>
      </c>
      <c r="D359" s="46">
        <v>15.2</v>
      </c>
      <c r="E359" s="46">
        <v>11.33</v>
      </c>
      <c r="F359">
        <v>2017</v>
      </c>
    </row>
    <row r="360" spans="1:6" ht="15" customHeight="1" x14ac:dyDescent="0.3">
      <c r="A360" s="42" t="s">
        <v>455</v>
      </c>
      <c r="B360" s="43">
        <v>42921</v>
      </c>
      <c r="C360" s="42" t="s">
        <v>24</v>
      </c>
      <c r="D360" s="44">
        <v>23.52</v>
      </c>
      <c r="E360" s="44">
        <v>15.48</v>
      </c>
      <c r="F360">
        <v>2017</v>
      </c>
    </row>
    <row r="361" spans="1:6" ht="15" customHeight="1" x14ac:dyDescent="0.3">
      <c r="A361" s="42" t="s">
        <v>456</v>
      </c>
      <c r="B361" s="43">
        <v>42936</v>
      </c>
      <c r="C361" s="42" t="s">
        <v>24</v>
      </c>
      <c r="D361" s="44">
        <v>25.33</v>
      </c>
      <c r="E361" s="44">
        <v>17.66</v>
      </c>
      <c r="F361">
        <v>2017</v>
      </c>
    </row>
    <row r="362" spans="1:6" ht="15" customHeight="1" x14ac:dyDescent="0.3">
      <c r="A362" s="42" t="s">
        <v>457</v>
      </c>
      <c r="B362" s="43">
        <v>42949</v>
      </c>
      <c r="C362" s="42" t="s">
        <v>24</v>
      </c>
      <c r="D362" s="44">
        <v>24.38</v>
      </c>
      <c r="E362" s="44">
        <v>19.48</v>
      </c>
      <c r="F362">
        <v>2017</v>
      </c>
    </row>
    <row r="363" spans="1:6" ht="15" customHeight="1" x14ac:dyDescent="0.3">
      <c r="A363" s="42" t="s">
        <v>458</v>
      </c>
      <c r="B363" s="43">
        <v>42961</v>
      </c>
      <c r="C363" s="42" t="s">
        <v>24</v>
      </c>
      <c r="D363" s="44">
        <v>23</v>
      </c>
      <c r="E363" s="44">
        <v>21.29</v>
      </c>
      <c r="F363">
        <v>2017</v>
      </c>
    </row>
    <row r="364" spans="1:6" ht="15" customHeight="1" x14ac:dyDescent="0.3">
      <c r="A364" s="42" t="s">
        <v>459</v>
      </c>
      <c r="B364" s="43">
        <v>42978</v>
      </c>
      <c r="C364" s="42" t="s">
        <v>24</v>
      </c>
      <c r="D364" s="44">
        <v>22.46</v>
      </c>
      <c r="E364" s="44">
        <v>21.78</v>
      </c>
      <c r="F364">
        <v>2017</v>
      </c>
    </row>
    <row r="365" spans="1:6" ht="15" customHeight="1" x14ac:dyDescent="0.3">
      <c r="A365" s="42" t="s">
        <v>460</v>
      </c>
      <c r="B365" s="43">
        <v>43019</v>
      </c>
      <c r="C365" s="42" t="s">
        <v>24</v>
      </c>
      <c r="D365" s="44">
        <v>21.11</v>
      </c>
      <c r="E365" s="44">
        <v>20.65</v>
      </c>
      <c r="F365">
        <v>2017</v>
      </c>
    </row>
    <row r="366" spans="1:6" ht="15" customHeight="1" x14ac:dyDescent="0.3">
      <c r="A366" s="42" t="s">
        <v>461</v>
      </c>
      <c r="B366" s="43">
        <v>43048</v>
      </c>
      <c r="C366" s="42" t="s">
        <v>24</v>
      </c>
      <c r="D366" s="45"/>
      <c r="E366" s="45"/>
      <c r="F366">
        <v>2017</v>
      </c>
    </row>
    <row r="367" spans="1:6" ht="15" customHeight="1" x14ac:dyDescent="0.3">
      <c r="A367" s="42" t="s">
        <v>462</v>
      </c>
      <c r="B367" s="43">
        <v>43070</v>
      </c>
      <c r="C367" s="42" t="s">
        <v>24</v>
      </c>
      <c r="D367" s="44">
        <v>11.31</v>
      </c>
      <c r="E367" s="44">
        <v>11.32</v>
      </c>
      <c r="F367">
        <v>2017</v>
      </c>
    </row>
    <row r="368" spans="1:6" ht="15" customHeight="1" x14ac:dyDescent="0.3">
      <c r="A368" s="42" t="s">
        <v>463</v>
      </c>
      <c r="B368" s="43">
        <v>43110</v>
      </c>
      <c r="C368" s="42" t="s">
        <v>24</v>
      </c>
      <c r="D368" s="44">
        <v>1.91</v>
      </c>
      <c r="E368" s="44">
        <v>1.79</v>
      </c>
      <c r="F368">
        <v>2018</v>
      </c>
    </row>
    <row r="369" spans="1:6" ht="15" customHeight="1" x14ac:dyDescent="0.3">
      <c r="A369" s="42" t="s">
        <v>464</v>
      </c>
      <c r="B369" s="43">
        <v>43137</v>
      </c>
      <c r="C369" s="42" t="s">
        <v>24</v>
      </c>
      <c r="D369" s="44">
        <v>1.41</v>
      </c>
      <c r="E369" s="44">
        <v>1.58</v>
      </c>
      <c r="F369">
        <v>2018</v>
      </c>
    </row>
    <row r="370" spans="1:6" ht="15" customHeight="1" x14ac:dyDescent="0.3">
      <c r="A370" s="42" t="s">
        <v>466</v>
      </c>
      <c r="B370" s="43">
        <v>43165</v>
      </c>
      <c r="C370" s="42" t="s">
        <v>24</v>
      </c>
      <c r="D370" s="44">
        <v>3</v>
      </c>
      <c r="E370" s="44">
        <v>2.6</v>
      </c>
      <c r="F370">
        <v>2018</v>
      </c>
    </row>
    <row r="371" spans="1:6" ht="15" customHeight="1" x14ac:dyDescent="0.3">
      <c r="A371" s="42" t="s">
        <v>467</v>
      </c>
      <c r="B371" s="43">
        <v>43199</v>
      </c>
      <c r="C371" s="42" t="s">
        <v>24</v>
      </c>
      <c r="D371" s="44">
        <v>4.2699999999999996</v>
      </c>
      <c r="E371" s="44">
        <v>4.2300000000000004</v>
      </c>
      <c r="F371">
        <v>2018</v>
      </c>
    </row>
    <row r="372" spans="1:6" ht="15" customHeight="1" x14ac:dyDescent="0.3">
      <c r="A372" s="42" t="s">
        <v>468</v>
      </c>
      <c r="B372" s="43">
        <v>43221</v>
      </c>
      <c r="C372" s="42" t="s">
        <v>24</v>
      </c>
      <c r="D372" s="44">
        <v>8.3699999999999992</v>
      </c>
      <c r="E372" s="44">
        <v>6.23</v>
      </c>
      <c r="F372">
        <v>2018</v>
      </c>
    </row>
    <row r="373" spans="1:6" ht="15" customHeight="1" x14ac:dyDescent="0.3">
      <c r="A373" s="42" t="s">
        <v>469</v>
      </c>
      <c r="B373" s="43">
        <v>43250</v>
      </c>
      <c r="C373" s="42" t="s">
        <v>24</v>
      </c>
      <c r="D373" s="44">
        <v>15.02</v>
      </c>
      <c r="E373" s="44">
        <v>9.6300000000000008</v>
      </c>
      <c r="F373">
        <v>2018</v>
      </c>
    </row>
    <row r="374" spans="1:6" ht="15" customHeight="1" x14ac:dyDescent="0.3">
      <c r="A374" s="42" t="s">
        <v>471</v>
      </c>
      <c r="B374" s="43">
        <v>43283</v>
      </c>
      <c r="C374" s="42" t="s">
        <v>24</v>
      </c>
      <c r="D374" s="44">
        <v>23.02</v>
      </c>
      <c r="E374" s="44">
        <v>16.850000000000001</v>
      </c>
      <c r="F374">
        <v>2018</v>
      </c>
    </row>
    <row r="375" spans="1:6" ht="15" customHeight="1" x14ac:dyDescent="0.3">
      <c r="A375" s="42" t="s">
        <v>472</v>
      </c>
      <c r="B375" s="43">
        <v>43298</v>
      </c>
      <c r="C375" s="42" t="s">
        <v>24</v>
      </c>
      <c r="D375" s="44">
        <v>21.09</v>
      </c>
      <c r="E375" s="44">
        <v>16.989999999999998</v>
      </c>
      <c r="F375">
        <v>2018</v>
      </c>
    </row>
    <row r="376" spans="1:6" ht="15" customHeight="1" x14ac:dyDescent="0.3">
      <c r="A376" s="42" t="s">
        <v>473</v>
      </c>
      <c r="B376" s="43">
        <v>43312</v>
      </c>
      <c r="C376" s="42" t="s">
        <v>24</v>
      </c>
      <c r="D376" s="44">
        <v>24.37</v>
      </c>
      <c r="E376" s="44">
        <v>18.100000000000001</v>
      </c>
      <c r="F376">
        <v>2018</v>
      </c>
    </row>
    <row r="377" spans="1:6" ht="15" customHeight="1" x14ac:dyDescent="0.3">
      <c r="A377" s="42" t="s">
        <v>474</v>
      </c>
      <c r="B377" s="43">
        <v>43326</v>
      </c>
      <c r="C377" s="42" t="s">
        <v>24</v>
      </c>
      <c r="D377" s="44">
        <v>23.41</v>
      </c>
      <c r="E377" s="44">
        <v>22.07</v>
      </c>
      <c r="F377">
        <v>2018</v>
      </c>
    </row>
    <row r="378" spans="1:6" ht="15" customHeight="1" x14ac:dyDescent="0.3">
      <c r="A378" s="42" t="s">
        <v>475</v>
      </c>
      <c r="B378" s="43">
        <v>43340</v>
      </c>
      <c r="C378" s="42" t="s">
        <v>24</v>
      </c>
      <c r="D378" s="44">
        <v>26.13</v>
      </c>
      <c r="E378" s="44">
        <v>22.13</v>
      </c>
      <c r="F378">
        <v>2018</v>
      </c>
    </row>
    <row r="379" spans="1:6" ht="15" customHeight="1" x14ac:dyDescent="0.3">
      <c r="A379" s="42" t="s">
        <v>477</v>
      </c>
      <c r="B379" s="43">
        <v>43375</v>
      </c>
      <c r="C379" s="42" t="s">
        <v>24</v>
      </c>
      <c r="D379" s="44">
        <v>21.66</v>
      </c>
      <c r="E379" s="44">
        <v>22.08</v>
      </c>
      <c r="F379">
        <v>2018</v>
      </c>
    </row>
    <row r="380" spans="1:6" ht="15" customHeight="1" x14ac:dyDescent="0.3">
      <c r="A380" s="42" t="s">
        <v>478</v>
      </c>
      <c r="B380" s="43">
        <v>43412</v>
      </c>
      <c r="C380" s="42" t="s">
        <v>24</v>
      </c>
      <c r="D380" s="44">
        <v>14.34</v>
      </c>
      <c r="E380" s="44">
        <v>14.75</v>
      </c>
      <c r="F380">
        <v>2018</v>
      </c>
    </row>
    <row r="381" spans="1:6" ht="15" customHeight="1" x14ac:dyDescent="0.3">
      <c r="A381" s="42" t="s">
        <v>479</v>
      </c>
      <c r="B381" s="43">
        <v>43434</v>
      </c>
      <c r="C381" s="42" t="s">
        <v>24</v>
      </c>
      <c r="D381" s="44">
        <v>9.2899999999999991</v>
      </c>
      <c r="E381" s="44">
        <v>9.33</v>
      </c>
      <c r="F381">
        <v>2018</v>
      </c>
    </row>
    <row r="382" spans="1:6" ht="15" customHeight="1" x14ac:dyDescent="0.3">
      <c r="A382" s="42" t="s">
        <v>6</v>
      </c>
      <c r="B382" s="43">
        <v>43467</v>
      </c>
      <c r="C382" s="42" t="s">
        <v>24</v>
      </c>
      <c r="D382" s="44">
        <v>5.98</v>
      </c>
      <c r="E382" s="44">
        <v>6.16</v>
      </c>
      <c r="F382">
        <v>2019</v>
      </c>
    </row>
    <row r="383" spans="1:6" ht="15" customHeight="1" x14ac:dyDescent="0.3">
      <c r="A383" s="42" t="s">
        <v>7</v>
      </c>
      <c r="B383" s="43">
        <v>43500</v>
      </c>
      <c r="C383" s="42" t="s">
        <v>24</v>
      </c>
      <c r="D383" s="44">
        <v>2.38</v>
      </c>
      <c r="E383" s="44">
        <v>2.1800000000000002</v>
      </c>
      <c r="F383">
        <v>2019</v>
      </c>
    </row>
    <row r="384" spans="1:6" ht="15" customHeight="1" x14ac:dyDescent="0.3">
      <c r="A384" s="42" t="s">
        <v>9</v>
      </c>
      <c r="B384" s="43">
        <v>43531</v>
      </c>
      <c r="C384" s="42" t="s">
        <v>24</v>
      </c>
      <c r="D384" s="44">
        <v>1.76</v>
      </c>
      <c r="E384" s="44">
        <v>1.82</v>
      </c>
      <c r="F384">
        <v>2019</v>
      </c>
    </row>
    <row r="385" spans="1:6" ht="15" customHeight="1" x14ac:dyDescent="0.3">
      <c r="A385" s="42" t="s">
        <v>10</v>
      </c>
      <c r="B385" s="43">
        <v>43559</v>
      </c>
      <c r="C385" s="42" t="s">
        <v>24</v>
      </c>
      <c r="D385" s="44">
        <v>4.83</v>
      </c>
      <c r="E385" s="44">
        <v>4.72</v>
      </c>
      <c r="F385">
        <v>2019</v>
      </c>
    </row>
    <row r="386" spans="1:6" ht="15" customHeight="1" x14ac:dyDescent="0.3">
      <c r="A386" s="42" t="s">
        <v>11</v>
      </c>
      <c r="B386" s="43">
        <v>43593</v>
      </c>
      <c r="C386" s="42" t="s">
        <v>24</v>
      </c>
      <c r="D386" s="44">
        <v>11.74</v>
      </c>
      <c r="E386" s="44">
        <v>8.0299999999999994</v>
      </c>
      <c r="F386">
        <v>2019</v>
      </c>
    </row>
    <row r="387" spans="1:6" ht="15" customHeight="1" x14ac:dyDescent="0.3">
      <c r="A387" s="42" t="s">
        <v>12</v>
      </c>
      <c r="B387" s="43">
        <v>43614</v>
      </c>
      <c r="C387" s="42" t="s">
        <v>24</v>
      </c>
      <c r="D387" s="44">
        <v>14.95</v>
      </c>
      <c r="E387" s="44">
        <v>11.52</v>
      </c>
      <c r="F387">
        <v>2019</v>
      </c>
    </row>
    <row r="388" spans="1:6" ht="15" customHeight="1" x14ac:dyDescent="0.3">
      <c r="A388" s="42" t="s">
        <v>14</v>
      </c>
      <c r="B388" s="43">
        <v>43647</v>
      </c>
      <c r="C388" s="42" t="s">
        <v>24</v>
      </c>
      <c r="D388" s="44">
        <v>20.46</v>
      </c>
      <c r="E388" s="44">
        <v>15.95</v>
      </c>
      <c r="F388">
        <v>2019</v>
      </c>
    </row>
    <row r="389" spans="1:6" ht="15" customHeight="1" x14ac:dyDescent="0.3">
      <c r="A389" s="42" t="s">
        <v>15</v>
      </c>
      <c r="B389" s="43">
        <v>43662</v>
      </c>
      <c r="C389" s="42" t="s">
        <v>24</v>
      </c>
      <c r="D389" s="44">
        <v>23.11</v>
      </c>
      <c r="E389" s="44">
        <v>15.86</v>
      </c>
      <c r="F389">
        <v>2019</v>
      </c>
    </row>
    <row r="390" spans="1:6" ht="15" customHeight="1" x14ac:dyDescent="0.3">
      <c r="A390" s="42" t="s">
        <v>16</v>
      </c>
      <c r="B390" s="43">
        <v>43677</v>
      </c>
      <c r="C390" s="42" t="s">
        <v>24</v>
      </c>
      <c r="D390" s="44">
        <v>23.72</v>
      </c>
      <c r="E390" s="44">
        <v>20.22</v>
      </c>
      <c r="F390">
        <v>2019</v>
      </c>
    </row>
    <row r="391" spans="1:6" ht="15" customHeight="1" x14ac:dyDescent="0.3">
      <c r="A391" s="42" t="s">
        <v>17</v>
      </c>
      <c r="B391" s="43">
        <v>43690</v>
      </c>
      <c r="C391" s="42" t="s">
        <v>24</v>
      </c>
      <c r="D391" s="44">
        <v>23.2</v>
      </c>
      <c r="E391" s="44">
        <v>20.22</v>
      </c>
      <c r="F391">
        <v>2019</v>
      </c>
    </row>
    <row r="392" spans="1:6" ht="15" customHeight="1" x14ac:dyDescent="0.3">
      <c r="A392" s="42" t="s">
        <v>18</v>
      </c>
      <c r="B392" s="43">
        <v>43706</v>
      </c>
      <c r="C392" s="42" t="s">
        <v>24</v>
      </c>
      <c r="D392" s="44">
        <v>23.15</v>
      </c>
      <c r="E392" s="44">
        <v>21.68</v>
      </c>
      <c r="F392">
        <v>2019</v>
      </c>
    </row>
    <row r="393" spans="1:6" ht="15" customHeight="1" x14ac:dyDescent="0.3">
      <c r="A393" s="42" t="s">
        <v>39</v>
      </c>
      <c r="B393" s="43">
        <v>43738</v>
      </c>
      <c r="C393" s="42" t="s">
        <v>24</v>
      </c>
      <c r="D393" s="44">
        <v>21.44</v>
      </c>
      <c r="E393" s="44">
        <v>20.8</v>
      </c>
      <c r="F393">
        <v>2019</v>
      </c>
    </row>
    <row r="394" spans="1:6" ht="15" customHeight="1" x14ac:dyDescent="0.3">
      <c r="A394" s="42" t="s">
        <v>40</v>
      </c>
      <c r="B394" s="43">
        <v>43773</v>
      </c>
      <c r="C394" s="42" t="s">
        <v>24</v>
      </c>
      <c r="D394" s="44">
        <v>15.88</v>
      </c>
      <c r="E394" s="44">
        <v>15.51</v>
      </c>
      <c r="F394">
        <v>2019</v>
      </c>
    </row>
    <row r="395" spans="1:6" ht="15" customHeight="1" x14ac:dyDescent="0.3">
      <c r="A395" s="42" t="s">
        <v>41</v>
      </c>
      <c r="B395" s="43">
        <v>43815</v>
      </c>
      <c r="C395" s="42" t="s">
        <v>24</v>
      </c>
      <c r="D395" s="44">
        <v>6.95</v>
      </c>
      <c r="E395" s="44">
        <v>7.36</v>
      </c>
      <c r="F395">
        <v>2019</v>
      </c>
    </row>
    <row r="396" spans="1:6" ht="15" customHeight="1" x14ac:dyDescent="0.3">
      <c r="A396" s="42" t="s">
        <v>502</v>
      </c>
      <c r="B396" s="43">
        <v>43840</v>
      </c>
      <c r="C396" s="42" t="s">
        <v>24</v>
      </c>
      <c r="D396" s="44">
        <v>4.9400000000000004</v>
      </c>
      <c r="E396" s="44">
        <v>5.0999999999999996</v>
      </c>
      <c r="F396">
        <v>2020</v>
      </c>
    </row>
    <row r="397" spans="1:6" ht="15" customHeight="1" x14ac:dyDescent="0.3">
      <c r="A397" s="42" t="s">
        <v>503</v>
      </c>
      <c r="B397" s="43">
        <v>43872</v>
      </c>
      <c r="C397" s="42" t="s">
        <v>24</v>
      </c>
      <c r="D397" s="44">
        <v>4.1900000000000004</v>
      </c>
      <c r="E397" s="44">
        <v>4.22</v>
      </c>
      <c r="F397">
        <v>2020</v>
      </c>
    </row>
    <row r="398" spans="1:6" ht="15" customHeight="1" x14ac:dyDescent="0.3">
      <c r="A398" s="42" t="s">
        <v>504</v>
      </c>
      <c r="B398" s="43">
        <v>43901</v>
      </c>
      <c r="C398" s="42" t="s">
        <v>24</v>
      </c>
      <c r="D398" s="44">
        <v>5.0599999999999996</v>
      </c>
      <c r="E398" s="44">
        <v>4.41</v>
      </c>
      <c r="F398">
        <v>2020</v>
      </c>
    </row>
    <row r="399" spans="1:6" ht="15" customHeight="1" x14ac:dyDescent="0.3">
      <c r="A399" s="42" t="s">
        <v>510</v>
      </c>
      <c r="B399" s="43">
        <v>43998</v>
      </c>
      <c r="C399" s="42" t="s">
        <v>24</v>
      </c>
      <c r="D399" s="44">
        <v>17.7</v>
      </c>
      <c r="E399" s="44">
        <v>14.52</v>
      </c>
      <c r="F399">
        <v>2020</v>
      </c>
    </row>
    <row r="400" spans="1:6" ht="15" customHeight="1" x14ac:dyDescent="0.3">
      <c r="A400" s="42" t="s">
        <v>505</v>
      </c>
      <c r="B400" s="43">
        <v>44020</v>
      </c>
      <c r="C400" s="42" t="s">
        <v>24</v>
      </c>
      <c r="D400" s="44">
        <v>21.8</v>
      </c>
      <c r="E400" s="44">
        <v>16.47</v>
      </c>
      <c r="F400">
        <v>2020</v>
      </c>
    </row>
    <row r="401" spans="1:6" ht="15" customHeight="1" x14ac:dyDescent="0.3">
      <c r="A401" s="42" t="s">
        <v>511</v>
      </c>
      <c r="B401" s="43">
        <v>44033</v>
      </c>
      <c r="C401" s="42" t="s">
        <v>24</v>
      </c>
      <c r="D401" s="44">
        <v>24.47</v>
      </c>
      <c r="E401" s="44">
        <v>17.78</v>
      </c>
      <c r="F401">
        <v>2020</v>
      </c>
    </row>
    <row r="402" spans="1:6" ht="15" customHeight="1" x14ac:dyDescent="0.3">
      <c r="A402" s="42" t="s">
        <v>506</v>
      </c>
      <c r="B402" s="43">
        <v>44054</v>
      </c>
      <c r="C402" s="42" t="s">
        <v>24</v>
      </c>
      <c r="D402" s="44">
        <v>25.4</v>
      </c>
      <c r="E402" s="44">
        <v>21.27</v>
      </c>
      <c r="F402">
        <v>2020</v>
      </c>
    </row>
    <row r="403" spans="1:6" ht="15" customHeight="1" x14ac:dyDescent="0.3">
      <c r="A403" s="42" t="s">
        <v>512</v>
      </c>
      <c r="B403" s="43">
        <v>44069</v>
      </c>
      <c r="C403" s="42" t="s">
        <v>24</v>
      </c>
      <c r="D403" s="44">
        <v>23.79</v>
      </c>
      <c r="E403" s="44">
        <v>22.74</v>
      </c>
      <c r="F403">
        <v>2020</v>
      </c>
    </row>
    <row r="404" spans="1:6" ht="15" customHeight="1" x14ac:dyDescent="0.3">
      <c r="A404" s="42" t="s">
        <v>507</v>
      </c>
      <c r="B404" s="43">
        <v>44082</v>
      </c>
      <c r="C404" s="42" t="s">
        <v>24</v>
      </c>
      <c r="D404" s="44">
        <v>23.77</v>
      </c>
      <c r="E404" s="44">
        <v>22.85</v>
      </c>
      <c r="F404">
        <v>2020</v>
      </c>
    </row>
    <row r="405" spans="1:6" ht="15" customHeight="1" x14ac:dyDescent="0.3">
      <c r="A405" s="42" t="s">
        <v>508</v>
      </c>
      <c r="B405" s="43">
        <v>44119</v>
      </c>
      <c r="C405" s="42" t="s">
        <v>24</v>
      </c>
      <c r="D405" s="44">
        <v>18.75</v>
      </c>
      <c r="E405" s="44">
        <v>18.53</v>
      </c>
      <c r="F405">
        <v>2020</v>
      </c>
    </row>
    <row r="406" spans="1:6" ht="15" customHeight="1" x14ac:dyDescent="0.3">
      <c r="A406" s="42" t="s">
        <v>509</v>
      </c>
      <c r="B406" s="43">
        <v>44140</v>
      </c>
      <c r="C406" s="42" t="s">
        <v>24</v>
      </c>
      <c r="D406" s="44">
        <v>15</v>
      </c>
      <c r="E406" s="44">
        <v>15.12</v>
      </c>
      <c r="F406">
        <v>2020</v>
      </c>
    </row>
    <row r="407" spans="1:6" ht="15" customHeight="1" x14ac:dyDescent="0.3">
      <c r="A407" s="81" t="s">
        <v>522</v>
      </c>
      <c r="B407" s="82">
        <v>44264</v>
      </c>
      <c r="C407" s="81" t="s">
        <v>24</v>
      </c>
      <c r="D407" s="83">
        <v>2.68</v>
      </c>
      <c r="E407" s="83">
        <v>2.57</v>
      </c>
      <c r="F407">
        <v>2021</v>
      </c>
    </row>
    <row r="408" spans="1:6" ht="15" customHeight="1" x14ac:dyDescent="0.3">
      <c r="A408" s="81" t="s">
        <v>523</v>
      </c>
      <c r="B408" s="82">
        <v>44292</v>
      </c>
      <c r="C408" s="81" t="s">
        <v>24</v>
      </c>
      <c r="D408" s="83">
        <v>5.88</v>
      </c>
      <c r="E408" s="83">
        <v>5.26</v>
      </c>
      <c r="F408">
        <v>2021</v>
      </c>
    </row>
    <row r="409" spans="1:6" ht="15" customHeight="1" x14ac:dyDescent="0.3">
      <c r="A409" s="81" t="s">
        <v>524</v>
      </c>
      <c r="B409" s="82">
        <v>44320</v>
      </c>
      <c r="C409" s="81" t="s">
        <v>24</v>
      </c>
      <c r="D409" s="83">
        <v>9.6</v>
      </c>
      <c r="E409" s="83">
        <v>8.68</v>
      </c>
      <c r="F409">
        <v>2021</v>
      </c>
    </row>
    <row r="410" spans="1:6" ht="15" customHeight="1" x14ac:dyDescent="0.3">
      <c r="A410" s="81" t="s">
        <v>525</v>
      </c>
      <c r="B410" s="82">
        <v>44356</v>
      </c>
      <c r="C410" s="81" t="s">
        <v>24</v>
      </c>
      <c r="D410" s="83">
        <v>18.7</v>
      </c>
      <c r="E410" s="83">
        <v>12.83</v>
      </c>
      <c r="F410">
        <v>2021</v>
      </c>
    </row>
    <row r="411" spans="1:6" ht="15" customHeight="1" x14ac:dyDescent="0.3">
      <c r="A411" s="81" t="s">
        <v>527</v>
      </c>
      <c r="B411" s="82">
        <v>44389</v>
      </c>
      <c r="C411" s="81" t="s">
        <v>24</v>
      </c>
      <c r="D411" s="83">
        <v>22.41</v>
      </c>
      <c r="E411" s="83">
        <v>16.37</v>
      </c>
      <c r="F411">
        <v>2021</v>
      </c>
    </row>
    <row r="412" spans="1:6" ht="15" customHeight="1" x14ac:dyDescent="0.3">
      <c r="A412" s="81" t="s">
        <v>528</v>
      </c>
      <c r="B412" s="82">
        <v>44397</v>
      </c>
      <c r="C412" s="81" t="s">
        <v>24</v>
      </c>
      <c r="D412" s="83">
        <v>23.27</v>
      </c>
      <c r="E412" s="83">
        <v>17.670000000000002</v>
      </c>
      <c r="F412">
        <v>2021</v>
      </c>
    </row>
    <row r="413" spans="1:6" ht="15" customHeight="1" x14ac:dyDescent="0.3">
      <c r="A413" s="81" t="s">
        <v>529</v>
      </c>
      <c r="B413" s="82">
        <v>44412</v>
      </c>
      <c r="C413" s="81" t="s">
        <v>24</v>
      </c>
      <c r="D413" s="83">
        <v>22.22</v>
      </c>
      <c r="E413" s="83">
        <v>18.37</v>
      </c>
      <c r="F413">
        <v>2021</v>
      </c>
    </row>
    <row r="414" spans="1:6" ht="15" customHeight="1" x14ac:dyDescent="0.3">
      <c r="A414" s="81" t="s">
        <v>530</v>
      </c>
      <c r="B414" s="82">
        <v>44425</v>
      </c>
      <c r="C414" s="81" t="s">
        <v>24</v>
      </c>
      <c r="D414" s="83">
        <v>25.08</v>
      </c>
      <c r="E414" s="83">
        <v>19.670000000000002</v>
      </c>
      <c r="F414">
        <v>2021</v>
      </c>
    </row>
    <row r="415" spans="1:6" ht="15" customHeight="1" x14ac:dyDescent="0.3">
      <c r="A415" s="81" t="s">
        <v>531</v>
      </c>
      <c r="B415" s="82">
        <v>44440</v>
      </c>
      <c r="C415" s="81" t="s">
        <v>24</v>
      </c>
      <c r="D415" s="83">
        <v>23.9</v>
      </c>
      <c r="E415" s="83">
        <v>22.32</v>
      </c>
      <c r="F415">
        <v>2021</v>
      </c>
    </row>
    <row r="416" spans="1:6" ht="15" customHeight="1" x14ac:dyDescent="0.3">
      <c r="A416" s="81" t="s">
        <v>533</v>
      </c>
      <c r="B416" s="82">
        <v>44475</v>
      </c>
      <c r="C416" s="81" t="s">
        <v>24</v>
      </c>
      <c r="D416" s="83">
        <v>20.9</v>
      </c>
      <c r="E416" s="83">
        <v>21.29</v>
      </c>
      <c r="F416">
        <v>2021</v>
      </c>
    </row>
    <row r="417" spans="1:6" ht="15" customHeight="1" x14ac:dyDescent="0.3">
      <c r="A417" s="81" t="s">
        <v>534</v>
      </c>
      <c r="B417" s="82">
        <v>44509</v>
      </c>
      <c r="C417" s="81" t="s">
        <v>24</v>
      </c>
      <c r="D417" s="83">
        <v>16.190000000000001</v>
      </c>
      <c r="E417" s="83">
        <v>16.03</v>
      </c>
      <c r="F417">
        <v>2021</v>
      </c>
    </row>
    <row r="418" spans="1:6" ht="15" customHeight="1" x14ac:dyDescent="0.3">
      <c r="A418" s="81" t="s">
        <v>535</v>
      </c>
      <c r="B418" s="82">
        <v>44538</v>
      </c>
      <c r="C418" s="81" t="s">
        <v>24</v>
      </c>
      <c r="D418" s="83">
        <v>10.050000000000001</v>
      </c>
      <c r="E418" s="83">
        <v>10.33</v>
      </c>
      <c r="F418">
        <v>2021</v>
      </c>
    </row>
    <row r="419" spans="1:6" ht="15" customHeight="1" x14ac:dyDescent="0.3">
      <c r="A419" s="81" t="s">
        <v>539</v>
      </c>
      <c r="B419" s="82">
        <v>44595</v>
      </c>
      <c r="C419" s="81" t="s">
        <v>24</v>
      </c>
      <c r="D419" s="83">
        <v>2.52</v>
      </c>
      <c r="E419" s="83">
        <v>2.79</v>
      </c>
      <c r="F419">
        <v>2022</v>
      </c>
    </row>
    <row r="420" spans="1:6" ht="15" customHeight="1" x14ac:dyDescent="0.3">
      <c r="A420" s="81" t="s">
        <v>541</v>
      </c>
      <c r="B420" s="82">
        <v>44627</v>
      </c>
      <c r="C420" s="81" t="s">
        <v>24</v>
      </c>
      <c r="D420" s="83">
        <v>3.68</v>
      </c>
      <c r="E420" s="83">
        <v>3.09</v>
      </c>
      <c r="F420">
        <v>2022</v>
      </c>
    </row>
    <row r="421" spans="1:6" ht="15" customHeight="1" x14ac:dyDescent="0.3">
      <c r="A421" s="81" t="s">
        <v>542</v>
      </c>
      <c r="B421" s="82">
        <v>44659</v>
      </c>
      <c r="C421" s="81" t="s">
        <v>24</v>
      </c>
      <c r="D421" s="83">
        <v>5.88</v>
      </c>
      <c r="E421" s="83">
        <v>5.17</v>
      </c>
      <c r="F421">
        <v>2022</v>
      </c>
    </row>
    <row r="422" spans="1:6" ht="15" customHeight="1" x14ac:dyDescent="0.3">
      <c r="A422" s="81" t="s">
        <v>543</v>
      </c>
      <c r="B422" s="82">
        <v>44687</v>
      </c>
      <c r="C422" s="81" t="s">
        <v>24</v>
      </c>
      <c r="D422" s="83">
        <v>10.29</v>
      </c>
      <c r="E422" s="83">
        <v>8.33</v>
      </c>
      <c r="F422">
        <v>2022</v>
      </c>
    </row>
    <row r="423" spans="1:6" ht="15" customHeight="1" x14ac:dyDescent="0.3">
      <c r="A423" s="81" t="s">
        <v>544</v>
      </c>
      <c r="B423" s="82">
        <v>44718</v>
      </c>
      <c r="C423" s="81" t="s">
        <v>24</v>
      </c>
      <c r="D423" s="83">
        <v>16.79</v>
      </c>
      <c r="E423" s="83">
        <v>12.57</v>
      </c>
      <c r="F423">
        <v>2022</v>
      </c>
    </row>
    <row r="424" spans="1:6" ht="15" customHeight="1" x14ac:dyDescent="0.3">
      <c r="A424" s="81" t="s">
        <v>546</v>
      </c>
      <c r="B424" s="82">
        <v>44749</v>
      </c>
      <c r="C424" s="81" t="s">
        <v>24</v>
      </c>
      <c r="D424" s="83">
        <v>20.46</v>
      </c>
      <c r="E424" s="83">
        <v>17.71</v>
      </c>
      <c r="F424">
        <v>2022</v>
      </c>
    </row>
    <row r="425" spans="1:6" ht="15" customHeight="1" x14ac:dyDescent="0.3">
      <c r="A425" s="81" t="s">
        <v>547</v>
      </c>
      <c r="B425" s="82">
        <v>44762</v>
      </c>
      <c r="C425" s="81" t="s">
        <v>24</v>
      </c>
      <c r="D425" s="83">
        <v>22.79</v>
      </c>
      <c r="E425" s="83">
        <v>18.329999999999998</v>
      </c>
      <c r="F425">
        <v>2022</v>
      </c>
    </row>
    <row r="426" spans="1:6" ht="15" customHeight="1" x14ac:dyDescent="0.3">
      <c r="A426" s="81" t="s">
        <v>548</v>
      </c>
      <c r="B426" s="82">
        <v>44776</v>
      </c>
      <c r="C426" s="81" t="s">
        <v>24</v>
      </c>
      <c r="D426" s="83">
        <v>24.11</v>
      </c>
      <c r="E426" s="83">
        <v>21.15</v>
      </c>
      <c r="F426">
        <v>2022</v>
      </c>
    </row>
    <row r="427" spans="1:6" ht="15" customHeight="1" x14ac:dyDescent="0.3">
      <c r="A427" s="81" t="s">
        <v>549</v>
      </c>
      <c r="B427" s="82">
        <v>44791</v>
      </c>
      <c r="C427" s="81" t="s">
        <v>24</v>
      </c>
      <c r="D427" s="83">
        <v>24.08</v>
      </c>
      <c r="E427" s="83">
        <v>22</v>
      </c>
      <c r="F427">
        <v>2022</v>
      </c>
    </row>
    <row r="428" spans="1:6" ht="15" customHeight="1" x14ac:dyDescent="0.3">
      <c r="A428" s="81" t="s">
        <v>550</v>
      </c>
      <c r="B428" s="82">
        <v>44806</v>
      </c>
      <c r="C428" s="81" t="s">
        <v>24</v>
      </c>
      <c r="D428" s="83">
        <v>24.55</v>
      </c>
      <c r="E428" s="83">
        <v>22.57</v>
      </c>
      <c r="F428">
        <v>2022</v>
      </c>
    </row>
    <row r="429" spans="1:6" ht="15" customHeight="1" x14ac:dyDescent="0.3">
      <c r="A429" s="81" t="s">
        <v>552</v>
      </c>
      <c r="B429" s="82">
        <v>44840</v>
      </c>
      <c r="C429" s="81" t="s">
        <v>24</v>
      </c>
      <c r="D429" s="83">
        <v>18.95</v>
      </c>
      <c r="E429" s="83">
        <v>18.670000000000002</v>
      </c>
      <c r="F429">
        <v>2022</v>
      </c>
    </row>
    <row r="430" spans="1:6" ht="15" customHeight="1" x14ac:dyDescent="0.3">
      <c r="A430" s="81" t="s">
        <v>553</v>
      </c>
      <c r="B430" s="82">
        <v>44875</v>
      </c>
      <c r="C430" s="81" t="s">
        <v>24</v>
      </c>
      <c r="D430" s="83">
        <v>16.23</v>
      </c>
      <c r="E430" s="83">
        <v>16.170000000000002</v>
      </c>
      <c r="F430">
        <v>2022</v>
      </c>
    </row>
    <row r="431" spans="1:6" ht="15" customHeight="1" x14ac:dyDescent="0.3">
      <c r="A431" s="81" t="s">
        <v>556</v>
      </c>
      <c r="B431" s="82">
        <v>44901</v>
      </c>
      <c r="C431" s="81" t="s">
        <v>24</v>
      </c>
      <c r="D431" s="83">
        <v>10.64</v>
      </c>
      <c r="E431" s="83">
        <v>10.67</v>
      </c>
      <c r="F431">
        <v>2022</v>
      </c>
    </row>
    <row r="432" spans="1:6" ht="15" customHeight="1" x14ac:dyDescent="0.3">
      <c r="A432" s="81" t="s">
        <v>557</v>
      </c>
      <c r="B432" s="82">
        <v>44932</v>
      </c>
      <c r="C432" s="81" t="s">
        <v>24</v>
      </c>
      <c r="D432" s="83">
        <v>5.83</v>
      </c>
      <c r="E432" s="83">
        <v>6.11</v>
      </c>
      <c r="F432">
        <v>2023</v>
      </c>
    </row>
    <row r="433" spans="1:6" ht="15" customHeight="1" x14ac:dyDescent="0.3">
      <c r="A433" s="81" t="s">
        <v>558</v>
      </c>
      <c r="B433" s="82">
        <v>44965</v>
      </c>
      <c r="C433" s="81" t="s">
        <v>24</v>
      </c>
      <c r="D433" s="83">
        <v>4.1100000000000003</v>
      </c>
      <c r="E433" s="83">
        <v>4.3600000000000003</v>
      </c>
      <c r="F433">
        <v>2023</v>
      </c>
    </row>
    <row r="434" spans="1:6" ht="15" customHeight="1" x14ac:dyDescent="0.3">
      <c r="A434" s="81" t="s">
        <v>560</v>
      </c>
      <c r="B434" s="82">
        <v>45051</v>
      </c>
      <c r="C434" s="81" t="s">
        <v>24</v>
      </c>
      <c r="D434" s="83">
        <v>11.47</v>
      </c>
      <c r="E434" s="83">
        <v>8.8800000000000008</v>
      </c>
      <c r="F434">
        <v>2023</v>
      </c>
    </row>
    <row r="435" spans="1:6" ht="15" customHeight="1" x14ac:dyDescent="0.3">
      <c r="A435" s="81" t="s">
        <v>561</v>
      </c>
      <c r="B435" s="82">
        <v>45079</v>
      </c>
      <c r="C435" s="81" t="s">
        <v>24</v>
      </c>
      <c r="D435" s="83">
        <v>17.57</v>
      </c>
      <c r="E435" s="83">
        <v>12.66</v>
      </c>
      <c r="F435">
        <v>2023</v>
      </c>
    </row>
    <row r="436" spans="1:6" ht="15" customHeight="1" x14ac:dyDescent="0.3">
      <c r="A436" s="81" t="s">
        <v>563</v>
      </c>
      <c r="B436" s="82">
        <v>45112</v>
      </c>
      <c r="C436" s="81" t="s">
        <v>24</v>
      </c>
      <c r="D436" s="83">
        <v>22.48</v>
      </c>
      <c r="E436" s="83">
        <v>17.059999999999999</v>
      </c>
      <c r="F436">
        <v>2023</v>
      </c>
    </row>
    <row r="437" spans="1:6" ht="15" customHeight="1" x14ac:dyDescent="0.3">
      <c r="A437" s="81" t="s">
        <v>564</v>
      </c>
      <c r="B437" s="82">
        <v>45125</v>
      </c>
      <c r="C437" s="81" t="s">
        <v>24</v>
      </c>
      <c r="D437" s="83">
        <v>25.07</v>
      </c>
      <c r="E437" s="83">
        <v>17.28</v>
      </c>
      <c r="F437">
        <v>2023</v>
      </c>
    </row>
    <row r="438" spans="1:6" ht="15" customHeight="1" x14ac:dyDescent="0.3">
      <c r="A438" s="81" t="s">
        <v>565</v>
      </c>
      <c r="B438" s="82">
        <v>45141</v>
      </c>
      <c r="C438" s="81" t="s">
        <v>24</v>
      </c>
      <c r="D438" s="83">
        <v>24.61</v>
      </c>
      <c r="E438" s="83">
        <v>18.329999999999998</v>
      </c>
      <c r="F438">
        <v>2023</v>
      </c>
    </row>
    <row r="439" spans="1:6" ht="15" customHeight="1" x14ac:dyDescent="0.3">
      <c r="A439" s="81" t="s">
        <v>566</v>
      </c>
      <c r="B439" s="82">
        <v>45154</v>
      </c>
      <c r="C439" s="81" t="s">
        <v>24</v>
      </c>
      <c r="D439" s="83">
        <v>23.42</v>
      </c>
      <c r="E439" s="83">
        <v>20.11</v>
      </c>
      <c r="F439">
        <v>2023</v>
      </c>
    </row>
    <row r="440" spans="1:6" ht="15" customHeight="1" x14ac:dyDescent="0.3">
      <c r="A440" s="81" t="s">
        <v>567</v>
      </c>
      <c r="B440" s="82">
        <v>45175</v>
      </c>
      <c r="C440" s="81" t="s">
        <v>24</v>
      </c>
      <c r="D440" s="83">
        <v>24.57</v>
      </c>
      <c r="E440" s="83">
        <v>21.59</v>
      </c>
      <c r="F440">
        <v>2023</v>
      </c>
    </row>
    <row r="441" spans="1:6" ht="15" customHeight="1" x14ac:dyDescent="0.3">
      <c r="A441" s="81" t="s">
        <v>568</v>
      </c>
      <c r="B441" s="82">
        <v>45204</v>
      </c>
      <c r="C441" s="81" t="s">
        <v>24</v>
      </c>
      <c r="D441" s="83">
        <v>20.79</v>
      </c>
      <c r="E441" s="83">
        <v>19.41</v>
      </c>
      <c r="F441">
        <v>2023</v>
      </c>
    </row>
    <row r="442" spans="1:6" ht="15" customHeight="1" x14ac:dyDescent="0.3">
      <c r="A442" s="81" t="s">
        <v>569</v>
      </c>
      <c r="B442" s="82">
        <v>45239</v>
      </c>
      <c r="C442" s="81" t="s">
        <v>24</v>
      </c>
      <c r="D442" s="83">
        <v>14.86</v>
      </c>
      <c r="E442" s="83">
        <v>14.93</v>
      </c>
      <c r="F442">
        <v>2023</v>
      </c>
    </row>
    <row r="443" spans="1:6" ht="15" customHeight="1" x14ac:dyDescent="0.3">
      <c r="A443" s="81" t="s">
        <v>570</v>
      </c>
      <c r="B443" s="82">
        <v>45265</v>
      </c>
      <c r="C443" s="81" t="s">
        <v>24</v>
      </c>
      <c r="D443" s="83">
        <v>10.36</v>
      </c>
      <c r="E443" s="83">
        <v>10.61</v>
      </c>
      <c r="F443">
        <v>2023</v>
      </c>
    </row>
    <row r="444" spans="1:6" ht="15" customHeight="1" x14ac:dyDescent="0.3">
      <c r="A444" s="81" t="s">
        <v>571</v>
      </c>
      <c r="B444" s="82">
        <v>45295</v>
      </c>
      <c r="C444" s="81" t="s">
        <v>24</v>
      </c>
      <c r="D444" s="83">
        <v>7.13</v>
      </c>
      <c r="E444" s="83">
        <v>7.74</v>
      </c>
      <c r="F444">
        <v>2024</v>
      </c>
    </row>
    <row r="445" spans="1:6" ht="15" customHeight="1" x14ac:dyDescent="0.3">
      <c r="A445" s="81" t="s">
        <v>572</v>
      </c>
      <c r="B445" s="82">
        <v>45329</v>
      </c>
      <c r="C445" s="81" t="s">
        <v>24</v>
      </c>
      <c r="D445" s="83">
        <v>4</v>
      </c>
      <c r="E445" s="83">
        <v>4.37</v>
      </c>
      <c r="F445">
        <v>2024</v>
      </c>
    </row>
    <row r="446" spans="1:6" ht="15" customHeight="1" x14ac:dyDescent="0.3">
      <c r="A446" s="81" t="s">
        <v>574</v>
      </c>
      <c r="B446" s="82">
        <v>45358</v>
      </c>
      <c r="C446" s="81" t="s">
        <v>24</v>
      </c>
      <c r="D446" s="83">
        <v>4.92</v>
      </c>
      <c r="E446" s="83">
        <v>4.57</v>
      </c>
      <c r="F446">
        <v>2024</v>
      </c>
    </row>
    <row r="447" spans="1:6" ht="15" customHeight="1" x14ac:dyDescent="0.3">
      <c r="A447" s="81" t="s">
        <v>576</v>
      </c>
      <c r="B447" s="82">
        <v>45383</v>
      </c>
      <c r="C447" s="81" t="s">
        <v>24</v>
      </c>
      <c r="D447" s="83">
        <v>6.84</v>
      </c>
      <c r="E447" s="83">
        <v>5.91</v>
      </c>
      <c r="F447">
        <v>2024</v>
      </c>
    </row>
    <row r="448" spans="1:6" ht="15" customHeight="1" x14ac:dyDescent="0.3">
      <c r="A448" s="81" t="s">
        <v>577</v>
      </c>
      <c r="B448" s="82">
        <v>45414</v>
      </c>
      <c r="C448" s="81" t="s">
        <v>24</v>
      </c>
      <c r="D448" s="83">
        <v>11.08</v>
      </c>
      <c r="E448" s="83">
        <v>8.01</v>
      </c>
      <c r="F448">
        <v>2024</v>
      </c>
    </row>
    <row r="449" spans="1:6" ht="15" customHeight="1" x14ac:dyDescent="0.3">
      <c r="A449" s="81" t="s">
        <v>578</v>
      </c>
      <c r="B449" s="82">
        <v>45443</v>
      </c>
      <c r="C449" s="81" t="s">
        <v>24</v>
      </c>
      <c r="D449" s="83">
        <v>16.46</v>
      </c>
      <c r="E449" s="83">
        <v>12.32</v>
      </c>
      <c r="F449">
        <v>2024</v>
      </c>
    </row>
    <row r="450" spans="1:6" ht="15" customHeight="1" x14ac:dyDescent="0.3">
      <c r="A450" s="81" t="s">
        <v>580</v>
      </c>
      <c r="B450" s="82">
        <v>45476</v>
      </c>
      <c r="C450" s="81" t="s">
        <v>24</v>
      </c>
      <c r="D450" s="83">
        <v>20.62</v>
      </c>
      <c r="E450" s="83">
        <v>17.25</v>
      </c>
      <c r="F450">
        <v>2024</v>
      </c>
    </row>
    <row r="451" spans="1:6" ht="15" customHeight="1" x14ac:dyDescent="0.3">
      <c r="A451" s="81" t="s">
        <v>581</v>
      </c>
      <c r="B451" s="82">
        <v>45488</v>
      </c>
      <c r="C451" s="81" t="s">
        <v>24</v>
      </c>
      <c r="D451" s="83">
        <v>23.55</v>
      </c>
      <c r="E451" s="83">
        <v>18.04</v>
      </c>
      <c r="F451">
        <v>2024</v>
      </c>
    </row>
    <row r="452" spans="1:6" ht="15" customHeight="1" x14ac:dyDescent="0.3">
      <c r="A452" s="81" t="s">
        <v>582</v>
      </c>
      <c r="B452" s="82">
        <v>45505</v>
      </c>
      <c r="C452" s="81" t="s">
        <v>24</v>
      </c>
      <c r="D452" s="83">
        <v>24.79</v>
      </c>
      <c r="E452" s="83">
        <v>18.809999999999999</v>
      </c>
      <c r="F452">
        <v>2024</v>
      </c>
    </row>
    <row r="453" spans="1:6" ht="15" customHeight="1" x14ac:dyDescent="0.3">
      <c r="A453" s="81" t="s">
        <v>583</v>
      </c>
      <c r="B453" s="82">
        <v>45517</v>
      </c>
      <c r="C453" s="81" t="s">
        <v>24</v>
      </c>
      <c r="D453" s="83">
        <v>24.1</v>
      </c>
      <c r="E453" s="83">
        <v>20.55</v>
      </c>
      <c r="F453">
        <v>2024</v>
      </c>
    </row>
    <row r="454" spans="1:6" ht="15" customHeight="1" x14ac:dyDescent="0.3">
      <c r="A454" s="81" t="s">
        <v>584</v>
      </c>
      <c r="B454" s="82">
        <v>45532</v>
      </c>
      <c r="C454" s="81" t="s">
        <v>24</v>
      </c>
      <c r="D454" s="83">
        <v>23.64</v>
      </c>
      <c r="E454" s="83">
        <v>21.81</v>
      </c>
      <c r="F454">
        <v>2024</v>
      </c>
    </row>
    <row r="455" spans="1:6" ht="15" customHeight="1" x14ac:dyDescent="0.3">
      <c r="A455" s="149" t="s">
        <v>585</v>
      </c>
      <c r="B455" s="34">
        <v>45569</v>
      </c>
      <c r="C455" s="149" t="s">
        <v>24</v>
      </c>
      <c r="D455" s="150">
        <v>20.55</v>
      </c>
      <c r="E455" s="150">
        <v>20.239999999999998</v>
      </c>
      <c r="F455">
        <v>2024</v>
      </c>
    </row>
    <row r="456" spans="1:6" ht="15" customHeight="1" x14ac:dyDescent="0.3">
      <c r="A456" t="s">
        <v>601</v>
      </c>
      <c r="B456" s="34">
        <v>45688</v>
      </c>
      <c r="C456" t="s">
        <v>24</v>
      </c>
      <c r="D456">
        <v>2.2200000000000002</v>
      </c>
      <c r="E456">
        <v>2.27</v>
      </c>
      <c r="F456">
        <v>2025</v>
      </c>
    </row>
    <row r="457" spans="1:6" ht="15" customHeight="1" x14ac:dyDescent="0.3">
      <c r="A457" t="s">
        <v>593</v>
      </c>
      <c r="B457" s="34">
        <v>45730</v>
      </c>
      <c r="C457" t="s">
        <v>24</v>
      </c>
      <c r="D457">
        <v>3.34</v>
      </c>
      <c r="E457">
        <v>2.4300000000000002</v>
      </c>
      <c r="F457">
        <v>2025</v>
      </c>
    </row>
    <row r="458" spans="1:6" ht="15" customHeight="1" x14ac:dyDescent="0.3">
      <c r="A458" t="s">
        <v>594</v>
      </c>
      <c r="B458" s="34">
        <v>45749</v>
      </c>
      <c r="C458" t="s">
        <v>24</v>
      </c>
      <c r="D458">
        <v>5.65</v>
      </c>
      <c r="E458">
        <v>4.58</v>
      </c>
      <c r="F458">
        <v>2025</v>
      </c>
    </row>
    <row r="459" spans="1:6" ht="15" customHeight="1" x14ac:dyDescent="0.3">
      <c r="A459" t="s">
        <v>595</v>
      </c>
      <c r="B459" s="34">
        <v>45784</v>
      </c>
      <c r="C459" t="s">
        <v>24</v>
      </c>
      <c r="D459">
        <v>11.35</v>
      </c>
      <c r="E459">
        <v>8.67</v>
      </c>
      <c r="F459">
        <v>2025</v>
      </c>
    </row>
    <row r="460" spans="1:6" ht="15" customHeight="1" x14ac:dyDescent="0.3">
      <c r="A460" t="s">
        <v>596</v>
      </c>
      <c r="B460" s="34">
        <v>45812</v>
      </c>
      <c r="C460" t="s">
        <v>24</v>
      </c>
      <c r="D460">
        <v>15.28</v>
      </c>
      <c r="E460">
        <v>11.75</v>
      </c>
      <c r="F460">
        <v>2025</v>
      </c>
    </row>
    <row r="461" spans="1:6" ht="15" customHeight="1" x14ac:dyDescent="0.3">
      <c r="A461" t="s">
        <v>597</v>
      </c>
      <c r="B461" s="34">
        <v>45838</v>
      </c>
      <c r="C461" t="s">
        <v>24</v>
      </c>
      <c r="D461">
        <v>23.53</v>
      </c>
      <c r="E461">
        <v>15.69</v>
      </c>
      <c r="F461">
        <v>2025</v>
      </c>
    </row>
    <row r="462" spans="1:6" ht="15" customHeight="1" x14ac:dyDescent="0.3">
      <c r="A462" t="s">
        <v>598</v>
      </c>
      <c r="B462" s="34">
        <v>45853</v>
      </c>
      <c r="C462" t="s">
        <v>24</v>
      </c>
      <c r="D462">
        <v>21.96</v>
      </c>
      <c r="E462">
        <v>18.55</v>
      </c>
      <c r="F462">
        <v>2025</v>
      </c>
    </row>
    <row r="463" spans="1:6" ht="15" customHeight="1" x14ac:dyDescent="0.3">
      <c r="A463" t="s">
        <v>599</v>
      </c>
      <c r="B463" s="34">
        <v>45869</v>
      </c>
      <c r="C463" t="s">
        <v>24</v>
      </c>
      <c r="D463">
        <v>24.92</v>
      </c>
      <c r="E463">
        <v>18.75</v>
      </c>
      <c r="F463">
        <v>2025</v>
      </c>
    </row>
    <row r="464" spans="1:6" ht="15" customHeight="1" x14ac:dyDescent="0.3">
      <c r="A464" t="s">
        <v>600</v>
      </c>
      <c r="B464" s="34">
        <v>45881</v>
      </c>
      <c r="C464" t="s">
        <v>24</v>
      </c>
      <c r="D464">
        <v>24.53</v>
      </c>
      <c r="E464">
        <v>21.26</v>
      </c>
      <c r="F464">
        <v>2025</v>
      </c>
    </row>
    <row r="465" spans="1:6" ht="15" customHeight="1" x14ac:dyDescent="0.3">
      <c r="A465" t="s">
        <v>603</v>
      </c>
      <c r="B465" s="34">
        <v>45897</v>
      </c>
      <c r="C465" t="s">
        <v>24</v>
      </c>
      <c r="D465">
        <v>22.76</v>
      </c>
      <c r="E465">
        <v>22.1</v>
      </c>
      <c r="F465">
        <v>2025</v>
      </c>
    </row>
  </sheetData>
  <pageMargins left="0.7" right="0.7" top="0.75" bottom="0.75" header="0.3" footer="0.3"/>
  <pageSetup orientation="portrait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453"/>
  <sheetViews>
    <sheetView workbookViewId="0">
      <pane ySplit="1" topLeftCell="A435" activePane="bottomLeft" state="frozen"/>
      <selection pane="bottomLeft" activeCell="F444" sqref="F444:F453"/>
    </sheetView>
  </sheetViews>
  <sheetFormatPr defaultRowHeight="15" customHeight="1" x14ac:dyDescent="0.3"/>
  <cols>
    <col min="1" max="1" width="16" customWidth="1"/>
    <col min="2" max="2" width="7.5546875" customWidth="1"/>
    <col min="3" max="3" width="10.5546875" bestFit="1" customWidth="1"/>
    <col min="4" max="8" width="7.5546875" customWidth="1"/>
    <col min="9" max="9" width="12.5546875" bestFit="1" customWidth="1"/>
    <col min="10" max="10" width="17" bestFit="1" customWidth="1"/>
    <col min="11" max="11" width="16.88671875" bestFit="1" customWidth="1"/>
    <col min="14" max="14" width="5" customWidth="1"/>
    <col min="16" max="17" width="15.44140625" bestFit="1" customWidth="1"/>
  </cols>
  <sheetData>
    <row r="1" spans="1:16" ht="15" customHeight="1" x14ac:dyDescent="0.3">
      <c r="A1" s="182" t="s">
        <v>1</v>
      </c>
      <c r="B1" s="182" t="s">
        <v>2</v>
      </c>
      <c r="C1" s="182" t="s">
        <v>3</v>
      </c>
      <c r="D1" s="182" t="s">
        <v>4</v>
      </c>
      <c r="E1" s="182" t="s">
        <v>5</v>
      </c>
      <c r="F1" s="187" t="s">
        <v>480</v>
      </c>
      <c r="G1" s="187"/>
      <c r="H1" s="187"/>
      <c r="I1" s="187"/>
      <c r="J1" s="187"/>
      <c r="K1" s="187"/>
    </row>
    <row r="2" spans="1:16" ht="15" customHeight="1" x14ac:dyDescent="0.3">
      <c r="A2" s="183" t="s">
        <v>492</v>
      </c>
      <c r="B2" s="183" t="s">
        <v>23</v>
      </c>
      <c r="C2" s="184">
        <v>33268</v>
      </c>
      <c r="D2" s="185">
        <v>3.6796000000000002</v>
      </c>
      <c r="E2" s="185">
        <v>3.7119</v>
      </c>
      <c r="F2" s="188">
        <v>1991</v>
      </c>
      <c r="G2" s="188"/>
      <c r="H2" s="188"/>
      <c r="I2" s="188"/>
      <c r="J2" s="188"/>
      <c r="K2" s="188"/>
    </row>
    <row r="3" spans="1:16" ht="14.4" x14ac:dyDescent="0.3">
      <c r="A3" s="183" t="s">
        <v>43</v>
      </c>
      <c r="B3" s="183" t="s">
        <v>23</v>
      </c>
      <c r="C3" s="184">
        <v>33289</v>
      </c>
      <c r="D3" s="185">
        <v>3.0297999999999998</v>
      </c>
      <c r="E3" s="186"/>
      <c r="F3" s="186">
        <v>1991</v>
      </c>
      <c r="G3" s="186"/>
      <c r="H3" s="186"/>
      <c r="I3" s="47" t="s">
        <v>515</v>
      </c>
      <c r="J3" t="s">
        <v>518</v>
      </c>
      <c r="K3" t="s">
        <v>519</v>
      </c>
      <c r="N3" t="s">
        <v>480</v>
      </c>
      <c r="O3" t="s">
        <v>481</v>
      </c>
      <c r="P3" t="s">
        <v>482</v>
      </c>
    </row>
    <row r="4" spans="1:16" ht="14.4" x14ac:dyDescent="0.3">
      <c r="A4" s="183" t="s">
        <v>44</v>
      </c>
      <c r="B4" s="183" t="s">
        <v>23</v>
      </c>
      <c r="C4" s="184">
        <v>33322</v>
      </c>
      <c r="D4" s="185">
        <v>4.4516</v>
      </c>
      <c r="E4" s="185">
        <v>4.3746999999999998</v>
      </c>
      <c r="F4" s="188">
        <v>1991</v>
      </c>
      <c r="G4" s="188"/>
      <c r="H4" s="188"/>
      <c r="I4" s="9">
        <v>1991</v>
      </c>
      <c r="J4">
        <v>13.428255555555555</v>
      </c>
      <c r="K4">
        <v>12.517899999999999</v>
      </c>
      <c r="N4">
        <v>1991</v>
      </c>
      <c r="O4">
        <v>13.428255555555555</v>
      </c>
      <c r="P4">
        <v>12.517899999999999</v>
      </c>
    </row>
    <row r="5" spans="1:16" ht="14.4" x14ac:dyDescent="0.3">
      <c r="A5" s="183" t="s">
        <v>45</v>
      </c>
      <c r="B5" s="183" t="s">
        <v>23</v>
      </c>
      <c r="C5" s="184">
        <v>33330</v>
      </c>
      <c r="D5" s="185">
        <v>5.1529999999999996</v>
      </c>
      <c r="E5" s="185">
        <v>5.0568</v>
      </c>
      <c r="F5" s="188">
        <v>1991</v>
      </c>
      <c r="G5" s="188"/>
      <c r="H5" s="188"/>
      <c r="I5" s="9">
        <v>1992</v>
      </c>
      <c r="J5">
        <v>11.467936363636364</v>
      </c>
      <c r="K5">
        <v>10.164228571428572</v>
      </c>
      <c r="N5">
        <v>1992</v>
      </c>
      <c r="O5">
        <v>11.467936363636364</v>
      </c>
      <c r="P5">
        <v>10.164228571428572</v>
      </c>
    </row>
    <row r="6" spans="1:16" ht="14.4" x14ac:dyDescent="0.3">
      <c r="A6" s="183" t="s">
        <v>46</v>
      </c>
      <c r="B6" s="183" t="s">
        <v>23</v>
      </c>
      <c r="C6" s="184">
        <v>33359</v>
      </c>
      <c r="D6" s="186"/>
      <c r="E6" s="186"/>
      <c r="F6" s="186">
        <v>1991</v>
      </c>
      <c r="G6" s="186"/>
      <c r="H6" s="186"/>
      <c r="I6" s="9">
        <v>1993</v>
      </c>
      <c r="J6">
        <v>11.642536363636365</v>
      </c>
      <c r="K6">
        <v>16.41886666666667</v>
      </c>
      <c r="N6">
        <v>1993</v>
      </c>
      <c r="O6">
        <v>11.642536363636365</v>
      </c>
      <c r="P6">
        <v>16.41886666666667</v>
      </c>
    </row>
    <row r="7" spans="1:16" ht="14.4" x14ac:dyDescent="0.3">
      <c r="A7" s="183" t="s">
        <v>47</v>
      </c>
      <c r="B7" s="183" t="s">
        <v>23</v>
      </c>
      <c r="C7" s="184">
        <v>33393</v>
      </c>
      <c r="D7" s="185">
        <v>17.805299999999999</v>
      </c>
      <c r="E7" s="185">
        <v>14.296799999999999</v>
      </c>
      <c r="F7" s="188">
        <v>1991</v>
      </c>
      <c r="G7" s="188"/>
      <c r="H7" s="188"/>
      <c r="I7" s="9">
        <v>1994</v>
      </c>
      <c r="J7">
        <v>10.539166666666667</v>
      </c>
      <c r="K7">
        <v>11.633333333333335</v>
      </c>
      <c r="N7">
        <v>1994</v>
      </c>
      <c r="O7">
        <v>10.539166666666667</v>
      </c>
      <c r="P7">
        <v>11.633333333333335</v>
      </c>
    </row>
    <row r="8" spans="1:16" ht="14.4" x14ac:dyDescent="0.3">
      <c r="A8" s="183" t="s">
        <v>48</v>
      </c>
      <c r="B8" s="183" t="s">
        <v>23</v>
      </c>
      <c r="C8" s="184">
        <v>33427</v>
      </c>
      <c r="D8" s="185">
        <v>20.8568</v>
      </c>
      <c r="E8" s="185">
        <v>18.327500000000001</v>
      </c>
      <c r="F8" s="188">
        <v>1991</v>
      </c>
      <c r="G8" s="188"/>
      <c r="H8" s="188"/>
      <c r="I8" s="9">
        <v>1995</v>
      </c>
      <c r="J8">
        <v>12.310261538461539</v>
      </c>
      <c r="K8">
        <v>14.36407142857143</v>
      </c>
      <c r="N8">
        <v>1995</v>
      </c>
      <c r="O8">
        <v>12.310261538461539</v>
      </c>
      <c r="P8">
        <v>14.36407142857143</v>
      </c>
    </row>
    <row r="9" spans="1:16" ht="14.4" x14ac:dyDescent="0.3">
      <c r="A9" s="183" t="s">
        <v>49</v>
      </c>
      <c r="B9" s="183" t="s">
        <v>23</v>
      </c>
      <c r="C9" s="184">
        <v>33463</v>
      </c>
      <c r="D9" s="185">
        <v>23.029699999999998</v>
      </c>
      <c r="E9" s="185">
        <v>21.980399999999999</v>
      </c>
      <c r="F9" s="188">
        <v>1991</v>
      </c>
      <c r="G9" s="188"/>
      <c r="H9" s="188"/>
      <c r="I9" s="9">
        <v>1996</v>
      </c>
      <c r="J9">
        <v>11.128461538461538</v>
      </c>
      <c r="K9">
        <v>13.163999999999998</v>
      </c>
      <c r="N9">
        <v>1996</v>
      </c>
      <c r="O9">
        <v>11.128461538461538</v>
      </c>
      <c r="P9">
        <v>13.163999999999998</v>
      </c>
    </row>
    <row r="10" spans="1:16" ht="14.4" x14ac:dyDescent="0.3">
      <c r="A10" s="183" t="s">
        <v>50</v>
      </c>
      <c r="B10" s="183" t="s">
        <v>23</v>
      </c>
      <c r="C10" s="184">
        <v>33486</v>
      </c>
      <c r="D10" s="185">
        <v>21.869800000000001</v>
      </c>
      <c r="E10" s="185">
        <v>21.6267</v>
      </c>
      <c r="F10" s="188">
        <v>1991</v>
      </c>
      <c r="G10" s="188"/>
      <c r="H10" s="188"/>
      <c r="I10" s="9">
        <v>1997</v>
      </c>
      <c r="J10">
        <v>12.043076923076923</v>
      </c>
      <c r="K10">
        <v>12.763846153846156</v>
      </c>
      <c r="N10">
        <v>1997</v>
      </c>
      <c r="O10">
        <v>12.043076923076923</v>
      </c>
      <c r="P10">
        <v>12.763846153846156</v>
      </c>
    </row>
    <row r="11" spans="1:16" ht="14.4" x14ac:dyDescent="0.3">
      <c r="A11" s="183" t="s">
        <v>51</v>
      </c>
      <c r="B11" s="183" t="s">
        <v>23</v>
      </c>
      <c r="C11" s="184">
        <v>33512</v>
      </c>
      <c r="D11" s="186"/>
      <c r="E11" s="185">
        <v>19.311699999999998</v>
      </c>
      <c r="F11" s="188">
        <v>1991</v>
      </c>
      <c r="G11" s="188"/>
      <c r="H11" s="188"/>
      <c r="I11" s="9">
        <v>1998</v>
      </c>
      <c r="J11">
        <v>13.3925</v>
      </c>
      <c r="K11">
        <v>14.649166666666668</v>
      </c>
      <c r="N11">
        <v>1998</v>
      </c>
      <c r="O11">
        <v>13.3925</v>
      </c>
      <c r="P11">
        <v>14.649166666666668</v>
      </c>
    </row>
    <row r="12" spans="1:16" ht="14.4" x14ac:dyDescent="0.3">
      <c r="A12" s="183" t="s">
        <v>52</v>
      </c>
      <c r="B12" s="183" t="s">
        <v>23</v>
      </c>
      <c r="C12" s="184">
        <v>33557</v>
      </c>
      <c r="D12" s="185">
        <v>12.785500000000001</v>
      </c>
      <c r="E12" s="185">
        <v>12.1678</v>
      </c>
      <c r="F12" s="188">
        <v>1991</v>
      </c>
      <c r="G12" s="188"/>
      <c r="H12" s="188"/>
      <c r="I12" s="9">
        <v>1999</v>
      </c>
      <c r="J12">
        <v>13.297142857142859</v>
      </c>
      <c r="K12">
        <v>14.77</v>
      </c>
      <c r="N12">
        <v>1999</v>
      </c>
      <c r="O12">
        <v>13.297142857142859</v>
      </c>
      <c r="P12">
        <v>14.77</v>
      </c>
    </row>
    <row r="13" spans="1:16" ht="14.4" x14ac:dyDescent="0.3">
      <c r="A13" s="183" t="s">
        <v>53</v>
      </c>
      <c r="B13" s="183" t="s">
        <v>23</v>
      </c>
      <c r="C13" s="184">
        <v>33610</v>
      </c>
      <c r="D13" s="185">
        <v>5.4497999999999998</v>
      </c>
      <c r="E13" s="185">
        <v>5.4454000000000002</v>
      </c>
      <c r="F13" s="188">
        <v>1992</v>
      </c>
      <c r="G13" s="188"/>
      <c r="H13" s="188"/>
      <c r="I13" s="9">
        <v>2000</v>
      </c>
      <c r="J13">
        <v>12.594666666666667</v>
      </c>
      <c r="K13">
        <v>13.538</v>
      </c>
      <c r="N13">
        <v>2000</v>
      </c>
      <c r="O13">
        <v>12.594666666666667</v>
      </c>
      <c r="P13">
        <v>13.538</v>
      </c>
    </row>
    <row r="14" spans="1:16" ht="14.4" x14ac:dyDescent="0.3">
      <c r="A14" s="183" t="s">
        <v>54</v>
      </c>
      <c r="B14" s="183" t="s">
        <v>23</v>
      </c>
      <c r="C14" s="184">
        <v>33638</v>
      </c>
      <c r="D14" s="185">
        <v>2.2368000000000001</v>
      </c>
      <c r="E14" s="185">
        <v>2.3106</v>
      </c>
      <c r="F14" s="188">
        <v>1992</v>
      </c>
      <c r="G14" s="188"/>
      <c r="H14" s="188"/>
      <c r="I14" s="9">
        <v>2001</v>
      </c>
      <c r="J14">
        <v>13.113076923076921</v>
      </c>
      <c r="K14">
        <v>14.022307692307692</v>
      </c>
      <c r="N14">
        <v>2001</v>
      </c>
      <c r="O14">
        <v>13.113076923076921</v>
      </c>
      <c r="P14">
        <v>14.022307692307692</v>
      </c>
    </row>
    <row r="15" spans="1:16" ht="14.4" x14ac:dyDescent="0.3">
      <c r="A15" s="183" t="s">
        <v>493</v>
      </c>
      <c r="B15" s="183" t="s">
        <v>23</v>
      </c>
      <c r="C15" s="184">
        <v>33653</v>
      </c>
      <c r="D15" s="185">
        <v>1.889</v>
      </c>
      <c r="E15" s="185">
        <v>1.9054</v>
      </c>
      <c r="F15" s="188">
        <v>1992</v>
      </c>
      <c r="G15" s="188"/>
      <c r="H15" s="188"/>
      <c r="I15" s="9">
        <v>2002</v>
      </c>
      <c r="J15">
        <v>12.103333333333333</v>
      </c>
      <c r="K15">
        <v>12.841666666666667</v>
      </c>
      <c r="N15">
        <v>2002</v>
      </c>
      <c r="O15">
        <v>12.103333333333333</v>
      </c>
      <c r="P15">
        <v>12.841666666666667</v>
      </c>
    </row>
    <row r="16" spans="1:16" ht="14.4" x14ac:dyDescent="0.3">
      <c r="A16" s="183" t="s">
        <v>55</v>
      </c>
      <c r="B16" s="183" t="s">
        <v>23</v>
      </c>
      <c r="C16" s="184">
        <v>33729</v>
      </c>
      <c r="D16" s="185">
        <v>9.2108000000000008</v>
      </c>
      <c r="E16" s="185">
        <v>7.7717000000000001</v>
      </c>
      <c r="F16" s="188">
        <v>1992</v>
      </c>
      <c r="G16" s="188"/>
      <c r="H16" s="188"/>
      <c r="I16" s="9">
        <v>2003</v>
      </c>
      <c r="J16">
        <v>11.635833333333332</v>
      </c>
      <c r="K16">
        <v>13.2125</v>
      </c>
      <c r="N16">
        <v>2003</v>
      </c>
      <c r="O16">
        <v>11.635833333333332</v>
      </c>
      <c r="P16">
        <v>13.2125</v>
      </c>
    </row>
    <row r="17" spans="1:18" ht="14.4" x14ac:dyDescent="0.3">
      <c r="A17" s="183" t="s">
        <v>56</v>
      </c>
      <c r="B17" s="183" t="s">
        <v>23</v>
      </c>
      <c r="C17" s="184">
        <v>33757</v>
      </c>
      <c r="D17" s="186"/>
      <c r="E17" s="185">
        <v>11.0388</v>
      </c>
      <c r="F17" s="188">
        <v>1992</v>
      </c>
      <c r="G17" s="188"/>
      <c r="H17" s="188"/>
      <c r="I17" s="9">
        <v>2004</v>
      </c>
      <c r="J17">
        <v>12.70857142857143</v>
      </c>
      <c r="K17">
        <v>13.742857142857146</v>
      </c>
      <c r="N17">
        <v>2004</v>
      </c>
      <c r="O17">
        <v>12.70857142857143</v>
      </c>
      <c r="P17">
        <v>13.742857142857146</v>
      </c>
    </row>
    <row r="18" spans="1:18" ht="14.4" x14ac:dyDescent="0.3">
      <c r="A18" s="183" t="s">
        <v>57</v>
      </c>
      <c r="B18" s="183" t="s">
        <v>23</v>
      </c>
      <c r="C18" s="184">
        <v>33793</v>
      </c>
      <c r="D18" s="186"/>
      <c r="E18" s="185">
        <v>16.668600000000001</v>
      </c>
      <c r="F18" s="188">
        <v>1992</v>
      </c>
      <c r="G18" s="188"/>
      <c r="H18" s="188"/>
      <c r="I18" s="9">
        <v>2005</v>
      </c>
      <c r="J18">
        <v>12.401428571428571</v>
      </c>
      <c r="K18">
        <v>14.594615384615384</v>
      </c>
      <c r="N18">
        <v>2005</v>
      </c>
      <c r="O18">
        <v>12.401428571428571</v>
      </c>
      <c r="P18">
        <v>14.594615384615384</v>
      </c>
    </row>
    <row r="19" spans="1:18" ht="14.4" x14ac:dyDescent="0.3">
      <c r="A19" s="183" t="s">
        <v>58</v>
      </c>
      <c r="B19" s="183" t="s">
        <v>23</v>
      </c>
      <c r="C19" s="184">
        <v>33821</v>
      </c>
      <c r="D19" s="186"/>
      <c r="E19" s="185">
        <v>20.3233</v>
      </c>
      <c r="F19" s="188">
        <v>1992</v>
      </c>
      <c r="G19" s="188"/>
      <c r="H19" s="188"/>
      <c r="I19" s="9">
        <v>2006</v>
      </c>
      <c r="J19">
        <v>13.866249999999999</v>
      </c>
      <c r="K19">
        <v>14.9025</v>
      </c>
      <c r="N19">
        <v>2006</v>
      </c>
      <c r="O19">
        <v>13.866249999999999</v>
      </c>
      <c r="P19">
        <v>14.9025</v>
      </c>
    </row>
    <row r="20" spans="1:18" ht="14.4" x14ac:dyDescent="0.3">
      <c r="A20" s="183" t="s">
        <v>59</v>
      </c>
      <c r="B20" s="183" t="s">
        <v>23</v>
      </c>
      <c r="C20" s="184">
        <v>33848</v>
      </c>
      <c r="D20" s="185">
        <v>21.248100000000001</v>
      </c>
      <c r="E20" s="185">
        <v>21.184799999999999</v>
      </c>
      <c r="F20" s="188">
        <v>1992</v>
      </c>
      <c r="G20" s="188"/>
      <c r="H20" s="188"/>
      <c r="I20" s="9">
        <v>2007</v>
      </c>
      <c r="J20">
        <v>13.825384615384614</v>
      </c>
      <c r="K20">
        <v>14.854615384615384</v>
      </c>
      <c r="N20">
        <v>2007</v>
      </c>
      <c r="O20">
        <v>13.825384615384614</v>
      </c>
      <c r="P20">
        <v>14.854615384615384</v>
      </c>
    </row>
    <row r="21" spans="1:18" ht="14.4" x14ac:dyDescent="0.3">
      <c r="A21" s="183" t="s">
        <v>60</v>
      </c>
      <c r="B21" s="183" t="s">
        <v>23</v>
      </c>
      <c r="C21" s="184">
        <v>33883</v>
      </c>
      <c r="D21" s="185">
        <v>17.586500000000001</v>
      </c>
      <c r="E21" s="185">
        <v>17.564</v>
      </c>
      <c r="F21" s="188">
        <v>1992</v>
      </c>
      <c r="G21" s="188"/>
      <c r="H21" s="188"/>
      <c r="I21" s="9">
        <v>2008</v>
      </c>
      <c r="J21">
        <v>12.174615384615382</v>
      </c>
      <c r="K21">
        <v>13.320769230769232</v>
      </c>
      <c r="N21">
        <v>2008</v>
      </c>
      <c r="O21">
        <v>12.174615384615382</v>
      </c>
      <c r="P21">
        <v>13.320769230769232</v>
      </c>
      <c r="R21" t="s">
        <v>555</v>
      </c>
    </row>
    <row r="22" spans="1:18" ht="14.4" x14ac:dyDescent="0.3">
      <c r="A22" s="183" t="s">
        <v>61</v>
      </c>
      <c r="B22" s="183" t="s">
        <v>23</v>
      </c>
      <c r="C22" s="184">
        <v>33912</v>
      </c>
      <c r="D22" s="185">
        <v>13.528600000000001</v>
      </c>
      <c r="E22" s="185">
        <v>13.3523</v>
      </c>
      <c r="F22" s="188">
        <v>1992</v>
      </c>
      <c r="G22" s="188"/>
      <c r="H22" s="188"/>
      <c r="I22" s="9">
        <v>2009</v>
      </c>
      <c r="J22">
        <v>13.227692307692307</v>
      </c>
      <c r="K22">
        <v>14.166153846153843</v>
      </c>
      <c r="N22">
        <v>2009</v>
      </c>
      <c r="O22">
        <v>13.227692307692307</v>
      </c>
      <c r="P22">
        <v>14.166153846153843</v>
      </c>
    </row>
    <row r="23" spans="1:18" ht="14.4" x14ac:dyDescent="0.3">
      <c r="A23" s="183" t="s">
        <v>62</v>
      </c>
      <c r="B23" s="183" t="s">
        <v>23</v>
      </c>
      <c r="C23" s="184">
        <v>33946</v>
      </c>
      <c r="D23" s="186"/>
      <c r="E23" s="185">
        <v>8.5823999999999998</v>
      </c>
      <c r="F23" s="188">
        <v>1992</v>
      </c>
      <c r="G23" s="188"/>
      <c r="H23" s="188"/>
      <c r="I23" s="9">
        <v>2010</v>
      </c>
      <c r="J23">
        <v>10.279</v>
      </c>
      <c r="K23">
        <v>11.305999999999999</v>
      </c>
      <c r="N23">
        <v>2010</v>
      </c>
      <c r="O23">
        <v>10.279</v>
      </c>
      <c r="P23">
        <v>11.305999999999999</v>
      </c>
    </row>
    <row r="24" spans="1:18" ht="14.4" x14ac:dyDescent="0.3">
      <c r="A24" s="183" t="s">
        <v>63</v>
      </c>
      <c r="B24" s="183" t="s">
        <v>23</v>
      </c>
      <c r="C24" s="184">
        <v>33983</v>
      </c>
      <c r="D24" s="185">
        <v>4.1955999999999998</v>
      </c>
      <c r="E24" s="185">
        <v>4.2080000000000002</v>
      </c>
      <c r="F24" s="188">
        <v>1993</v>
      </c>
      <c r="G24" s="188"/>
      <c r="H24" s="188"/>
      <c r="I24" s="9">
        <v>2011</v>
      </c>
      <c r="J24">
        <v>12.972857142857142</v>
      </c>
      <c r="K24">
        <v>14.347857142857142</v>
      </c>
      <c r="N24">
        <v>2011</v>
      </c>
      <c r="O24">
        <v>12.972857142857142</v>
      </c>
      <c r="P24">
        <v>14.347857142857142</v>
      </c>
    </row>
    <row r="25" spans="1:18" ht="14.4" x14ac:dyDescent="0.3">
      <c r="A25" s="183" t="s">
        <v>64</v>
      </c>
      <c r="B25" s="183" t="s">
        <v>23</v>
      </c>
      <c r="C25" s="184">
        <v>34008</v>
      </c>
      <c r="D25" s="186"/>
      <c r="E25" s="185">
        <v>1.9921</v>
      </c>
      <c r="F25" s="188">
        <v>1993</v>
      </c>
      <c r="G25" s="188"/>
      <c r="H25" s="188"/>
      <c r="I25" s="9">
        <v>2012</v>
      </c>
      <c r="J25">
        <v>14.721538461538461</v>
      </c>
      <c r="K25">
        <v>15.101428571428572</v>
      </c>
      <c r="N25">
        <v>2012</v>
      </c>
      <c r="O25">
        <v>14.721538461538461</v>
      </c>
      <c r="P25">
        <v>15.101428571428572</v>
      </c>
    </row>
    <row r="26" spans="1:18" ht="14.4" x14ac:dyDescent="0.3">
      <c r="A26" s="183" t="s">
        <v>65</v>
      </c>
      <c r="B26" s="183" t="s">
        <v>23</v>
      </c>
      <c r="C26" s="184">
        <v>34036</v>
      </c>
      <c r="D26" s="186"/>
      <c r="E26" s="185">
        <v>1.1265000000000001</v>
      </c>
      <c r="F26" s="188">
        <v>1993</v>
      </c>
      <c r="G26" s="188"/>
      <c r="H26" s="188"/>
      <c r="I26" s="9">
        <v>2013</v>
      </c>
      <c r="J26">
        <v>12.921428571428573</v>
      </c>
      <c r="K26">
        <v>13.974285714285713</v>
      </c>
      <c r="N26">
        <v>2013</v>
      </c>
      <c r="O26">
        <v>12.921428571428573</v>
      </c>
      <c r="P26">
        <v>13.974285714285713</v>
      </c>
    </row>
    <row r="27" spans="1:18" ht="14.4" x14ac:dyDescent="0.3">
      <c r="A27" s="183" t="s">
        <v>66</v>
      </c>
      <c r="B27" s="183" t="s">
        <v>23</v>
      </c>
      <c r="C27" s="184">
        <v>34094</v>
      </c>
      <c r="D27" s="185">
        <v>7.2824</v>
      </c>
      <c r="E27" s="185">
        <v>7.2051999999999996</v>
      </c>
      <c r="F27" s="188">
        <v>1993</v>
      </c>
      <c r="G27" s="188"/>
      <c r="H27" s="188"/>
      <c r="I27" s="9">
        <v>2014</v>
      </c>
      <c r="J27">
        <v>11.602307692307692</v>
      </c>
      <c r="K27">
        <v>12.69230769230769</v>
      </c>
      <c r="N27">
        <v>2014</v>
      </c>
      <c r="O27">
        <v>11.602307692307692</v>
      </c>
      <c r="P27">
        <v>12.69230769230769</v>
      </c>
    </row>
    <row r="28" spans="1:18" ht="14.4" x14ac:dyDescent="0.3">
      <c r="A28" s="183" t="s">
        <v>67</v>
      </c>
      <c r="B28" s="183" t="s">
        <v>23</v>
      </c>
      <c r="C28" s="184">
        <v>34121</v>
      </c>
      <c r="D28" s="186"/>
      <c r="E28" s="185">
        <v>12.5359</v>
      </c>
      <c r="F28" s="188">
        <v>1993</v>
      </c>
      <c r="G28" s="188"/>
      <c r="H28" s="188"/>
      <c r="I28" s="9">
        <v>2015</v>
      </c>
      <c r="J28">
        <v>12.445714285714287</v>
      </c>
      <c r="K28">
        <v>13.619285714285715</v>
      </c>
      <c r="N28">
        <v>2015</v>
      </c>
      <c r="O28">
        <v>12.445714285714287</v>
      </c>
      <c r="P28">
        <v>13.619285714285715</v>
      </c>
    </row>
    <row r="29" spans="1:18" ht="14.4" x14ac:dyDescent="0.3">
      <c r="A29" s="183" t="s">
        <v>68</v>
      </c>
      <c r="B29" s="183" t="s">
        <v>23</v>
      </c>
      <c r="C29" s="184">
        <v>34157</v>
      </c>
      <c r="D29" s="185">
        <v>21.7911</v>
      </c>
      <c r="E29" s="185">
        <v>17.575199999999999</v>
      </c>
      <c r="F29" s="188">
        <v>1993</v>
      </c>
      <c r="G29" s="188"/>
      <c r="H29" s="188"/>
      <c r="I29" s="9">
        <v>2016</v>
      </c>
      <c r="J29">
        <v>14.076923076923077</v>
      </c>
      <c r="K29">
        <v>14.837692307692306</v>
      </c>
      <c r="N29">
        <v>2016</v>
      </c>
      <c r="O29">
        <v>14.076923076923077</v>
      </c>
      <c r="P29">
        <v>14.837692307692306</v>
      </c>
    </row>
    <row r="30" spans="1:18" ht="14.4" x14ac:dyDescent="0.3">
      <c r="A30" s="183" t="s">
        <v>69</v>
      </c>
      <c r="B30" s="183" t="s">
        <v>23</v>
      </c>
      <c r="C30" s="184">
        <v>34183</v>
      </c>
      <c r="D30" s="185">
        <v>23.1904</v>
      </c>
      <c r="E30" s="185">
        <v>20.532699999999998</v>
      </c>
      <c r="F30" s="188">
        <v>1993</v>
      </c>
      <c r="G30" s="188"/>
      <c r="H30" s="188"/>
      <c r="I30" s="9">
        <v>2017</v>
      </c>
      <c r="J30">
        <v>13.14153846153846</v>
      </c>
      <c r="K30">
        <v>14.542307692307693</v>
      </c>
      <c r="N30">
        <v>2017</v>
      </c>
      <c r="O30">
        <v>13.14153846153846</v>
      </c>
      <c r="P30">
        <v>14.542307692307693</v>
      </c>
    </row>
    <row r="31" spans="1:18" ht="14.4" x14ac:dyDescent="0.3">
      <c r="A31" s="183" t="s">
        <v>70</v>
      </c>
      <c r="B31" s="183" t="s">
        <v>23</v>
      </c>
      <c r="C31" s="184">
        <v>34219</v>
      </c>
      <c r="D31" s="185">
        <v>23.837800000000001</v>
      </c>
      <c r="E31" s="185">
        <v>22.5609</v>
      </c>
      <c r="F31" s="188">
        <v>1993</v>
      </c>
      <c r="G31" s="188"/>
      <c r="H31" s="188"/>
      <c r="I31" s="9">
        <v>2018</v>
      </c>
      <c r="J31">
        <v>13.516923076923076</v>
      </c>
      <c r="K31">
        <v>14.940769230769233</v>
      </c>
      <c r="N31">
        <v>2018</v>
      </c>
      <c r="O31">
        <v>13.516923076923076</v>
      </c>
      <c r="P31">
        <v>14.940769230769233</v>
      </c>
    </row>
    <row r="32" spans="1:18" ht="14.4" x14ac:dyDescent="0.3">
      <c r="A32" s="183" t="s">
        <v>71</v>
      </c>
      <c r="B32" s="183" t="s">
        <v>23</v>
      </c>
      <c r="C32" s="184">
        <v>34247</v>
      </c>
      <c r="D32" s="185">
        <v>18.215900000000001</v>
      </c>
      <c r="E32" s="185">
        <v>18.2989</v>
      </c>
      <c r="F32" s="188">
        <v>1993</v>
      </c>
      <c r="G32" s="188"/>
      <c r="H32" s="188"/>
      <c r="I32" s="9">
        <v>2019</v>
      </c>
      <c r="J32">
        <v>13.045000000000002</v>
      </c>
      <c r="K32">
        <v>14.148571428571429</v>
      </c>
      <c r="N32">
        <v>2019</v>
      </c>
      <c r="O32">
        <v>13.045000000000002</v>
      </c>
      <c r="P32">
        <v>14.148571428571429</v>
      </c>
    </row>
    <row r="33" spans="1:16" ht="14.4" x14ac:dyDescent="0.3">
      <c r="A33" s="183" t="s">
        <v>494</v>
      </c>
      <c r="B33" s="183" t="s">
        <v>23</v>
      </c>
      <c r="C33" s="184">
        <v>34275</v>
      </c>
      <c r="D33" s="186"/>
      <c r="E33" s="185">
        <v>13.459099999999999</v>
      </c>
      <c r="F33" s="188">
        <v>1993</v>
      </c>
      <c r="G33" s="188"/>
      <c r="H33" s="188"/>
      <c r="I33" s="9">
        <v>2020</v>
      </c>
      <c r="J33">
        <v>16.747999999999998</v>
      </c>
      <c r="K33">
        <v>18.113000000000003</v>
      </c>
      <c r="N33">
        <v>2020</v>
      </c>
      <c r="O33">
        <v>16.747999999999998</v>
      </c>
      <c r="P33">
        <v>18.113000000000003</v>
      </c>
    </row>
    <row r="34" spans="1:16" ht="14.4" x14ac:dyDescent="0.3">
      <c r="A34" s="183" t="s">
        <v>72</v>
      </c>
      <c r="B34" s="183" t="s">
        <v>23</v>
      </c>
      <c r="C34" s="184">
        <v>34318</v>
      </c>
      <c r="D34" s="186"/>
      <c r="E34" s="185">
        <v>8.5733999999999995</v>
      </c>
      <c r="F34" s="188">
        <v>1993</v>
      </c>
      <c r="G34" s="188"/>
      <c r="H34" s="188"/>
      <c r="I34" s="9">
        <v>2021</v>
      </c>
      <c r="J34">
        <v>15.274999999999997</v>
      </c>
      <c r="K34">
        <v>16.196666666666665</v>
      </c>
      <c r="N34">
        <v>2021</v>
      </c>
      <c r="O34">
        <v>15.274999999999997</v>
      </c>
      <c r="P34">
        <v>16.196666666666665</v>
      </c>
    </row>
    <row r="35" spans="1:16" ht="14.4" x14ac:dyDescent="0.3">
      <c r="A35" s="183" t="s">
        <v>73</v>
      </c>
      <c r="B35" s="183" t="s">
        <v>23</v>
      </c>
      <c r="C35" s="184">
        <v>34345</v>
      </c>
      <c r="D35" s="185">
        <v>2.54</v>
      </c>
      <c r="E35" s="185">
        <v>2.5499999999999998</v>
      </c>
      <c r="F35" s="188">
        <v>1994</v>
      </c>
      <c r="G35" s="188"/>
      <c r="H35" s="188"/>
      <c r="I35" s="9">
        <v>2022</v>
      </c>
      <c r="J35">
        <v>14.016666666666666</v>
      </c>
      <c r="K35">
        <v>15.445833333333333</v>
      </c>
      <c r="N35">
        <v>2022</v>
      </c>
      <c r="O35">
        <v>14.016666666666666</v>
      </c>
      <c r="P35">
        <v>15.445833333333333</v>
      </c>
    </row>
    <row r="36" spans="1:16" ht="14.4" x14ac:dyDescent="0.3">
      <c r="A36" s="183" t="s">
        <v>74</v>
      </c>
      <c r="B36" s="183" t="s">
        <v>23</v>
      </c>
      <c r="C36" s="184">
        <v>34366</v>
      </c>
      <c r="D36" s="185">
        <v>0.4</v>
      </c>
      <c r="E36" s="185">
        <v>0.28999999999999998</v>
      </c>
      <c r="F36" s="188">
        <v>1994</v>
      </c>
      <c r="G36" s="188"/>
      <c r="H36" s="188"/>
      <c r="I36" s="9">
        <v>2023</v>
      </c>
      <c r="J36">
        <v>14.022500000000003</v>
      </c>
      <c r="K36">
        <v>15.504166666666665</v>
      </c>
      <c r="N36">
        <v>2023</v>
      </c>
      <c r="O36">
        <v>14.022500000000003</v>
      </c>
      <c r="P36">
        <v>15.504166666666665</v>
      </c>
    </row>
    <row r="37" spans="1:16" ht="14.4" x14ac:dyDescent="0.3">
      <c r="A37" s="183" t="s">
        <v>75</v>
      </c>
      <c r="B37" s="183" t="s">
        <v>23</v>
      </c>
      <c r="C37" s="184">
        <v>34400</v>
      </c>
      <c r="D37" s="185">
        <v>-0.22</v>
      </c>
      <c r="E37" s="185">
        <v>-0.28999999999999998</v>
      </c>
      <c r="F37" s="188">
        <v>1994</v>
      </c>
      <c r="G37" s="188"/>
      <c r="H37" s="188"/>
      <c r="I37" s="9">
        <v>2024</v>
      </c>
      <c r="J37">
        <v>13.849166666666667</v>
      </c>
      <c r="K37">
        <v>15.102500000000001</v>
      </c>
      <c r="N37">
        <v>2024</v>
      </c>
      <c r="O37">
        <v>13.849166666666667</v>
      </c>
      <c r="P37">
        <v>15.102500000000001</v>
      </c>
    </row>
    <row r="38" spans="1:16" ht="14.4" x14ac:dyDescent="0.3">
      <c r="A38" s="183" t="s">
        <v>76</v>
      </c>
      <c r="B38" s="183" t="s">
        <v>23</v>
      </c>
      <c r="C38" s="184">
        <v>34429</v>
      </c>
      <c r="D38" s="185">
        <v>3.56</v>
      </c>
      <c r="E38" s="185">
        <v>2.67</v>
      </c>
      <c r="F38" s="188">
        <v>1994</v>
      </c>
      <c r="G38" s="188"/>
      <c r="H38" s="188"/>
      <c r="I38" s="9" t="s">
        <v>516</v>
      </c>
    </row>
    <row r="39" spans="1:16" ht="14.4" x14ac:dyDescent="0.3">
      <c r="A39" s="183" t="s">
        <v>77</v>
      </c>
      <c r="B39" s="183" t="s">
        <v>23</v>
      </c>
      <c r="C39" s="184">
        <v>34457</v>
      </c>
      <c r="D39" s="185">
        <v>8.1999999999999993</v>
      </c>
      <c r="E39" s="185">
        <v>7.21</v>
      </c>
      <c r="F39" s="188">
        <v>1994</v>
      </c>
      <c r="G39" s="188"/>
      <c r="H39" s="188"/>
      <c r="I39" s="9" t="s">
        <v>517</v>
      </c>
      <c r="J39">
        <v>12.909794575471688</v>
      </c>
      <c r="K39">
        <v>14.11117159904534</v>
      </c>
    </row>
    <row r="40" spans="1:16" ht="15" customHeight="1" x14ac:dyDescent="0.3">
      <c r="A40" s="183" t="s">
        <v>78</v>
      </c>
      <c r="B40" s="183" t="s">
        <v>23</v>
      </c>
      <c r="C40" s="184">
        <v>34486</v>
      </c>
      <c r="D40" s="185">
        <v>12.52</v>
      </c>
      <c r="E40" s="185">
        <v>11.38</v>
      </c>
      <c r="F40" s="188">
        <v>1994</v>
      </c>
      <c r="G40" s="188"/>
      <c r="H40" s="188"/>
      <c r="I40" s="188"/>
      <c r="J40" s="188"/>
      <c r="K40" s="188"/>
    </row>
    <row r="41" spans="1:16" ht="15" customHeight="1" x14ac:dyDescent="0.3">
      <c r="A41" s="183" t="s">
        <v>80</v>
      </c>
      <c r="B41" s="183" t="s">
        <v>23</v>
      </c>
      <c r="C41" s="184">
        <v>34522</v>
      </c>
      <c r="D41" s="185">
        <v>22.7</v>
      </c>
      <c r="E41" s="185">
        <v>17.329999999999998</v>
      </c>
      <c r="F41" s="188">
        <v>1994</v>
      </c>
      <c r="G41" s="188"/>
      <c r="H41" s="188"/>
      <c r="I41" s="188"/>
      <c r="J41" s="188"/>
      <c r="K41" s="188"/>
    </row>
    <row r="42" spans="1:16" ht="15" customHeight="1" x14ac:dyDescent="0.3">
      <c r="A42" s="183" t="s">
        <v>82</v>
      </c>
      <c r="B42" s="183" t="s">
        <v>23</v>
      </c>
      <c r="C42" s="184">
        <v>34547</v>
      </c>
      <c r="D42" s="185">
        <v>24.6</v>
      </c>
      <c r="E42" s="185">
        <v>21.14</v>
      </c>
      <c r="F42" s="188">
        <v>1994</v>
      </c>
      <c r="G42" s="188"/>
      <c r="H42" s="188"/>
      <c r="I42" s="188"/>
      <c r="J42" s="188"/>
      <c r="K42" s="188"/>
    </row>
    <row r="43" spans="1:16" ht="15" customHeight="1" x14ac:dyDescent="0.3">
      <c r="A43" s="183" t="s">
        <v>84</v>
      </c>
      <c r="B43" s="183" t="s">
        <v>23</v>
      </c>
      <c r="C43" s="184">
        <v>34575</v>
      </c>
      <c r="D43" s="185">
        <v>22.33</v>
      </c>
      <c r="E43" s="185">
        <v>21.39</v>
      </c>
      <c r="F43" s="188">
        <v>1994</v>
      </c>
      <c r="G43" s="188"/>
      <c r="H43" s="188"/>
      <c r="I43" s="188"/>
      <c r="J43" s="188"/>
      <c r="K43" s="188"/>
    </row>
    <row r="44" spans="1:16" ht="15" customHeight="1" x14ac:dyDescent="0.3">
      <c r="A44" s="183" t="s">
        <v>86</v>
      </c>
      <c r="B44" s="183" t="s">
        <v>23</v>
      </c>
      <c r="C44" s="184">
        <v>34611</v>
      </c>
      <c r="D44" s="185">
        <v>18.309999999999999</v>
      </c>
      <c r="E44" s="185">
        <v>18.07</v>
      </c>
      <c r="F44" s="188">
        <v>1994</v>
      </c>
      <c r="G44" s="188"/>
      <c r="H44" s="188"/>
      <c r="I44" s="188"/>
      <c r="J44" s="188"/>
      <c r="K44" s="188"/>
    </row>
    <row r="45" spans="1:16" ht="15" customHeight="1" x14ac:dyDescent="0.3">
      <c r="A45" s="183" t="s">
        <v>87</v>
      </c>
      <c r="B45" s="183" t="s">
        <v>23</v>
      </c>
      <c r="C45" s="184">
        <v>34647</v>
      </c>
      <c r="D45" s="185">
        <v>14.57</v>
      </c>
      <c r="E45" s="185">
        <v>14.63</v>
      </c>
      <c r="F45" s="188">
        <v>1994</v>
      </c>
      <c r="G45" s="188"/>
      <c r="H45" s="188"/>
      <c r="I45" s="188"/>
      <c r="J45" s="188"/>
      <c r="K45" s="188"/>
    </row>
    <row r="46" spans="1:16" ht="15" customHeight="1" x14ac:dyDescent="0.3">
      <c r="A46" s="183" t="s">
        <v>88</v>
      </c>
      <c r="B46" s="183" t="s">
        <v>23</v>
      </c>
      <c r="C46" s="184">
        <v>34675</v>
      </c>
      <c r="D46" s="185">
        <v>10.09</v>
      </c>
      <c r="E46" s="185">
        <v>10.1</v>
      </c>
      <c r="F46" s="188">
        <v>1994</v>
      </c>
      <c r="G46" s="188"/>
      <c r="H46" s="188"/>
      <c r="I46" s="188"/>
      <c r="J46" s="188"/>
      <c r="K46" s="188"/>
    </row>
    <row r="47" spans="1:16" ht="15" customHeight="1" x14ac:dyDescent="0.3">
      <c r="A47" s="183" t="s">
        <v>89</v>
      </c>
      <c r="B47" s="183" t="s">
        <v>23</v>
      </c>
      <c r="C47" s="184">
        <v>34709</v>
      </c>
      <c r="D47" s="185">
        <v>4.8099999999999996</v>
      </c>
      <c r="E47" s="185">
        <v>4.9000000000000004</v>
      </c>
      <c r="F47" s="188">
        <v>1995</v>
      </c>
      <c r="G47" s="188"/>
      <c r="H47" s="188"/>
      <c r="I47" s="188"/>
      <c r="J47" s="188"/>
      <c r="K47" s="188"/>
    </row>
    <row r="48" spans="1:16" ht="15" customHeight="1" x14ac:dyDescent="0.3">
      <c r="A48" s="183" t="s">
        <v>90</v>
      </c>
      <c r="B48" s="183" t="s">
        <v>23</v>
      </c>
      <c r="C48" s="184">
        <v>34745</v>
      </c>
      <c r="D48" s="185">
        <v>1.86</v>
      </c>
      <c r="E48" s="185">
        <v>1.88</v>
      </c>
      <c r="F48" s="188">
        <v>1995</v>
      </c>
      <c r="G48" s="188"/>
      <c r="H48" s="188"/>
      <c r="I48" s="188"/>
      <c r="J48" s="188"/>
      <c r="K48" s="188"/>
    </row>
    <row r="49" spans="1:11" ht="15" customHeight="1" x14ac:dyDescent="0.3">
      <c r="A49" s="183" t="s">
        <v>91</v>
      </c>
      <c r="B49" s="183" t="s">
        <v>23</v>
      </c>
      <c r="C49" s="184">
        <v>34765</v>
      </c>
      <c r="D49" s="185">
        <v>2.21</v>
      </c>
      <c r="E49" s="185">
        <v>2.25</v>
      </c>
      <c r="F49" s="188">
        <v>1995</v>
      </c>
      <c r="G49" s="188"/>
      <c r="H49" s="188"/>
      <c r="I49" s="188"/>
      <c r="J49" s="188"/>
      <c r="K49" s="188"/>
    </row>
    <row r="50" spans="1:11" ht="15" customHeight="1" x14ac:dyDescent="0.3">
      <c r="A50" s="183" t="s">
        <v>92</v>
      </c>
      <c r="B50" s="183" t="s">
        <v>23</v>
      </c>
      <c r="C50" s="184">
        <v>34799</v>
      </c>
      <c r="D50" s="185">
        <v>5.7</v>
      </c>
      <c r="E50" s="185">
        <v>5.0199999999999996</v>
      </c>
      <c r="F50" s="188">
        <v>1995</v>
      </c>
      <c r="G50" s="188"/>
      <c r="H50" s="188"/>
      <c r="I50" s="188"/>
      <c r="J50" s="188"/>
      <c r="K50" s="188"/>
    </row>
    <row r="51" spans="1:11" ht="15" customHeight="1" x14ac:dyDescent="0.3">
      <c r="A51" s="183" t="s">
        <v>93</v>
      </c>
      <c r="B51" s="183" t="s">
        <v>23</v>
      </c>
      <c r="C51" s="184">
        <v>34828</v>
      </c>
      <c r="D51" s="185">
        <v>9.36</v>
      </c>
      <c r="E51" s="185">
        <v>9.18</v>
      </c>
      <c r="F51" s="188">
        <v>1995</v>
      </c>
      <c r="G51" s="188"/>
      <c r="H51" s="188"/>
      <c r="I51" s="188"/>
      <c r="J51" s="188"/>
      <c r="K51" s="188"/>
    </row>
    <row r="52" spans="1:11" ht="15" customHeight="1" x14ac:dyDescent="0.3">
      <c r="A52" s="183" t="s">
        <v>94</v>
      </c>
      <c r="B52" s="183" t="s">
        <v>23</v>
      </c>
      <c r="C52" s="184">
        <v>34855</v>
      </c>
      <c r="D52" s="185">
        <v>16.007000000000001</v>
      </c>
      <c r="E52" s="185">
        <v>12.7729</v>
      </c>
      <c r="F52" s="188">
        <v>1995</v>
      </c>
      <c r="G52" s="188"/>
      <c r="H52" s="188"/>
      <c r="I52" s="188"/>
      <c r="J52" s="188"/>
      <c r="K52" s="188"/>
    </row>
    <row r="53" spans="1:11" ht="15" customHeight="1" x14ac:dyDescent="0.3">
      <c r="A53" s="183" t="s">
        <v>95</v>
      </c>
      <c r="B53" s="183" t="s">
        <v>23</v>
      </c>
      <c r="C53" s="184">
        <v>34872</v>
      </c>
      <c r="D53" s="185">
        <v>18.21</v>
      </c>
      <c r="E53" s="185">
        <v>15.973100000000001</v>
      </c>
      <c r="F53" s="188">
        <v>1995</v>
      </c>
      <c r="G53" s="188"/>
      <c r="H53" s="188"/>
      <c r="I53" s="188"/>
      <c r="J53" s="188"/>
      <c r="K53" s="188"/>
    </row>
    <row r="54" spans="1:11" ht="15" customHeight="1" x14ac:dyDescent="0.3">
      <c r="A54" s="183" t="s">
        <v>96</v>
      </c>
      <c r="B54" s="183" t="s">
        <v>23</v>
      </c>
      <c r="C54" s="184">
        <v>34890</v>
      </c>
      <c r="D54" s="185">
        <v>20.34</v>
      </c>
      <c r="E54" s="185">
        <v>17.6434</v>
      </c>
      <c r="F54" s="188">
        <v>1995</v>
      </c>
      <c r="G54" s="188"/>
      <c r="H54" s="188"/>
      <c r="I54" s="188"/>
      <c r="J54" s="188"/>
      <c r="K54" s="188"/>
    </row>
    <row r="55" spans="1:11" ht="15" customHeight="1" x14ac:dyDescent="0.3">
      <c r="A55" s="183" t="s">
        <v>97</v>
      </c>
      <c r="B55" s="183" t="s">
        <v>23</v>
      </c>
      <c r="C55" s="184">
        <v>34900</v>
      </c>
      <c r="D55" s="185">
        <v>23.31</v>
      </c>
      <c r="E55" s="185">
        <v>19.52</v>
      </c>
      <c r="F55" s="188">
        <v>1995</v>
      </c>
      <c r="G55" s="188"/>
      <c r="H55" s="188"/>
      <c r="I55" s="188"/>
      <c r="J55" s="188"/>
      <c r="K55" s="188"/>
    </row>
    <row r="56" spans="1:11" ht="15" customHeight="1" x14ac:dyDescent="0.3">
      <c r="A56" s="183" t="s">
        <v>98</v>
      </c>
      <c r="B56" s="183" t="s">
        <v>23</v>
      </c>
      <c r="C56" s="184">
        <v>34912</v>
      </c>
      <c r="D56" s="185">
        <v>24.63</v>
      </c>
      <c r="E56" s="185">
        <v>20.7</v>
      </c>
      <c r="F56" s="188">
        <v>1995</v>
      </c>
      <c r="G56" s="188"/>
      <c r="H56" s="188"/>
      <c r="I56" s="188"/>
      <c r="J56" s="188"/>
      <c r="K56" s="188"/>
    </row>
    <row r="57" spans="1:11" ht="15" customHeight="1" x14ac:dyDescent="0.3">
      <c r="A57" s="183" t="s">
        <v>99</v>
      </c>
      <c r="B57" s="183" t="s">
        <v>23</v>
      </c>
      <c r="C57" s="184">
        <v>34927</v>
      </c>
      <c r="D57" s="185">
        <v>24.21</v>
      </c>
      <c r="E57" s="186"/>
      <c r="F57" s="186">
        <v>1995</v>
      </c>
      <c r="G57" s="186"/>
      <c r="H57" s="186"/>
      <c r="I57" s="186"/>
      <c r="J57" s="186"/>
      <c r="K57" s="186"/>
    </row>
    <row r="58" spans="1:11" ht="15" customHeight="1" x14ac:dyDescent="0.3">
      <c r="A58" s="183" t="s">
        <v>100</v>
      </c>
      <c r="B58" s="183" t="s">
        <v>23</v>
      </c>
      <c r="C58" s="184">
        <v>34954</v>
      </c>
      <c r="D58" s="185">
        <v>21.92</v>
      </c>
      <c r="E58" s="185">
        <v>21.8536</v>
      </c>
      <c r="F58" s="188">
        <v>1995</v>
      </c>
      <c r="G58" s="188"/>
      <c r="H58" s="188"/>
      <c r="I58" s="188"/>
      <c r="J58" s="188"/>
      <c r="K58" s="188"/>
    </row>
    <row r="59" spans="1:11" ht="15" customHeight="1" x14ac:dyDescent="0.3">
      <c r="A59" s="183" t="s">
        <v>101</v>
      </c>
      <c r="B59" s="183" t="s">
        <v>23</v>
      </c>
      <c r="C59" s="184">
        <v>34975</v>
      </c>
      <c r="D59" s="185">
        <v>19.52</v>
      </c>
      <c r="E59" s="185">
        <v>19.320399999999999</v>
      </c>
      <c r="F59" s="188">
        <v>1995</v>
      </c>
      <c r="G59" s="188"/>
      <c r="H59" s="188"/>
      <c r="I59" s="188"/>
      <c r="J59" s="188"/>
      <c r="K59" s="188"/>
    </row>
    <row r="60" spans="1:11" ht="15" customHeight="1" x14ac:dyDescent="0.3">
      <c r="A60" s="183" t="s">
        <v>103</v>
      </c>
      <c r="B60" s="183" t="s">
        <v>23</v>
      </c>
      <c r="C60" s="184">
        <v>35038</v>
      </c>
      <c r="D60" s="185">
        <v>9.01</v>
      </c>
      <c r="E60" s="185">
        <v>9.02</v>
      </c>
      <c r="F60" s="188">
        <v>1995</v>
      </c>
      <c r="G60" s="188"/>
      <c r="H60" s="188"/>
      <c r="I60" s="188"/>
      <c r="J60" s="188"/>
      <c r="K60" s="188"/>
    </row>
    <row r="61" spans="1:11" ht="15" customHeight="1" x14ac:dyDescent="0.3">
      <c r="A61" s="183" t="s">
        <v>495</v>
      </c>
      <c r="B61" s="183" t="s">
        <v>23</v>
      </c>
      <c r="C61" s="184">
        <v>35074</v>
      </c>
      <c r="D61" s="185">
        <v>1.47</v>
      </c>
      <c r="E61" s="185">
        <v>1.53</v>
      </c>
      <c r="F61" s="188">
        <v>1996</v>
      </c>
      <c r="G61" s="188"/>
      <c r="H61" s="188"/>
      <c r="I61" s="188"/>
      <c r="J61" s="188"/>
      <c r="K61" s="188"/>
    </row>
    <row r="62" spans="1:11" ht="15" customHeight="1" x14ac:dyDescent="0.3">
      <c r="A62" s="183" t="s">
        <v>104</v>
      </c>
      <c r="B62" s="183" t="s">
        <v>23</v>
      </c>
      <c r="C62" s="184">
        <v>35102</v>
      </c>
      <c r="D62" s="185">
        <v>0.49</v>
      </c>
      <c r="E62" s="185">
        <v>0.46</v>
      </c>
      <c r="F62" s="188">
        <v>1996</v>
      </c>
      <c r="G62" s="188"/>
      <c r="H62" s="188"/>
      <c r="I62" s="188"/>
      <c r="J62" s="188"/>
      <c r="K62" s="188"/>
    </row>
    <row r="63" spans="1:11" ht="15" customHeight="1" x14ac:dyDescent="0.3">
      <c r="A63" s="183" t="s">
        <v>105</v>
      </c>
      <c r="B63" s="183" t="s">
        <v>23</v>
      </c>
      <c r="C63" s="184">
        <v>35131</v>
      </c>
      <c r="D63" s="185">
        <v>0.86</v>
      </c>
      <c r="E63" s="185">
        <v>0.95</v>
      </c>
      <c r="F63" s="188">
        <v>1996</v>
      </c>
      <c r="G63" s="188"/>
      <c r="H63" s="188"/>
      <c r="I63" s="188"/>
      <c r="J63" s="188"/>
      <c r="K63" s="188"/>
    </row>
    <row r="64" spans="1:11" ht="15" customHeight="1" x14ac:dyDescent="0.3">
      <c r="A64" s="183" t="s">
        <v>106</v>
      </c>
      <c r="B64" s="183" t="s">
        <v>23</v>
      </c>
      <c r="C64" s="184">
        <v>35158</v>
      </c>
      <c r="D64" s="185">
        <v>3.03</v>
      </c>
      <c r="E64" s="185">
        <v>3.23</v>
      </c>
      <c r="F64" s="188">
        <v>1996</v>
      </c>
      <c r="G64" s="188"/>
      <c r="H64" s="188"/>
      <c r="I64" s="188"/>
      <c r="J64" s="188"/>
      <c r="K64" s="188"/>
    </row>
    <row r="65" spans="1:11" ht="15" customHeight="1" x14ac:dyDescent="0.3">
      <c r="A65" s="183" t="s">
        <v>107</v>
      </c>
      <c r="B65" s="183" t="s">
        <v>23</v>
      </c>
      <c r="C65" s="184">
        <v>35195</v>
      </c>
      <c r="D65" s="185">
        <v>9.5</v>
      </c>
      <c r="E65" s="185">
        <v>8.1</v>
      </c>
      <c r="F65" s="188">
        <v>1996</v>
      </c>
      <c r="G65" s="188"/>
      <c r="H65" s="188"/>
      <c r="I65" s="188"/>
      <c r="J65" s="188"/>
      <c r="K65" s="188"/>
    </row>
    <row r="66" spans="1:11" ht="15" customHeight="1" x14ac:dyDescent="0.3">
      <c r="A66" s="183" t="s">
        <v>108</v>
      </c>
      <c r="B66" s="183" t="s">
        <v>23</v>
      </c>
      <c r="C66" s="184">
        <v>35221</v>
      </c>
      <c r="D66" s="185">
        <v>14.44</v>
      </c>
      <c r="E66" s="185">
        <v>11.72</v>
      </c>
      <c r="F66" s="188">
        <v>1996</v>
      </c>
      <c r="G66" s="188"/>
      <c r="H66" s="188"/>
      <c r="I66" s="188"/>
      <c r="J66" s="188"/>
      <c r="K66" s="188"/>
    </row>
    <row r="67" spans="1:11" ht="15" customHeight="1" x14ac:dyDescent="0.3">
      <c r="A67" s="183" t="s">
        <v>109</v>
      </c>
      <c r="B67" s="183" t="s">
        <v>23</v>
      </c>
      <c r="C67" s="184">
        <v>35241</v>
      </c>
      <c r="D67" s="185">
        <v>17.53</v>
      </c>
      <c r="E67" s="186"/>
      <c r="F67" s="186">
        <v>1996</v>
      </c>
      <c r="G67" s="186"/>
      <c r="H67" s="186"/>
      <c r="I67" s="186"/>
      <c r="J67" s="186"/>
      <c r="K67" s="186"/>
    </row>
    <row r="68" spans="1:11" ht="15" customHeight="1" x14ac:dyDescent="0.3">
      <c r="A68" s="183" t="s">
        <v>110</v>
      </c>
      <c r="B68" s="183" t="s">
        <v>23</v>
      </c>
      <c r="C68" s="184">
        <v>35256</v>
      </c>
      <c r="D68" s="185">
        <v>20.56</v>
      </c>
      <c r="E68" s="185">
        <v>17.600000000000001</v>
      </c>
      <c r="F68" s="188">
        <v>1996</v>
      </c>
      <c r="G68" s="188"/>
      <c r="H68" s="188"/>
      <c r="I68" s="188"/>
      <c r="J68" s="188"/>
      <c r="K68" s="188"/>
    </row>
    <row r="69" spans="1:11" ht="15" customHeight="1" x14ac:dyDescent="0.3">
      <c r="A69" s="183" t="s">
        <v>111</v>
      </c>
      <c r="B69" s="183" t="s">
        <v>23</v>
      </c>
      <c r="C69" s="184">
        <v>35269</v>
      </c>
      <c r="D69" s="185">
        <v>20.04</v>
      </c>
      <c r="E69" s="185">
        <v>18.03</v>
      </c>
      <c r="F69" s="188">
        <v>1996</v>
      </c>
      <c r="G69" s="188"/>
      <c r="H69" s="188"/>
      <c r="I69" s="188"/>
      <c r="J69" s="188"/>
      <c r="K69" s="188"/>
    </row>
    <row r="70" spans="1:11" ht="15" customHeight="1" x14ac:dyDescent="0.3">
      <c r="A70" s="183" t="s">
        <v>112</v>
      </c>
      <c r="B70" s="183" t="s">
        <v>23</v>
      </c>
      <c r="C70" s="184">
        <v>35283</v>
      </c>
      <c r="D70" s="185">
        <v>21.9</v>
      </c>
      <c r="E70" s="185">
        <v>19.45</v>
      </c>
      <c r="F70" s="188">
        <v>1996</v>
      </c>
      <c r="G70" s="188"/>
      <c r="H70" s="188"/>
      <c r="I70" s="188"/>
      <c r="J70" s="188"/>
      <c r="K70" s="188"/>
    </row>
    <row r="71" spans="1:11" ht="15" customHeight="1" x14ac:dyDescent="0.3">
      <c r="A71" s="183" t="s">
        <v>113</v>
      </c>
      <c r="B71" s="183" t="s">
        <v>23</v>
      </c>
      <c r="C71" s="184">
        <v>35297</v>
      </c>
      <c r="D71" s="185">
        <v>22.66</v>
      </c>
      <c r="E71" s="186"/>
      <c r="F71" s="186">
        <v>1996</v>
      </c>
      <c r="G71" s="186"/>
      <c r="H71" s="186"/>
      <c r="I71" s="186"/>
      <c r="J71" s="186"/>
      <c r="K71" s="186"/>
    </row>
    <row r="72" spans="1:11" ht="15" customHeight="1" x14ac:dyDescent="0.3">
      <c r="A72" s="183" t="s">
        <v>114</v>
      </c>
      <c r="B72" s="183" t="s">
        <v>23</v>
      </c>
      <c r="C72" s="184">
        <v>35312</v>
      </c>
      <c r="D72" s="185">
        <v>21.89</v>
      </c>
      <c r="E72" s="185">
        <v>21.5</v>
      </c>
      <c r="F72" s="188">
        <v>1996</v>
      </c>
      <c r="G72" s="188"/>
      <c r="H72" s="188"/>
      <c r="I72" s="188"/>
      <c r="J72" s="188"/>
      <c r="K72" s="188"/>
    </row>
    <row r="73" spans="1:11" ht="15" customHeight="1" x14ac:dyDescent="0.3">
      <c r="A73" s="183" t="s">
        <v>115</v>
      </c>
      <c r="B73" s="183" t="s">
        <v>23</v>
      </c>
      <c r="C73" s="184">
        <v>35340</v>
      </c>
      <c r="D73" s="185">
        <v>19.829999999999998</v>
      </c>
      <c r="E73" s="185">
        <v>19.12</v>
      </c>
      <c r="F73" s="188">
        <v>1996</v>
      </c>
      <c r="G73" s="188"/>
      <c r="H73" s="188"/>
      <c r="I73" s="188"/>
      <c r="J73" s="188"/>
      <c r="K73" s="188"/>
    </row>
    <row r="74" spans="1:11" ht="15" customHeight="1" x14ac:dyDescent="0.3">
      <c r="A74" s="183" t="s">
        <v>116</v>
      </c>
      <c r="B74" s="183" t="s">
        <v>23</v>
      </c>
      <c r="C74" s="184">
        <v>35376</v>
      </c>
      <c r="D74" s="185">
        <v>14.04</v>
      </c>
      <c r="E74" s="185">
        <v>13.75</v>
      </c>
      <c r="F74" s="188">
        <v>1996</v>
      </c>
      <c r="G74" s="188"/>
      <c r="H74" s="188"/>
      <c r="I74" s="188"/>
      <c r="J74" s="188"/>
      <c r="K74" s="188"/>
    </row>
    <row r="75" spans="1:11" ht="15" customHeight="1" x14ac:dyDescent="0.3">
      <c r="A75" s="183" t="s">
        <v>117</v>
      </c>
      <c r="B75" s="183" t="s">
        <v>23</v>
      </c>
      <c r="C75" s="184">
        <v>35402</v>
      </c>
      <c r="D75" s="185">
        <v>9.2200000000000006</v>
      </c>
      <c r="E75" s="185">
        <v>9.23</v>
      </c>
      <c r="F75" s="188">
        <v>1996</v>
      </c>
      <c r="G75" s="188"/>
      <c r="H75" s="188"/>
      <c r="I75" s="188"/>
      <c r="J75" s="188"/>
      <c r="K75" s="188"/>
    </row>
    <row r="76" spans="1:11" ht="15" customHeight="1" x14ac:dyDescent="0.3">
      <c r="A76" s="183" t="s">
        <v>496</v>
      </c>
      <c r="B76" s="183" t="s">
        <v>23</v>
      </c>
      <c r="C76" s="184">
        <v>35444</v>
      </c>
      <c r="D76" s="185">
        <v>4.24</v>
      </c>
      <c r="E76" s="185">
        <v>4.24</v>
      </c>
      <c r="F76" s="188">
        <v>1997</v>
      </c>
      <c r="G76" s="188"/>
      <c r="H76" s="188"/>
      <c r="I76" s="188"/>
      <c r="J76" s="188"/>
      <c r="K76" s="188"/>
    </row>
    <row r="77" spans="1:11" ht="15" customHeight="1" x14ac:dyDescent="0.3">
      <c r="A77" s="183" t="s">
        <v>118</v>
      </c>
      <c r="B77" s="183" t="s">
        <v>23</v>
      </c>
      <c r="C77" s="184">
        <v>35467</v>
      </c>
      <c r="D77" s="185">
        <v>2.72</v>
      </c>
      <c r="E77" s="185">
        <v>2.78</v>
      </c>
      <c r="F77" s="188">
        <v>1997</v>
      </c>
      <c r="G77" s="188"/>
      <c r="H77" s="188"/>
      <c r="I77" s="188"/>
      <c r="J77" s="188"/>
      <c r="K77" s="188"/>
    </row>
    <row r="78" spans="1:11" ht="15" customHeight="1" x14ac:dyDescent="0.3">
      <c r="A78" s="183" t="s">
        <v>119</v>
      </c>
      <c r="B78" s="183" t="s">
        <v>23</v>
      </c>
      <c r="C78" s="184">
        <v>35494</v>
      </c>
      <c r="D78" s="185">
        <v>3.26</v>
      </c>
      <c r="E78" s="185">
        <v>3.67</v>
      </c>
      <c r="F78" s="188">
        <v>1997</v>
      </c>
      <c r="G78" s="188"/>
      <c r="H78" s="188"/>
      <c r="I78" s="188"/>
      <c r="J78" s="188"/>
      <c r="K78" s="188"/>
    </row>
    <row r="79" spans="1:11" ht="15" customHeight="1" x14ac:dyDescent="0.3">
      <c r="A79" s="183" t="s">
        <v>120</v>
      </c>
      <c r="B79" s="183" t="s">
        <v>23</v>
      </c>
      <c r="C79" s="184">
        <v>35524</v>
      </c>
      <c r="D79" s="185">
        <v>5.1100000000000003</v>
      </c>
      <c r="E79" s="185">
        <v>4.93</v>
      </c>
      <c r="F79" s="188">
        <v>1997</v>
      </c>
      <c r="G79" s="188"/>
      <c r="H79" s="188"/>
      <c r="I79" s="188"/>
      <c r="J79" s="188"/>
      <c r="K79" s="188"/>
    </row>
    <row r="80" spans="1:11" ht="15" customHeight="1" x14ac:dyDescent="0.3">
      <c r="A80" s="183" t="s">
        <v>121</v>
      </c>
      <c r="B80" s="183" t="s">
        <v>23</v>
      </c>
      <c r="C80" s="184">
        <v>35555</v>
      </c>
      <c r="D80" s="185">
        <v>9.33</v>
      </c>
      <c r="E80" s="185">
        <v>8.5</v>
      </c>
      <c r="F80" s="188">
        <v>1997</v>
      </c>
      <c r="G80" s="188"/>
      <c r="H80" s="188"/>
      <c r="I80" s="188"/>
      <c r="J80" s="188"/>
      <c r="K80" s="188"/>
    </row>
    <row r="81" spans="1:11" ht="15" customHeight="1" x14ac:dyDescent="0.3">
      <c r="A81" s="183" t="s">
        <v>122</v>
      </c>
      <c r="B81" s="183" t="s">
        <v>23</v>
      </c>
      <c r="C81" s="184">
        <v>35584</v>
      </c>
      <c r="D81" s="185">
        <v>11.31</v>
      </c>
      <c r="E81" s="185">
        <v>11.35</v>
      </c>
      <c r="F81" s="188">
        <v>1997</v>
      </c>
      <c r="G81" s="188"/>
      <c r="H81" s="188"/>
      <c r="I81" s="188"/>
      <c r="J81" s="188"/>
      <c r="K81" s="188"/>
    </row>
    <row r="82" spans="1:11" ht="15" customHeight="1" x14ac:dyDescent="0.3">
      <c r="A82" s="183" t="s">
        <v>491</v>
      </c>
      <c r="B82" s="183" t="s">
        <v>23</v>
      </c>
      <c r="C82" s="184">
        <v>35619</v>
      </c>
      <c r="D82" s="185">
        <v>20.64</v>
      </c>
      <c r="E82" s="185">
        <v>17.850000000000001</v>
      </c>
      <c r="F82" s="188">
        <v>1997</v>
      </c>
      <c r="G82" s="188"/>
      <c r="H82" s="188"/>
      <c r="I82" s="188"/>
      <c r="J82" s="188"/>
      <c r="K82" s="188"/>
    </row>
    <row r="83" spans="1:11" ht="15" customHeight="1" x14ac:dyDescent="0.3">
      <c r="A83" s="183" t="s">
        <v>125</v>
      </c>
      <c r="B83" s="183" t="s">
        <v>23</v>
      </c>
      <c r="C83" s="184">
        <v>35648</v>
      </c>
      <c r="D83" s="185">
        <v>23.24</v>
      </c>
      <c r="E83" s="185">
        <v>20.23</v>
      </c>
      <c r="F83" s="188">
        <v>1997</v>
      </c>
      <c r="G83" s="188"/>
      <c r="H83" s="188"/>
      <c r="I83" s="188"/>
      <c r="J83" s="188"/>
      <c r="K83" s="188"/>
    </row>
    <row r="84" spans="1:11" ht="15" customHeight="1" x14ac:dyDescent="0.3">
      <c r="A84" s="183" t="s">
        <v>126</v>
      </c>
      <c r="B84" s="183" t="s">
        <v>23</v>
      </c>
      <c r="C84" s="184">
        <v>35661</v>
      </c>
      <c r="D84" s="185">
        <v>22.09</v>
      </c>
      <c r="E84" s="185">
        <v>20.69</v>
      </c>
      <c r="F84" s="188">
        <v>1997</v>
      </c>
      <c r="G84" s="188"/>
      <c r="H84" s="188"/>
      <c r="I84" s="188"/>
      <c r="J84" s="188"/>
      <c r="K84" s="188"/>
    </row>
    <row r="85" spans="1:11" ht="15" customHeight="1" x14ac:dyDescent="0.3">
      <c r="A85" s="183" t="s">
        <v>127</v>
      </c>
      <c r="B85" s="183" t="s">
        <v>23</v>
      </c>
      <c r="C85" s="184">
        <v>35676</v>
      </c>
      <c r="D85" s="185">
        <v>22.51</v>
      </c>
      <c r="E85" s="185">
        <v>21.34</v>
      </c>
      <c r="F85" s="188">
        <v>1997</v>
      </c>
      <c r="G85" s="188"/>
      <c r="H85" s="188"/>
      <c r="I85" s="188"/>
      <c r="J85" s="188"/>
      <c r="K85" s="188"/>
    </row>
    <row r="86" spans="1:11" ht="15" customHeight="1" x14ac:dyDescent="0.3">
      <c r="A86" s="183" t="s">
        <v>128</v>
      </c>
      <c r="B86" s="183" t="s">
        <v>23</v>
      </c>
      <c r="C86" s="184">
        <v>35709</v>
      </c>
      <c r="D86" s="185">
        <v>18.89</v>
      </c>
      <c r="E86" s="185">
        <v>18.420000000000002</v>
      </c>
      <c r="F86" s="188">
        <v>1997</v>
      </c>
      <c r="G86" s="188"/>
      <c r="H86" s="188"/>
      <c r="I86" s="188"/>
      <c r="J86" s="188"/>
      <c r="K86" s="188"/>
    </row>
    <row r="87" spans="1:11" ht="15" customHeight="1" x14ac:dyDescent="0.3">
      <c r="A87" s="183" t="s">
        <v>129</v>
      </c>
      <c r="B87" s="183" t="s">
        <v>23</v>
      </c>
      <c r="C87" s="184">
        <v>35739</v>
      </c>
      <c r="D87" s="185">
        <v>14.53</v>
      </c>
      <c r="E87" s="185">
        <v>14.42</v>
      </c>
      <c r="F87" s="188">
        <v>1997</v>
      </c>
      <c r="G87" s="188"/>
      <c r="H87" s="188"/>
      <c r="I87" s="188"/>
      <c r="J87" s="188"/>
      <c r="K87" s="188"/>
    </row>
    <row r="88" spans="1:11" ht="15" customHeight="1" x14ac:dyDescent="0.3">
      <c r="A88" s="183" t="s">
        <v>130</v>
      </c>
      <c r="B88" s="183" t="s">
        <v>23</v>
      </c>
      <c r="C88" s="184">
        <v>35769</v>
      </c>
      <c r="D88" s="185">
        <v>8.06</v>
      </c>
      <c r="E88" s="185">
        <v>8.14</v>
      </c>
      <c r="F88" s="188">
        <v>1997</v>
      </c>
      <c r="G88" s="188"/>
      <c r="H88" s="188"/>
      <c r="I88" s="188"/>
      <c r="J88" s="188"/>
      <c r="K88" s="188"/>
    </row>
    <row r="89" spans="1:11" ht="15" customHeight="1" x14ac:dyDescent="0.3">
      <c r="A89" s="183" t="s">
        <v>131</v>
      </c>
      <c r="B89" s="183" t="s">
        <v>23</v>
      </c>
      <c r="C89" s="184">
        <v>35802</v>
      </c>
      <c r="D89" s="185">
        <v>5.1100000000000003</v>
      </c>
      <c r="E89" s="185">
        <v>4.96</v>
      </c>
      <c r="F89" s="188">
        <v>1998</v>
      </c>
      <c r="G89" s="188"/>
      <c r="H89" s="188"/>
      <c r="I89" s="188"/>
      <c r="J89" s="188"/>
      <c r="K89" s="188"/>
    </row>
    <row r="90" spans="1:11" ht="15" customHeight="1" x14ac:dyDescent="0.3">
      <c r="A90" s="183" t="s">
        <v>132</v>
      </c>
      <c r="B90" s="183" t="s">
        <v>23</v>
      </c>
      <c r="C90" s="184">
        <v>35829</v>
      </c>
      <c r="D90" s="185">
        <v>4.1399999999999997</v>
      </c>
      <c r="E90" s="185">
        <v>3.93</v>
      </c>
      <c r="F90" s="188">
        <v>1998</v>
      </c>
      <c r="G90" s="188"/>
      <c r="H90" s="188"/>
      <c r="I90" s="188"/>
      <c r="J90" s="188"/>
      <c r="K90" s="188"/>
    </row>
    <row r="91" spans="1:11" ht="15" customHeight="1" x14ac:dyDescent="0.3">
      <c r="A91" s="183" t="s">
        <v>134</v>
      </c>
      <c r="B91" s="183" t="s">
        <v>23</v>
      </c>
      <c r="C91" s="184">
        <v>35853</v>
      </c>
      <c r="D91" s="185">
        <v>4.42</v>
      </c>
      <c r="E91" s="185">
        <v>3.92</v>
      </c>
      <c r="F91" s="188">
        <v>1998</v>
      </c>
      <c r="G91" s="188"/>
      <c r="H91" s="188"/>
      <c r="I91" s="188"/>
      <c r="J91" s="188"/>
      <c r="K91" s="188"/>
    </row>
    <row r="92" spans="1:11" ht="15" customHeight="1" x14ac:dyDescent="0.3">
      <c r="A92" s="183" t="s">
        <v>136</v>
      </c>
      <c r="B92" s="183" t="s">
        <v>23</v>
      </c>
      <c r="C92" s="184">
        <v>35899</v>
      </c>
      <c r="D92" s="186"/>
      <c r="E92" s="186"/>
      <c r="F92" s="186">
        <v>1998</v>
      </c>
      <c r="G92" s="186"/>
      <c r="H92" s="186"/>
      <c r="I92" s="186"/>
      <c r="J92" s="186"/>
      <c r="K92" s="186"/>
    </row>
    <row r="93" spans="1:11" ht="15" customHeight="1" x14ac:dyDescent="0.3">
      <c r="A93" s="183" t="s">
        <v>137</v>
      </c>
      <c r="B93" s="183" t="s">
        <v>23</v>
      </c>
      <c r="C93" s="184">
        <v>35923</v>
      </c>
      <c r="D93" s="185">
        <v>12.34</v>
      </c>
      <c r="E93" s="185">
        <v>9.24</v>
      </c>
      <c r="F93" s="188">
        <v>1998</v>
      </c>
      <c r="G93" s="188"/>
      <c r="H93" s="188"/>
      <c r="I93" s="188"/>
      <c r="J93" s="188"/>
      <c r="K93" s="188"/>
    </row>
    <row r="94" spans="1:11" ht="15" customHeight="1" x14ac:dyDescent="0.3">
      <c r="A94" s="183" t="s">
        <v>138</v>
      </c>
      <c r="B94" s="183" t="s">
        <v>23</v>
      </c>
      <c r="C94" s="184">
        <v>35954</v>
      </c>
      <c r="D94" s="185">
        <v>15.67</v>
      </c>
      <c r="E94" s="185">
        <v>14.24</v>
      </c>
      <c r="F94" s="188">
        <v>1998</v>
      </c>
      <c r="G94" s="188"/>
      <c r="H94" s="188"/>
      <c r="I94" s="188"/>
      <c r="J94" s="188"/>
      <c r="K94" s="188"/>
    </row>
    <row r="95" spans="1:11" ht="15" customHeight="1" x14ac:dyDescent="0.3">
      <c r="A95" s="183" t="s">
        <v>140</v>
      </c>
      <c r="B95" s="183" t="s">
        <v>23</v>
      </c>
      <c r="C95" s="184">
        <v>35983</v>
      </c>
      <c r="D95" s="185">
        <v>20.91</v>
      </c>
      <c r="E95" s="185">
        <v>17.32</v>
      </c>
      <c r="F95" s="188">
        <v>1998</v>
      </c>
      <c r="G95" s="188"/>
      <c r="H95" s="188"/>
      <c r="I95" s="188"/>
      <c r="J95" s="188"/>
      <c r="K95" s="188"/>
    </row>
    <row r="96" spans="1:11" ht="15" customHeight="1" x14ac:dyDescent="0.3">
      <c r="A96" s="183" t="s">
        <v>142</v>
      </c>
      <c r="B96" s="183" t="s">
        <v>23</v>
      </c>
      <c r="C96" s="184">
        <v>36012</v>
      </c>
      <c r="D96" s="185">
        <v>23.25</v>
      </c>
      <c r="E96" s="185">
        <v>19.79</v>
      </c>
      <c r="F96" s="188">
        <v>1998</v>
      </c>
      <c r="G96" s="188"/>
      <c r="H96" s="188"/>
      <c r="I96" s="188"/>
      <c r="J96" s="188"/>
      <c r="K96" s="188"/>
    </row>
    <row r="97" spans="1:11" ht="15" customHeight="1" x14ac:dyDescent="0.3">
      <c r="A97" s="183" t="s">
        <v>143</v>
      </c>
      <c r="B97" s="183" t="s">
        <v>23</v>
      </c>
      <c r="C97" s="184">
        <v>36028</v>
      </c>
      <c r="D97" s="185">
        <v>21.95</v>
      </c>
      <c r="E97" s="185">
        <v>21.63</v>
      </c>
      <c r="F97" s="188">
        <v>1998</v>
      </c>
      <c r="G97" s="188"/>
      <c r="H97" s="188"/>
      <c r="I97" s="188"/>
      <c r="J97" s="188"/>
      <c r="K97" s="188"/>
    </row>
    <row r="98" spans="1:11" ht="15" customHeight="1" x14ac:dyDescent="0.3">
      <c r="A98" s="183" t="s">
        <v>144</v>
      </c>
      <c r="B98" s="183" t="s">
        <v>23</v>
      </c>
      <c r="C98" s="184">
        <v>36039</v>
      </c>
      <c r="D98" s="185">
        <v>23.67</v>
      </c>
      <c r="E98" s="185">
        <v>21.68</v>
      </c>
      <c r="F98" s="188">
        <v>1998</v>
      </c>
      <c r="G98" s="188"/>
      <c r="H98" s="188"/>
      <c r="I98" s="188"/>
      <c r="J98" s="188"/>
      <c r="K98" s="188"/>
    </row>
    <row r="99" spans="1:11" ht="15" customHeight="1" x14ac:dyDescent="0.3">
      <c r="A99" s="183" t="s">
        <v>146</v>
      </c>
      <c r="B99" s="183" t="s">
        <v>23</v>
      </c>
      <c r="C99" s="184">
        <v>36073</v>
      </c>
      <c r="D99" s="185">
        <v>19.43</v>
      </c>
      <c r="E99" s="185">
        <v>19.440000000000001</v>
      </c>
      <c r="F99" s="188">
        <v>1998</v>
      </c>
      <c r="G99" s="188"/>
      <c r="H99" s="188"/>
      <c r="I99" s="188"/>
      <c r="J99" s="188"/>
      <c r="K99" s="188"/>
    </row>
    <row r="100" spans="1:11" ht="15" customHeight="1" x14ac:dyDescent="0.3">
      <c r="A100" s="183" t="s">
        <v>147</v>
      </c>
      <c r="B100" s="183" t="s">
        <v>23</v>
      </c>
      <c r="C100" s="184">
        <v>36103</v>
      </c>
      <c r="D100" s="185">
        <v>14.06</v>
      </c>
      <c r="E100" s="185">
        <v>14.07</v>
      </c>
      <c r="F100" s="188">
        <v>1998</v>
      </c>
      <c r="G100" s="188"/>
      <c r="H100" s="188"/>
      <c r="I100" s="188"/>
      <c r="J100" s="188"/>
      <c r="K100" s="188"/>
    </row>
    <row r="101" spans="1:11" ht="15" customHeight="1" x14ac:dyDescent="0.3">
      <c r="A101" s="183" t="s">
        <v>148</v>
      </c>
      <c r="B101" s="183" t="s">
        <v>23</v>
      </c>
      <c r="C101" s="184">
        <v>36129</v>
      </c>
      <c r="D101" s="185">
        <v>10.84</v>
      </c>
      <c r="E101" s="185">
        <v>10.49</v>
      </c>
      <c r="F101" s="188">
        <v>1998</v>
      </c>
      <c r="G101" s="188"/>
      <c r="H101" s="188"/>
      <c r="I101" s="188"/>
      <c r="J101" s="188"/>
      <c r="K101" s="188"/>
    </row>
    <row r="102" spans="1:11" ht="15" customHeight="1" x14ac:dyDescent="0.3">
      <c r="A102" s="183" t="s">
        <v>149</v>
      </c>
      <c r="B102" s="183" t="s">
        <v>23</v>
      </c>
      <c r="C102" s="184">
        <v>36166</v>
      </c>
      <c r="D102" s="185">
        <v>5.29</v>
      </c>
      <c r="E102" s="185">
        <v>5.3</v>
      </c>
      <c r="F102" s="188">
        <v>1999</v>
      </c>
      <c r="G102" s="188"/>
      <c r="H102" s="188"/>
      <c r="I102" s="188"/>
      <c r="J102" s="188"/>
      <c r="K102" s="188"/>
    </row>
    <row r="103" spans="1:11" ht="15" customHeight="1" x14ac:dyDescent="0.3">
      <c r="A103" s="183" t="s">
        <v>150</v>
      </c>
      <c r="B103" s="183" t="s">
        <v>23</v>
      </c>
      <c r="C103" s="184">
        <v>36193</v>
      </c>
      <c r="D103" s="185">
        <v>3.39</v>
      </c>
      <c r="E103" s="185">
        <v>3.38</v>
      </c>
      <c r="F103" s="188">
        <v>1999</v>
      </c>
      <c r="G103" s="188"/>
      <c r="H103" s="188"/>
      <c r="I103" s="188"/>
      <c r="J103" s="188"/>
      <c r="K103" s="188"/>
    </row>
    <row r="104" spans="1:11" ht="15" customHeight="1" x14ac:dyDescent="0.3">
      <c r="A104" s="183" t="s">
        <v>152</v>
      </c>
      <c r="B104" s="183" t="s">
        <v>23</v>
      </c>
      <c r="C104" s="184">
        <v>36224</v>
      </c>
      <c r="D104" s="185">
        <v>3.17</v>
      </c>
      <c r="E104" s="185">
        <v>3.16</v>
      </c>
      <c r="F104" s="188">
        <v>1999</v>
      </c>
      <c r="G104" s="188"/>
      <c r="H104" s="188"/>
      <c r="I104" s="188"/>
      <c r="J104" s="188"/>
      <c r="K104" s="188"/>
    </row>
    <row r="105" spans="1:11" ht="15" customHeight="1" x14ac:dyDescent="0.3">
      <c r="A105" s="183" t="s">
        <v>154</v>
      </c>
      <c r="B105" s="183" t="s">
        <v>23</v>
      </c>
      <c r="C105" s="184">
        <v>36256</v>
      </c>
      <c r="D105" s="185">
        <v>5.45</v>
      </c>
      <c r="E105" s="185">
        <v>5.0999999999999996</v>
      </c>
      <c r="F105" s="188">
        <v>1999</v>
      </c>
      <c r="G105" s="188"/>
      <c r="H105" s="188"/>
      <c r="I105" s="188"/>
      <c r="J105" s="188"/>
      <c r="K105" s="188"/>
    </row>
    <row r="106" spans="1:11" ht="15" customHeight="1" x14ac:dyDescent="0.3">
      <c r="A106" s="183" t="s">
        <v>155</v>
      </c>
      <c r="B106" s="183" t="s">
        <v>23</v>
      </c>
      <c r="C106" s="184">
        <v>36285</v>
      </c>
      <c r="D106" s="185">
        <v>9.7899999999999991</v>
      </c>
      <c r="E106" s="185">
        <v>8.7799999999999994</v>
      </c>
      <c r="F106" s="188">
        <v>1999</v>
      </c>
      <c r="G106" s="188"/>
      <c r="H106" s="188"/>
      <c r="I106" s="188"/>
      <c r="J106" s="188"/>
      <c r="K106" s="188"/>
    </row>
    <row r="107" spans="1:11" ht="15" customHeight="1" x14ac:dyDescent="0.3">
      <c r="A107" s="183" t="s">
        <v>156</v>
      </c>
      <c r="B107" s="183" t="s">
        <v>23</v>
      </c>
      <c r="C107" s="184">
        <v>36313</v>
      </c>
      <c r="D107" s="185">
        <v>15.68</v>
      </c>
      <c r="E107" s="185">
        <v>12.84</v>
      </c>
      <c r="F107" s="188">
        <v>1999</v>
      </c>
      <c r="G107" s="188"/>
      <c r="H107" s="188"/>
      <c r="I107" s="188"/>
      <c r="J107" s="188"/>
      <c r="K107" s="188"/>
    </row>
    <row r="108" spans="1:11" ht="15" customHeight="1" x14ac:dyDescent="0.3">
      <c r="A108" s="183" t="s">
        <v>157</v>
      </c>
      <c r="B108" s="183" t="s">
        <v>23</v>
      </c>
      <c r="C108" s="184">
        <v>36333</v>
      </c>
      <c r="D108" s="185">
        <v>18.68</v>
      </c>
      <c r="E108" s="186"/>
      <c r="F108" s="186">
        <v>1999</v>
      </c>
      <c r="G108" s="186"/>
      <c r="H108" s="186"/>
      <c r="I108" s="186"/>
      <c r="J108" s="186"/>
      <c r="K108" s="186"/>
    </row>
    <row r="109" spans="1:11" ht="15" customHeight="1" x14ac:dyDescent="0.3">
      <c r="A109" s="183" t="s">
        <v>158</v>
      </c>
      <c r="B109" s="183" t="s">
        <v>23</v>
      </c>
      <c r="C109" s="184">
        <v>36347</v>
      </c>
      <c r="D109" s="185">
        <v>23.62</v>
      </c>
      <c r="E109" s="185">
        <v>18.71</v>
      </c>
      <c r="F109" s="188">
        <v>1999</v>
      </c>
      <c r="G109" s="188"/>
      <c r="H109" s="188"/>
      <c r="I109" s="188"/>
      <c r="J109" s="188"/>
      <c r="K109" s="188"/>
    </row>
    <row r="110" spans="1:11" ht="15" customHeight="1" x14ac:dyDescent="0.3">
      <c r="A110" s="183" t="s">
        <v>159</v>
      </c>
      <c r="B110" s="183" t="s">
        <v>23</v>
      </c>
      <c r="C110" s="184">
        <v>36361</v>
      </c>
      <c r="D110" s="185">
        <v>22.72</v>
      </c>
      <c r="E110" s="185">
        <v>20.23</v>
      </c>
      <c r="F110" s="188">
        <v>1999</v>
      </c>
      <c r="G110" s="188"/>
      <c r="H110" s="188"/>
      <c r="I110" s="188"/>
      <c r="J110" s="188"/>
      <c r="K110" s="188"/>
    </row>
    <row r="111" spans="1:11" ht="15" customHeight="1" x14ac:dyDescent="0.3">
      <c r="A111" s="183" t="s">
        <v>160</v>
      </c>
      <c r="B111" s="183" t="s">
        <v>23</v>
      </c>
      <c r="C111" s="184">
        <v>36375</v>
      </c>
      <c r="D111" s="185">
        <v>23.94</v>
      </c>
      <c r="E111" s="185">
        <v>20.48</v>
      </c>
      <c r="F111" s="188">
        <v>1999</v>
      </c>
      <c r="G111" s="188"/>
      <c r="H111" s="188"/>
      <c r="I111" s="188"/>
      <c r="J111" s="188"/>
      <c r="K111" s="188"/>
    </row>
    <row r="112" spans="1:11" ht="15" customHeight="1" x14ac:dyDescent="0.3">
      <c r="A112" s="183" t="s">
        <v>161</v>
      </c>
      <c r="B112" s="183" t="s">
        <v>23</v>
      </c>
      <c r="C112" s="184">
        <v>36389</v>
      </c>
      <c r="D112" s="185">
        <v>23.32</v>
      </c>
      <c r="E112" s="185">
        <v>22.27</v>
      </c>
      <c r="F112" s="188">
        <v>1999</v>
      </c>
      <c r="G112" s="188"/>
      <c r="H112" s="188"/>
      <c r="I112" s="188"/>
      <c r="J112" s="188"/>
      <c r="K112" s="188"/>
    </row>
    <row r="113" spans="1:11" ht="15" customHeight="1" x14ac:dyDescent="0.3">
      <c r="A113" s="183" t="s">
        <v>162</v>
      </c>
      <c r="B113" s="183" t="s">
        <v>23</v>
      </c>
      <c r="C113" s="184">
        <v>36405</v>
      </c>
      <c r="D113" s="185">
        <v>22.35</v>
      </c>
      <c r="E113" s="185">
        <v>21.9</v>
      </c>
      <c r="F113" s="188">
        <v>1999</v>
      </c>
      <c r="G113" s="188"/>
      <c r="H113" s="188"/>
      <c r="I113" s="188"/>
      <c r="J113" s="188"/>
      <c r="K113" s="188"/>
    </row>
    <row r="114" spans="1:11" ht="15" customHeight="1" x14ac:dyDescent="0.3">
      <c r="A114" s="183" t="s">
        <v>163</v>
      </c>
      <c r="B114" s="183" t="s">
        <v>23</v>
      </c>
      <c r="C114" s="184">
        <v>36437</v>
      </c>
      <c r="D114" s="185">
        <v>20.21</v>
      </c>
      <c r="E114" s="185">
        <v>20.09</v>
      </c>
      <c r="F114" s="188">
        <v>1999</v>
      </c>
      <c r="G114" s="188"/>
      <c r="H114" s="188"/>
      <c r="I114" s="188"/>
      <c r="J114" s="188"/>
      <c r="K114" s="188"/>
    </row>
    <row r="115" spans="1:11" ht="15" customHeight="1" x14ac:dyDescent="0.3">
      <c r="A115" s="183" t="s">
        <v>164</v>
      </c>
      <c r="B115" s="183" t="s">
        <v>23</v>
      </c>
      <c r="C115" s="184">
        <v>36472</v>
      </c>
      <c r="D115" s="185">
        <v>13.85</v>
      </c>
      <c r="E115" s="185">
        <v>13.83</v>
      </c>
      <c r="F115" s="188">
        <v>1999</v>
      </c>
      <c r="G115" s="188"/>
      <c r="H115" s="188"/>
      <c r="I115" s="188"/>
      <c r="J115" s="188"/>
      <c r="K115" s="188"/>
    </row>
    <row r="116" spans="1:11" ht="15" customHeight="1" x14ac:dyDescent="0.3">
      <c r="A116" s="183" t="s">
        <v>165</v>
      </c>
      <c r="B116" s="183" t="s">
        <v>23</v>
      </c>
      <c r="C116" s="184">
        <v>36502</v>
      </c>
      <c r="D116" s="185">
        <v>10.09</v>
      </c>
      <c r="E116" s="185">
        <v>10.09</v>
      </c>
      <c r="F116" s="188">
        <v>1999</v>
      </c>
      <c r="G116" s="188"/>
      <c r="H116" s="188"/>
      <c r="I116" s="188"/>
      <c r="J116" s="188"/>
      <c r="K116" s="188"/>
    </row>
    <row r="117" spans="1:11" ht="15" customHeight="1" x14ac:dyDescent="0.3">
      <c r="A117" s="183" t="s">
        <v>166</v>
      </c>
      <c r="B117" s="183" t="s">
        <v>23</v>
      </c>
      <c r="C117" s="184">
        <v>36538</v>
      </c>
      <c r="D117" s="185">
        <v>5.72</v>
      </c>
      <c r="E117" s="185">
        <v>5.9</v>
      </c>
      <c r="F117" s="188">
        <v>2000</v>
      </c>
      <c r="G117" s="188"/>
      <c r="H117" s="188"/>
      <c r="I117" s="188"/>
      <c r="J117" s="188"/>
      <c r="K117" s="188"/>
    </row>
    <row r="118" spans="1:11" ht="15" customHeight="1" x14ac:dyDescent="0.3">
      <c r="A118" s="183" t="s">
        <v>167</v>
      </c>
      <c r="B118" s="183" t="s">
        <v>23</v>
      </c>
      <c r="C118" s="184">
        <v>36559</v>
      </c>
      <c r="D118" s="185">
        <v>0.92</v>
      </c>
      <c r="E118" s="185">
        <v>0.91</v>
      </c>
      <c r="F118" s="188">
        <v>2000</v>
      </c>
      <c r="G118" s="188"/>
      <c r="H118" s="188"/>
      <c r="I118" s="188"/>
      <c r="J118" s="188"/>
      <c r="K118" s="188"/>
    </row>
    <row r="119" spans="1:11" ht="15" customHeight="1" x14ac:dyDescent="0.3">
      <c r="A119" s="183" t="s">
        <v>169</v>
      </c>
      <c r="B119" s="183" t="s">
        <v>23</v>
      </c>
      <c r="C119" s="184">
        <v>36586</v>
      </c>
      <c r="D119" s="185">
        <v>2.33</v>
      </c>
      <c r="E119" s="185">
        <v>2.0099999999999998</v>
      </c>
      <c r="F119" s="188">
        <v>2000</v>
      </c>
      <c r="G119" s="188"/>
      <c r="H119" s="188"/>
      <c r="I119" s="188"/>
      <c r="J119" s="188"/>
      <c r="K119" s="188"/>
    </row>
    <row r="120" spans="1:11" ht="15" customHeight="1" x14ac:dyDescent="0.3">
      <c r="A120" s="183" t="s">
        <v>171</v>
      </c>
      <c r="B120" s="183" t="s">
        <v>23</v>
      </c>
      <c r="C120" s="184">
        <v>36623</v>
      </c>
      <c r="D120" s="185">
        <v>6.12</v>
      </c>
      <c r="E120" s="185">
        <v>5.98</v>
      </c>
      <c r="F120" s="188">
        <v>2000</v>
      </c>
      <c r="G120" s="188"/>
      <c r="H120" s="188"/>
      <c r="I120" s="188"/>
      <c r="J120" s="188"/>
      <c r="K120" s="188"/>
    </row>
    <row r="121" spans="1:11" ht="15" customHeight="1" x14ac:dyDescent="0.3">
      <c r="A121" s="183" t="s">
        <v>172</v>
      </c>
      <c r="B121" s="183" t="s">
        <v>23</v>
      </c>
      <c r="C121" s="184">
        <v>36647</v>
      </c>
      <c r="D121" s="185">
        <v>8.66</v>
      </c>
      <c r="E121" s="185">
        <v>7.24</v>
      </c>
      <c r="F121" s="188">
        <v>2000</v>
      </c>
      <c r="G121" s="188"/>
      <c r="H121" s="188"/>
      <c r="I121" s="188"/>
      <c r="J121" s="188"/>
      <c r="K121" s="188"/>
    </row>
    <row r="122" spans="1:11" ht="15" customHeight="1" x14ac:dyDescent="0.3">
      <c r="A122" s="183" t="s">
        <v>173</v>
      </c>
      <c r="B122" s="183" t="s">
        <v>23</v>
      </c>
      <c r="C122" s="184">
        <v>36678</v>
      </c>
      <c r="D122" s="185">
        <v>16.04</v>
      </c>
      <c r="E122" s="185">
        <v>12.12</v>
      </c>
      <c r="F122" s="188">
        <v>2000</v>
      </c>
      <c r="G122" s="188"/>
      <c r="H122" s="188"/>
      <c r="I122" s="188"/>
      <c r="J122" s="188"/>
      <c r="K122" s="188"/>
    </row>
    <row r="123" spans="1:11" ht="15" customHeight="1" x14ac:dyDescent="0.3">
      <c r="A123" s="183" t="s">
        <v>174</v>
      </c>
      <c r="B123" s="183" t="s">
        <v>23</v>
      </c>
      <c r="C123" s="184">
        <v>36699</v>
      </c>
      <c r="D123" s="185">
        <v>17.25</v>
      </c>
      <c r="E123" s="185">
        <v>15.19</v>
      </c>
      <c r="F123" s="188">
        <v>2000</v>
      </c>
      <c r="G123" s="188"/>
      <c r="H123" s="188"/>
      <c r="I123" s="188"/>
      <c r="J123" s="188"/>
      <c r="K123" s="188"/>
    </row>
    <row r="124" spans="1:11" ht="15" customHeight="1" x14ac:dyDescent="0.3">
      <c r="A124" s="183" t="s">
        <v>175</v>
      </c>
      <c r="B124" s="183" t="s">
        <v>23</v>
      </c>
      <c r="C124" s="184">
        <v>36713</v>
      </c>
      <c r="D124" s="185">
        <v>20.5</v>
      </c>
      <c r="E124" s="185">
        <v>17.98</v>
      </c>
      <c r="F124" s="188">
        <v>2000</v>
      </c>
      <c r="G124" s="188"/>
      <c r="H124" s="188"/>
      <c r="I124" s="188"/>
      <c r="J124" s="188"/>
      <c r="K124" s="188"/>
    </row>
    <row r="125" spans="1:11" ht="15" customHeight="1" x14ac:dyDescent="0.3">
      <c r="A125" s="183" t="s">
        <v>176</v>
      </c>
      <c r="B125" s="183" t="s">
        <v>23</v>
      </c>
      <c r="C125" s="184">
        <v>36725</v>
      </c>
      <c r="D125" s="185">
        <v>21.78</v>
      </c>
      <c r="E125" s="185">
        <v>19.28</v>
      </c>
      <c r="F125" s="188">
        <v>2000</v>
      </c>
      <c r="G125" s="188"/>
      <c r="H125" s="188"/>
      <c r="I125" s="188"/>
      <c r="J125" s="188"/>
      <c r="K125" s="188"/>
    </row>
    <row r="126" spans="1:11" ht="15" customHeight="1" x14ac:dyDescent="0.3">
      <c r="A126" s="183" t="s">
        <v>177</v>
      </c>
      <c r="B126" s="183" t="s">
        <v>23</v>
      </c>
      <c r="C126" s="184">
        <v>36740</v>
      </c>
      <c r="D126" s="185">
        <v>20.23</v>
      </c>
      <c r="E126" s="185">
        <v>20.05</v>
      </c>
      <c r="F126" s="188">
        <v>2000</v>
      </c>
      <c r="G126" s="188"/>
      <c r="H126" s="188"/>
      <c r="I126" s="188"/>
      <c r="J126" s="188"/>
      <c r="K126" s="188"/>
    </row>
    <row r="127" spans="1:11" ht="15" customHeight="1" x14ac:dyDescent="0.3">
      <c r="A127" s="183" t="s">
        <v>178</v>
      </c>
      <c r="B127" s="183" t="s">
        <v>23</v>
      </c>
      <c r="C127" s="184">
        <v>36753</v>
      </c>
      <c r="D127" s="185">
        <v>21.03</v>
      </c>
      <c r="E127" s="185">
        <v>20.76</v>
      </c>
      <c r="F127" s="188">
        <v>2000</v>
      </c>
      <c r="G127" s="188"/>
      <c r="H127" s="188"/>
      <c r="I127" s="188"/>
      <c r="J127" s="188"/>
      <c r="K127" s="188"/>
    </row>
    <row r="128" spans="1:11" ht="15" customHeight="1" x14ac:dyDescent="0.3">
      <c r="A128" s="183" t="s">
        <v>179</v>
      </c>
      <c r="B128" s="183" t="s">
        <v>23</v>
      </c>
      <c r="C128" s="184">
        <v>36768</v>
      </c>
      <c r="D128" s="185">
        <v>21.48</v>
      </c>
      <c r="E128" s="185">
        <v>21.01</v>
      </c>
      <c r="F128" s="188">
        <v>2000</v>
      </c>
      <c r="G128" s="188"/>
      <c r="H128" s="188"/>
      <c r="I128" s="188"/>
      <c r="J128" s="188"/>
      <c r="K128" s="188"/>
    </row>
    <row r="129" spans="1:11" ht="15" customHeight="1" x14ac:dyDescent="0.3">
      <c r="A129" s="183" t="s">
        <v>180</v>
      </c>
      <c r="B129" s="183" t="s">
        <v>23</v>
      </c>
      <c r="C129" s="184">
        <v>36803</v>
      </c>
      <c r="D129" s="185">
        <v>19.28</v>
      </c>
      <c r="E129" s="185">
        <v>19.149999999999999</v>
      </c>
      <c r="F129" s="188">
        <v>2000</v>
      </c>
      <c r="G129" s="188"/>
      <c r="H129" s="188"/>
      <c r="I129" s="188"/>
      <c r="J129" s="188"/>
      <c r="K129" s="188"/>
    </row>
    <row r="130" spans="1:11" ht="15" customHeight="1" x14ac:dyDescent="0.3">
      <c r="A130" s="183" t="s">
        <v>181</v>
      </c>
      <c r="B130" s="183" t="s">
        <v>23</v>
      </c>
      <c r="C130" s="184">
        <v>36838</v>
      </c>
      <c r="D130" s="185">
        <v>13.83</v>
      </c>
      <c r="E130" s="185">
        <v>13.52</v>
      </c>
      <c r="F130" s="188">
        <v>2000</v>
      </c>
      <c r="G130" s="188"/>
      <c r="H130" s="188"/>
      <c r="I130" s="188"/>
      <c r="J130" s="188"/>
      <c r="K130" s="188"/>
    </row>
    <row r="131" spans="1:11" ht="15" customHeight="1" x14ac:dyDescent="0.3">
      <c r="A131" s="183" t="s">
        <v>182</v>
      </c>
      <c r="B131" s="183" t="s">
        <v>23</v>
      </c>
      <c r="C131" s="184">
        <v>36866</v>
      </c>
      <c r="D131" s="185">
        <v>7.9</v>
      </c>
      <c r="E131" s="185">
        <v>7.82</v>
      </c>
      <c r="F131" s="188">
        <v>2000</v>
      </c>
      <c r="G131" s="188"/>
      <c r="H131" s="188"/>
      <c r="I131" s="188"/>
      <c r="J131" s="188"/>
      <c r="K131" s="188"/>
    </row>
    <row r="132" spans="1:11" ht="15" customHeight="1" x14ac:dyDescent="0.3">
      <c r="A132" s="183" t="s">
        <v>183</v>
      </c>
      <c r="B132" s="183" t="s">
        <v>23</v>
      </c>
      <c r="C132" s="184">
        <v>36899</v>
      </c>
      <c r="D132" s="185">
        <v>2.42</v>
      </c>
      <c r="E132" s="185">
        <v>2.4500000000000002</v>
      </c>
      <c r="F132" s="188">
        <v>2001</v>
      </c>
      <c r="G132" s="188"/>
      <c r="H132" s="188"/>
      <c r="I132" s="188"/>
      <c r="J132" s="188"/>
      <c r="K132" s="188"/>
    </row>
    <row r="133" spans="1:11" ht="15" customHeight="1" x14ac:dyDescent="0.3">
      <c r="A133" s="183" t="s">
        <v>184</v>
      </c>
      <c r="B133" s="183" t="s">
        <v>23</v>
      </c>
      <c r="C133" s="184">
        <v>36924</v>
      </c>
      <c r="D133" s="185">
        <v>1.97</v>
      </c>
      <c r="E133" s="185">
        <v>2.2000000000000002</v>
      </c>
      <c r="F133" s="188">
        <v>2001</v>
      </c>
      <c r="G133" s="188"/>
      <c r="H133" s="188"/>
      <c r="I133" s="188"/>
      <c r="J133" s="188"/>
      <c r="K133" s="188"/>
    </row>
    <row r="134" spans="1:11" ht="15" customHeight="1" x14ac:dyDescent="0.3">
      <c r="A134" s="183" t="s">
        <v>186</v>
      </c>
      <c r="B134" s="183" t="s">
        <v>23</v>
      </c>
      <c r="C134" s="184">
        <v>36951</v>
      </c>
      <c r="D134" s="185">
        <v>1.88</v>
      </c>
      <c r="E134" s="185">
        <v>1.87</v>
      </c>
      <c r="F134" s="188">
        <v>2001</v>
      </c>
      <c r="G134" s="188"/>
      <c r="H134" s="188"/>
      <c r="I134" s="188"/>
      <c r="J134" s="188"/>
      <c r="K134" s="188"/>
    </row>
    <row r="135" spans="1:11" ht="15" customHeight="1" x14ac:dyDescent="0.3">
      <c r="A135" s="183" t="s">
        <v>187</v>
      </c>
      <c r="B135" s="183" t="s">
        <v>23</v>
      </c>
      <c r="C135" s="184">
        <v>36984</v>
      </c>
      <c r="D135" s="185">
        <v>3.73</v>
      </c>
      <c r="E135" s="185">
        <v>3.43</v>
      </c>
      <c r="F135" s="188">
        <v>2001</v>
      </c>
      <c r="G135" s="188"/>
      <c r="H135" s="188"/>
      <c r="I135" s="188"/>
      <c r="J135" s="188"/>
      <c r="K135" s="188"/>
    </row>
    <row r="136" spans="1:11" ht="15" customHeight="1" x14ac:dyDescent="0.3">
      <c r="A136" s="183" t="s">
        <v>188</v>
      </c>
      <c r="B136" s="183" t="s">
        <v>23</v>
      </c>
      <c r="C136" s="184">
        <v>37011</v>
      </c>
      <c r="D136" s="186"/>
      <c r="E136" s="186"/>
      <c r="F136" s="186">
        <v>2001</v>
      </c>
      <c r="G136" s="186"/>
      <c r="H136" s="186"/>
      <c r="I136" s="186"/>
      <c r="J136" s="186"/>
      <c r="K136" s="186"/>
    </row>
    <row r="137" spans="1:11" ht="15" customHeight="1" x14ac:dyDescent="0.3">
      <c r="A137" s="183" t="s">
        <v>189</v>
      </c>
      <c r="B137" s="183" t="s">
        <v>23</v>
      </c>
      <c r="C137" s="184">
        <v>37046</v>
      </c>
      <c r="D137" s="185">
        <v>13.78</v>
      </c>
      <c r="E137" s="185">
        <v>11.97</v>
      </c>
      <c r="F137" s="188">
        <v>2001</v>
      </c>
      <c r="G137" s="188"/>
      <c r="H137" s="188"/>
      <c r="I137" s="188"/>
      <c r="J137" s="188"/>
      <c r="K137" s="188"/>
    </row>
    <row r="138" spans="1:11" ht="15" customHeight="1" x14ac:dyDescent="0.3">
      <c r="A138" s="183" t="s">
        <v>191</v>
      </c>
      <c r="B138" s="183" t="s">
        <v>23</v>
      </c>
      <c r="C138" s="184">
        <v>37081</v>
      </c>
      <c r="D138" s="185">
        <v>19.66</v>
      </c>
      <c r="E138" s="185">
        <v>18.8</v>
      </c>
      <c r="F138" s="188">
        <v>2001</v>
      </c>
      <c r="G138" s="188"/>
      <c r="H138" s="188"/>
      <c r="I138" s="188"/>
      <c r="J138" s="188"/>
      <c r="K138" s="188"/>
    </row>
    <row r="139" spans="1:11" ht="15" customHeight="1" x14ac:dyDescent="0.3">
      <c r="A139" s="183" t="s">
        <v>192</v>
      </c>
      <c r="B139" s="183" t="s">
        <v>23</v>
      </c>
      <c r="C139" s="184">
        <v>37096</v>
      </c>
      <c r="D139" s="185">
        <v>22.59</v>
      </c>
      <c r="E139" s="185">
        <v>19.149999999999999</v>
      </c>
      <c r="F139" s="188">
        <v>2001</v>
      </c>
      <c r="G139" s="188"/>
      <c r="H139" s="188"/>
      <c r="I139" s="188"/>
      <c r="J139" s="188"/>
      <c r="K139" s="188"/>
    </row>
    <row r="140" spans="1:11" ht="15" customHeight="1" x14ac:dyDescent="0.3">
      <c r="A140" s="183" t="s">
        <v>193</v>
      </c>
      <c r="B140" s="183" t="s">
        <v>23</v>
      </c>
      <c r="C140" s="184">
        <v>37111</v>
      </c>
      <c r="D140" s="185">
        <v>24.25</v>
      </c>
      <c r="E140" s="185">
        <v>20.71</v>
      </c>
      <c r="F140" s="188">
        <v>2001</v>
      </c>
      <c r="G140" s="188"/>
      <c r="H140" s="188"/>
      <c r="I140" s="188"/>
      <c r="J140" s="188"/>
      <c r="K140" s="188"/>
    </row>
    <row r="141" spans="1:11" ht="15" customHeight="1" x14ac:dyDescent="0.3">
      <c r="A141" s="183" t="s">
        <v>194</v>
      </c>
      <c r="B141" s="183" t="s">
        <v>23</v>
      </c>
      <c r="C141" s="184">
        <v>37125</v>
      </c>
      <c r="D141" s="185">
        <v>23.32</v>
      </c>
      <c r="E141" s="185">
        <v>21.94</v>
      </c>
      <c r="F141" s="188">
        <v>2001</v>
      </c>
      <c r="G141" s="188"/>
      <c r="H141" s="188"/>
      <c r="I141" s="188"/>
      <c r="J141" s="188"/>
      <c r="K141" s="188"/>
    </row>
    <row r="142" spans="1:11" ht="15" customHeight="1" x14ac:dyDescent="0.3">
      <c r="A142" s="183" t="s">
        <v>196</v>
      </c>
      <c r="B142" s="183" t="s">
        <v>23</v>
      </c>
      <c r="C142" s="184">
        <v>37141</v>
      </c>
      <c r="D142" s="185">
        <v>22.4</v>
      </c>
      <c r="E142" s="185">
        <v>22.2</v>
      </c>
      <c r="F142" s="188">
        <v>2001</v>
      </c>
      <c r="G142" s="188"/>
      <c r="H142" s="188"/>
      <c r="I142" s="188"/>
      <c r="J142" s="188"/>
      <c r="K142" s="188"/>
    </row>
    <row r="143" spans="1:11" ht="15" customHeight="1" x14ac:dyDescent="0.3">
      <c r="A143" s="183" t="s">
        <v>198</v>
      </c>
      <c r="B143" s="183" t="s">
        <v>23</v>
      </c>
      <c r="C143" s="184">
        <v>37166</v>
      </c>
      <c r="D143" s="185">
        <v>20.059999999999999</v>
      </c>
      <c r="E143" s="185">
        <v>19.79</v>
      </c>
      <c r="F143" s="188">
        <v>2001</v>
      </c>
      <c r="G143" s="188"/>
      <c r="H143" s="188"/>
      <c r="I143" s="188"/>
      <c r="J143" s="188"/>
      <c r="K143" s="188"/>
    </row>
    <row r="144" spans="1:11" ht="15" customHeight="1" x14ac:dyDescent="0.3">
      <c r="A144" s="183" t="s">
        <v>199</v>
      </c>
      <c r="B144" s="183" t="s">
        <v>23</v>
      </c>
      <c r="C144" s="184">
        <v>37203</v>
      </c>
      <c r="D144" s="185">
        <v>14.35</v>
      </c>
      <c r="E144" s="185">
        <v>14.01</v>
      </c>
      <c r="F144" s="188">
        <v>2001</v>
      </c>
      <c r="G144" s="188"/>
      <c r="H144" s="188"/>
      <c r="I144" s="188"/>
      <c r="J144" s="188"/>
      <c r="K144" s="188"/>
    </row>
    <row r="145" spans="1:11" ht="15" customHeight="1" x14ac:dyDescent="0.3">
      <c r="A145" s="183" t="s">
        <v>200</v>
      </c>
      <c r="B145" s="183" t="s">
        <v>23</v>
      </c>
      <c r="C145" s="184">
        <v>37229</v>
      </c>
      <c r="D145" s="185">
        <v>11.88</v>
      </c>
      <c r="E145" s="185">
        <v>11.95</v>
      </c>
      <c r="F145" s="188">
        <v>2001</v>
      </c>
      <c r="G145" s="188"/>
      <c r="H145" s="188"/>
      <c r="I145" s="188"/>
      <c r="J145" s="188"/>
      <c r="K145" s="188"/>
    </row>
    <row r="146" spans="1:11" ht="15" customHeight="1" x14ac:dyDescent="0.3">
      <c r="A146" s="183" t="s">
        <v>201</v>
      </c>
      <c r="B146" s="183" t="s">
        <v>23</v>
      </c>
      <c r="C146" s="184">
        <v>37267</v>
      </c>
      <c r="D146" s="185">
        <v>5.18</v>
      </c>
      <c r="E146" s="185">
        <v>5.22</v>
      </c>
      <c r="F146" s="188">
        <v>2002</v>
      </c>
      <c r="G146" s="188"/>
      <c r="H146" s="188"/>
      <c r="I146" s="188"/>
      <c r="J146" s="188"/>
      <c r="K146" s="188"/>
    </row>
    <row r="147" spans="1:11" ht="15" customHeight="1" x14ac:dyDescent="0.3">
      <c r="A147" s="183" t="s">
        <v>202</v>
      </c>
      <c r="B147" s="183" t="s">
        <v>23</v>
      </c>
      <c r="C147" s="184">
        <v>37291</v>
      </c>
      <c r="D147" s="185">
        <v>4.84</v>
      </c>
      <c r="E147" s="185">
        <v>4.74</v>
      </c>
      <c r="F147" s="188">
        <v>2002</v>
      </c>
      <c r="G147" s="188"/>
      <c r="H147" s="188"/>
      <c r="I147" s="188"/>
      <c r="J147" s="188"/>
      <c r="K147" s="188"/>
    </row>
    <row r="148" spans="1:11" ht="15" customHeight="1" x14ac:dyDescent="0.3">
      <c r="A148" s="183" t="s">
        <v>204</v>
      </c>
      <c r="B148" s="183" t="s">
        <v>23</v>
      </c>
      <c r="C148" s="184">
        <v>37320</v>
      </c>
      <c r="D148" s="185">
        <v>4.55</v>
      </c>
      <c r="E148" s="185">
        <v>4.53</v>
      </c>
      <c r="F148" s="188">
        <v>2002</v>
      </c>
      <c r="G148" s="188"/>
      <c r="H148" s="188"/>
      <c r="I148" s="188"/>
      <c r="J148" s="188"/>
      <c r="K148" s="188"/>
    </row>
    <row r="149" spans="1:11" ht="15" customHeight="1" x14ac:dyDescent="0.3">
      <c r="A149" s="183" t="s">
        <v>206</v>
      </c>
      <c r="B149" s="183" t="s">
        <v>23</v>
      </c>
      <c r="C149" s="184">
        <v>37348</v>
      </c>
      <c r="D149" s="185">
        <v>5.93</v>
      </c>
      <c r="E149" s="185">
        <v>5.65</v>
      </c>
      <c r="F149" s="188">
        <v>2002</v>
      </c>
      <c r="G149" s="188"/>
      <c r="H149" s="188"/>
      <c r="I149" s="188"/>
      <c r="J149" s="188"/>
      <c r="K149" s="188"/>
    </row>
    <row r="150" spans="1:11" ht="15" customHeight="1" x14ac:dyDescent="0.3">
      <c r="A150" s="183" t="s">
        <v>207</v>
      </c>
      <c r="B150" s="183" t="s">
        <v>23</v>
      </c>
      <c r="C150" s="184">
        <v>37382</v>
      </c>
      <c r="D150" s="185">
        <v>10.4</v>
      </c>
      <c r="E150" s="185">
        <v>9.6999999999999993</v>
      </c>
      <c r="F150" s="188">
        <v>2002</v>
      </c>
      <c r="G150" s="188"/>
      <c r="H150" s="188"/>
      <c r="I150" s="188"/>
      <c r="J150" s="188"/>
      <c r="K150" s="188"/>
    </row>
    <row r="151" spans="1:11" ht="15" customHeight="1" x14ac:dyDescent="0.3">
      <c r="A151" s="183" t="s">
        <v>208</v>
      </c>
      <c r="B151" s="183" t="s">
        <v>23</v>
      </c>
      <c r="C151" s="184">
        <v>37411</v>
      </c>
      <c r="D151" s="185">
        <v>15.24</v>
      </c>
      <c r="E151" s="185">
        <v>13.69</v>
      </c>
      <c r="F151" s="188">
        <v>2002</v>
      </c>
      <c r="G151" s="188"/>
      <c r="H151" s="188"/>
      <c r="I151" s="188"/>
      <c r="J151" s="188"/>
      <c r="K151" s="188"/>
    </row>
    <row r="152" spans="1:11" ht="15" customHeight="1" x14ac:dyDescent="0.3">
      <c r="A152" s="183" t="s">
        <v>210</v>
      </c>
      <c r="B152" s="183" t="s">
        <v>23</v>
      </c>
      <c r="C152" s="184">
        <v>37445</v>
      </c>
      <c r="D152" s="185">
        <v>21.39</v>
      </c>
      <c r="E152" s="185">
        <v>18.34</v>
      </c>
      <c r="F152" s="188">
        <v>2002</v>
      </c>
      <c r="G152" s="188"/>
      <c r="H152" s="188"/>
      <c r="I152" s="188"/>
      <c r="J152" s="188"/>
      <c r="K152" s="188"/>
    </row>
    <row r="153" spans="1:11" ht="15" customHeight="1" x14ac:dyDescent="0.3">
      <c r="A153" s="183" t="s">
        <v>212</v>
      </c>
      <c r="B153" s="183" t="s">
        <v>23</v>
      </c>
      <c r="C153" s="184">
        <v>37473</v>
      </c>
      <c r="D153" s="185">
        <v>25.02</v>
      </c>
      <c r="E153" s="185">
        <v>21.16</v>
      </c>
      <c r="F153" s="188">
        <v>2002</v>
      </c>
      <c r="G153" s="188"/>
      <c r="H153" s="188"/>
      <c r="I153" s="188"/>
      <c r="J153" s="188"/>
      <c r="K153" s="188"/>
    </row>
    <row r="154" spans="1:11" ht="15" customHeight="1" x14ac:dyDescent="0.3">
      <c r="A154" s="183" t="s">
        <v>214</v>
      </c>
      <c r="B154" s="183" t="s">
        <v>23</v>
      </c>
      <c r="C154" s="184">
        <v>37508</v>
      </c>
      <c r="D154" s="185">
        <v>21.1</v>
      </c>
      <c r="E154" s="185">
        <v>21.84</v>
      </c>
      <c r="F154" s="188">
        <v>2002</v>
      </c>
      <c r="G154" s="188"/>
      <c r="H154" s="188"/>
      <c r="I154" s="188"/>
      <c r="J154" s="188"/>
      <c r="K154" s="188"/>
    </row>
    <row r="155" spans="1:11" ht="15" customHeight="1" x14ac:dyDescent="0.3">
      <c r="A155" s="183" t="s">
        <v>215</v>
      </c>
      <c r="B155" s="183" t="s">
        <v>23</v>
      </c>
      <c r="C155" s="184">
        <v>37537</v>
      </c>
      <c r="D155" s="185">
        <v>20.21</v>
      </c>
      <c r="E155" s="185">
        <v>20.079999999999998</v>
      </c>
      <c r="F155" s="188">
        <v>2002</v>
      </c>
      <c r="G155" s="188"/>
      <c r="H155" s="188"/>
      <c r="I155" s="188"/>
      <c r="J155" s="188"/>
      <c r="K155" s="188"/>
    </row>
    <row r="156" spans="1:11" ht="15" customHeight="1" x14ac:dyDescent="0.3">
      <c r="A156" s="183" t="s">
        <v>216</v>
      </c>
      <c r="B156" s="183" t="s">
        <v>23</v>
      </c>
      <c r="C156" s="184">
        <v>37565</v>
      </c>
      <c r="D156" s="185">
        <v>13.64</v>
      </c>
      <c r="E156" s="185">
        <v>13.69</v>
      </c>
      <c r="F156" s="188">
        <v>2002</v>
      </c>
      <c r="G156" s="188"/>
      <c r="H156" s="188"/>
      <c r="I156" s="188"/>
      <c r="J156" s="188"/>
      <c r="K156" s="188"/>
    </row>
    <row r="157" spans="1:11" ht="15" customHeight="1" x14ac:dyDescent="0.3">
      <c r="A157" s="183" t="s">
        <v>217</v>
      </c>
      <c r="B157" s="183" t="s">
        <v>23</v>
      </c>
      <c r="C157" s="184">
        <v>37599</v>
      </c>
      <c r="D157" s="185">
        <v>6.6</v>
      </c>
      <c r="E157" s="185">
        <v>6.6</v>
      </c>
      <c r="F157" s="188">
        <v>2002</v>
      </c>
      <c r="G157" s="188"/>
      <c r="H157" s="188"/>
      <c r="I157" s="188"/>
      <c r="J157" s="188"/>
      <c r="K157" s="188"/>
    </row>
    <row r="158" spans="1:11" ht="15" customHeight="1" x14ac:dyDescent="0.3">
      <c r="A158" s="183" t="s">
        <v>218</v>
      </c>
      <c r="B158" s="183" t="s">
        <v>23</v>
      </c>
      <c r="C158" s="184">
        <v>37655</v>
      </c>
      <c r="D158" s="185">
        <v>0.48</v>
      </c>
      <c r="E158" s="185">
        <v>0.69</v>
      </c>
      <c r="F158" s="188">
        <v>2003</v>
      </c>
      <c r="G158" s="188"/>
      <c r="H158" s="188"/>
      <c r="I158" s="188"/>
      <c r="J158" s="188"/>
      <c r="K158" s="188"/>
    </row>
    <row r="159" spans="1:11" ht="15" customHeight="1" x14ac:dyDescent="0.3">
      <c r="A159" s="183" t="s">
        <v>219</v>
      </c>
      <c r="B159" s="183" t="s">
        <v>23</v>
      </c>
      <c r="C159" s="184">
        <v>37684</v>
      </c>
      <c r="D159" s="185">
        <v>0.22</v>
      </c>
      <c r="E159" s="185">
        <v>0.11</v>
      </c>
      <c r="F159" s="188">
        <v>2003</v>
      </c>
      <c r="G159" s="188"/>
      <c r="H159" s="188"/>
      <c r="I159" s="188"/>
      <c r="J159" s="188"/>
      <c r="K159" s="188"/>
    </row>
    <row r="160" spans="1:11" ht="15" customHeight="1" x14ac:dyDescent="0.3">
      <c r="A160" s="183" t="s">
        <v>221</v>
      </c>
      <c r="B160" s="183" t="s">
        <v>23</v>
      </c>
      <c r="C160" s="184">
        <v>37714</v>
      </c>
      <c r="D160" s="185">
        <v>3.62</v>
      </c>
      <c r="E160" s="185">
        <v>3.24</v>
      </c>
      <c r="F160" s="188">
        <v>2003</v>
      </c>
      <c r="G160" s="188"/>
      <c r="H160" s="188"/>
      <c r="I160" s="188"/>
      <c r="J160" s="188"/>
      <c r="K160" s="188"/>
    </row>
    <row r="161" spans="1:11" ht="15" customHeight="1" x14ac:dyDescent="0.3">
      <c r="A161" s="183" t="s">
        <v>222</v>
      </c>
      <c r="B161" s="183" t="s">
        <v>23</v>
      </c>
      <c r="C161" s="184">
        <v>37746</v>
      </c>
      <c r="D161" s="185">
        <v>9.58</v>
      </c>
      <c r="E161" s="185">
        <v>7.06</v>
      </c>
      <c r="F161" s="188">
        <v>2003</v>
      </c>
      <c r="G161" s="188"/>
      <c r="H161" s="188"/>
      <c r="I161" s="188"/>
      <c r="J161" s="188"/>
      <c r="K161" s="188"/>
    </row>
    <row r="162" spans="1:11" ht="15" customHeight="1" x14ac:dyDescent="0.3">
      <c r="A162" s="183" t="s">
        <v>223</v>
      </c>
      <c r="B162" s="183" t="s">
        <v>23</v>
      </c>
      <c r="C162" s="184">
        <v>37775</v>
      </c>
      <c r="D162" s="185">
        <v>12.76</v>
      </c>
      <c r="E162" s="185">
        <v>11.15</v>
      </c>
      <c r="F162" s="188">
        <v>2003</v>
      </c>
      <c r="G162" s="188"/>
      <c r="H162" s="188"/>
      <c r="I162" s="188"/>
      <c r="J162" s="188"/>
      <c r="K162" s="188"/>
    </row>
    <row r="163" spans="1:11" ht="15" customHeight="1" x14ac:dyDescent="0.3">
      <c r="A163" s="183" t="s">
        <v>225</v>
      </c>
      <c r="B163" s="183" t="s">
        <v>23</v>
      </c>
      <c r="C163" s="184">
        <v>37809</v>
      </c>
      <c r="D163" s="185">
        <v>20.170000000000002</v>
      </c>
      <c r="E163" s="185">
        <v>16.170000000000002</v>
      </c>
      <c r="F163" s="188">
        <v>2003</v>
      </c>
      <c r="G163" s="188"/>
      <c r="H163" s="188"/>
      <c r="I163" s="188"/>
      <c r="J163" s="188"/>
      <c r="K163" s="188"/>
    </row>
    <row r="164" spans="1:11" ht="15" customHeight="1" x14ac:dyDescent="0.3">
      <c r="A164" s="183" t="s">
        <v>226</v>
      </c>
      <c r="B164" s="183" t="s">
        <v>23</v>
      </c>
      <c r="C164" s="184">
        <v>37826</v>
      </c>
      <c r="D164" s="185">
        <v>20.95</v>
      </c>
      <c r="E164" s="185">
        <v>18.350000000000001</v>
      </c>
      <c r="F164" s="188">
        <v>2003</v>
      </c>
      <c r="G164" s="188"/>
      <c r="H164" s="188"/>
      <c r="I164" s="188"/>
      <c r="J164" s="188"/>
      <c r="K164" s="188"/>
    </row>
    <row r="165" spans="1:11" ht="15" customHeight="1" x14ac:dyDescent="0.3">
      <c r="A165" s="183" t="s">
        <v>227</v>
      </c>
      <c r="B165" s="183" t="s">
        <v>23</v>
      </c>
      <c r="C165" s="184">
        <v>37837</v>
      </c>
      <c r="D165" s="185">
        <v>22.7</v>
      </c>
      <c r="E165" s="185">
        <v>18.78</v>
      </c>
      <c r="F165" s="188">
        <v>2003</v>
      </c>
      <c r="G165" s="188"/>
      <c r="H165" s="188"/>
      <c r="I165" s="188"/>
      <c r="J165" s="188"/>
      <c r="K165" s="188"/>
    </row>
    <row r="166" spans="1:11" ht="15" customHeight="1" x14ac:dyDescent="0.3">
      <c r="A166" s="183" t="s">
        <v>228</v>
      </c>
      <c r="B166" s="183" t="s">
        <v>23</v>
      </c>
      <c r="C166" s="184">
        <v>37852</v>
      </c>
      <c r="D166" s="185">
        <v>23.75</v>
      </c>
      <c r="E166" s="185">
        <v>20.53</v>
      </c>
      <c r="F166" s="188">
        <v>2003</v>
      </c>
      <c r="G166" s="188"/>
      <c r="H166" s="188"/>
      <c r="I166" s="188"/>
      <c r="J166" s="188"/>
      <c r="K166" s="188"/>
    </row>
    <row r="167" spans="1:11" ht="15" customHeight="1" x14ac:dyDescent="0.3">
      <c r="A167" s="183" t="s">
        <v>229</v>
      </c>
      <c r="B167" s="183" t="s">
        <v>23</v>
      </c>
      <c r="C167" s="184">
        <v>37873</v>
      </c>
      <c r="D167" s="185">
        <v>20.74</v>
      </c>
      <c r="E167" s="185">
        <v>20.47</v>
      </c>
      <c r="F167" s="188">
        <v>2003</v>
      </c>
      <c r="G167" s="188"/>
      <c r="H167" s="188"/>
      <c r="I167" s="188"/>
      <c r="J167" s="188"/>
      <c r="K167" s="188"/>
    </row>
    <row r="168" spans="1:11" ht="15" customHeight="1" x14ac:dyDescent="0.3">
      <c r="A168" s="183" t="s">
        <v>231</v>
      </c>
      <c r="B168" s="183" t="s">
        <v>23</v>
      </c>
      <c r="C168" s="184">
        <v>37928</v>
      </c>
      <c r="D168" s="185">
        <v>15.55</v>
      </c>
      <c r="E168" s="185">
        <v>15.16</v>
      </c>
      <c r="F168" s="188">
        <v>2003</v>
      </c>
      <c r="G168" s="188"/>
      <c r="H168" s="188"/>
      <c r="I168" s="188"/>
      <c r="J168" s="188"/>
      <c r="K168" s="188"/>
    </row>
    <row r="169" spans="1:11" ht="15" customHeight="1" x14ac:dyDescent="0.3">
      <c r="A169" s="183" t="s">
        <v>232</v>
      </c>
      <c r="B169" s="183" t="s">
        <v>23</v>
      </c>
      <c r="C169" s="184">
        <v>37963</v>
      </c>
      <c r="D169" s="185">
        <v>8.0299999999999994</v>
      </c>
      <c r="E169" s="185">
        <v>7.92</v>
      </c>
      <c r="F169" s="188">
        <v>2003</v>
      </c>
      <c r="G169" s="188"/>
      <c r="H169" s="188"/>
      <c r="I169" s="188"/>
      <c r="J169" s="188"/>
      <c r="K169" s="188"/>
    </row>
    <row r="170" spans="1:11" ht="15" customHeight="1" x14ac:dyDescent="0.3">
      <c r="A170" s="183" t="s">
        <v>497</v>
      </c>
      <c r="B170" s="183" t="s">
        <v>23</v>
      </c>
      <c r="C170" s="184">
        <v>37991</v>
      </c>
      <c r="D170" s="185">
        <v>5.34</v>
      </c>
      <c r="E170" s="185">
        <v>5.58</v>
      </c>
      <c r="F170" s="188">
        <v>2004</v>
      </c>
      <c r="G170" s="188"/>
      <c r="H170" s="188"/>
      <c r="I170" s="188"/>
      <c r="J170" s="188"/>
      <c r="K170" s="188"/>
    </row>
    <row r="171" spans="1:11" ht="15" customHeight="1" x14ac:dyDescent="0.3">
      <c r="A171" s="183" t="s">
        <v>233</v>
      </c>
      <c r="B171" s="183" t="s">
        <v>23</v>
      </c>
      <c r="C171" s="184">
        <v>38022</v>
      </c>
      <c r="D171" s="185">
        <v>-0.04</v>
      </c>
      <c r="E171" s="185">
        <v>0.15</v>
      </c>
      <c r="F171" s="188">
        <v>2004</v>
      </c>
      <c r="G171" s="188"/>
      <c r="H171" s="188"/>
      <c r="I171" s="188"/>
      <c r="J171" s="188"/>
      <c r="K171" s="188"/>
    </row>
    <row r="172" spans="1:11" ht="15" customHeight="1" x14ac:dyDescent="0.3">
      <c r="A172" s="183" t="s">
        <v>235</v>
      </c>
      <c r="B172" s="183" t="s">
        <v>23</v>
      </c>
      <c r="C172" s="184">
        <v>38050</v>
      </c>
      <c r="D172" s="185">
        <v>1.58</v>
      </c>
      <c r="E172" s="185">
        <v>1.68</v>
      </c>
      <c r="F172" s="188">
        <v>2004</v>
      </c>
      <c r="G172" s="188"/>
      <c r="H172" s="188"/>
      <c r="I172" s="188"/>
      <c r="J172" s="188"/>
      <c r="K172" s="188"/>
    </row>
    <row r="173" spans="1:11" ht="15" customHeight="1" x14ac:dyDescent="0.3">
      <c r="A173" s="183" t="s">
        <v>237</v>
      </c>
      <c r="B173" s="183" t="s">
        <v>23</v>
      </c>
      <c r="C173" s="184">
        <v>38084</v>
      </c>
      <c r="D173" s="185">
        <v>3.52</v>
      </c>
      <c r="E173" s="185">
        <v>3.5</v>
      </c>
      <c r="F173" s="188">
        <v>2004</v>
      </c>
      <c r="G173" s="188"/>
      <c r="H173" s="188"/>
      <c r="I173" s="188"/>
      <c r="J173" s="188"/>
      <c r="K173" s="188"/>
    </row>
    <row r="174" spans="1:11" ht="15" customHeight="1" x14ac:dyDescent="0.3">
      <c r="A174" s="183" t="s">
        <v>238</v>
      </c>
      <c r="B174" s="183" t="s">
        <v>23</v>
      </c>
      <c r="C174" s="184">
        <v>38112</v>
      </c>
      <c r="D174" s="185">
        <v>9.6</v>
      </c>
      <c r="E174" s="185">
        <v>8.44</v>
      </c>
      <c r="F174" s="188">
        <v>2004</v>
      </c>
      <c r="G174" s="188"/>
      <c r="H174" s="188"/>
      <c r="I174" s="188"/>
      <c r="J174" s="188"/>
      <c r="K174" s="188"/>
    </row>
    <row r="175" spans="1:11" ht="15" customHeight="1" x14ac:dyDescent="0.3">
      <c r="A175" s="183" t="s">
        <v>239</v>
      </c>
      <c r="B175" s="183" t="s">
        <v>23</v>
      </c>
      <c r="C175" s="184">
        <v>38139</v>
      </c>
      <c r="D175" s="185">
        <v>12.94</v>
      </c>
      <c r="E175" s="185">
        <v>11.91</v>
      </c>
      <c r="F175" s="188">
        <v>2004</v>
      </c>
      <c r="G175" s="188"/>
      <c r="H175" s="188"/>
      <c r="I175" s="188"/>
      <c r="J175" s="188"/>
      <c r="K175" s="188"/>
    </row>
    <row r="176" spans="1:11" ht="15" customHeight="1" x14ac:dyDescent="0.3">
      <c r="A176" s="183" t="s">
        <v>240</v>
      </c>
      <c r="B176" s="183" t="s">
        <v>23</v>
      </c>
      <c r="C176" s="184">
        <v>38166</v>
      </c>
      <c r="D176" s="185">
        <v>17.96</v>
      </c>
      <c r="E176" s="185">
        <v>16.07</v>
      </c>
      <c r="F176" s="188">
        <v>2004</v>
      </c>
      <c r="G176" s="188"/>
      <c r="H176" s="188"/>
      <c r="I176" s="188"/>
      <c r="J176" s="188"/>
      <c r="K176" s="188"/>
    </row>
    <row r="177" spans="1:11" ht="15" customHeight="1" x14ac:dyDescent="0.3">
      <c r="A177" s="183" t="s">
        <v>241</v>
      </c>
      <c r="B177" s="183" t="s">
        <v>23</v>
      </c>
      <c r="C177" s="184">
        <v>38176</v>
      </c>
      <c r="D177" s="185">
        <v>20.49</v>
      </c>
      <c r="E177" s="185">
        <v>17.420000000000002</v>
      </c>
      <c r="F177" s="188">
        <v>2004</v>
      </c>
      <c r="G177" s="188"/>
      <c r="H177" s="188"/>
      <c r="I177" s="188"/>
      <c r="J177" s="188"/>
      <c r="K177" s="188"/>
    </row>
    <row r="178" spans="1:11" ht="15" customHeight="1" x14ac:dyDescent="0.3">
      <c r="A178" s="183" t="s">
        <v>242</v>
      </c>
      <c r="B178" s="183" t="s">
        <v>23</v>
      </c>
      <c r="C178" s="184">
        <v>38187</v>
      </c>
      <c r="D178" s="185">
        <v>21.31</v>
      </c>
      <c r="E178" s="185">
        <v>19.09</v>
      </c>
      <c r="F178" s="188">
        <v>2004</v>
      </c>
      <c r="G178" s="188"/>
      <c r="H178" s="188"/>
      <c r="I178" s="188"/>
      <c r="J178" s="188"/>
      <c r="K178" s="188"/>
    </row>
    <row r="179" spans="1:11" ht="15" customHeight="1" x14ac:dyDescent="0.3">
      <c r="A179" s="183" t="s">
        <v>243</v>
      </c>
      <c r="B179" s="183" t="s">
        <v>23</v>
      </c>
      <c r="C179" s="184">
        <v>38201</v>
      </c>
      <c r="D179" s="185">
        <v>23</v>
      </c>
      <c r="E179" s="185">
        <v>20.77</v>
      </c>
      <c r="F179" s="188">
        <v>2004</v>
      </c>
      <c r="G179" s="188"/>
      <c r="H179" s="188"/>
      <c r="I179" s="188"/>
      <c r="J179" s="188"/>
      <c r="K179" s="188"/>
    </row>
    <row r="180" spans="1:11" ht="15" customHeight="1" x14ac:dyDescent="0.3">
      <c r="A180" s="183" t="s">
        <v>244</v>
      </c>
      <c r="B180" s="183" t="s">
        <v>23</v>
      </c>
      <c r="C180" s="184">
        <v>38218</v>
      </c>
      <c r="D180" s="185">
        <v>22.16</v>
      </c>
      <c r="E180" s="185">
        <v>20.82</v>
      </c>
      <c r="F180" s="188">
        <v>2004</v>
      </c>
      <c r="G180" s="188"/>
      <c r="H180" s="188"/>
      <c r="I180" s="188"/>
      <c r="J180" s="188"/>
      <c r="K180" s="188"/>
    </row>
    <row r="181" spans="1:11" ht="15" customHeight="1" x14ac:dyDescent="0.3">
      <c r="A181" s="183" t="s">
        <v>245</v>
      </c>
      <c r="B181" s="183" t="s">
        <v>23</v>
      </c>
      <c r="C181" s="184">
        <v>38230</v>
      </c>
      <c r="D181" s="185">
        <v>23.61</v>
      </c>
      <c r="E181" s="185">
        <v>21.74</v>
      </c>
      <c r="F181" s="188">
        <v>2004</v>
      </c>
      <c r="G181" s="188"/>
      <c r="H181" s="188"/>
      <c r="I181" s="188"/>
      <c r="J181" s="188"/>
      <c r="K181" s="188"/>
    </row>
    <row r="182" spans="1:11" ht="15" customHeight="1" x14ac:dyDescent="0.3">
      <c r="A182" s="183" t="s">
        <v>246</v>
      </c>
      <c r="B182" s="183" t="s">
        <v>23</v>
      </c>
      <c r="C182" s="184">
        <v>38266</v>
      </c>
      <c r="D182" s="185">
        <v>20.22</v>
      </c>
      <c r="E182" s="185">
        <v>20.04</v>
      </c>
      <c r="F182" s="188">
        <v>2004</v>
      </c>
      <c r="G182" s="188"/>
      <c r="H182" s="188"/>
      <c r="I182" s="188"/>
      <c r="J182" s="188"/>
      <c r="K182" s="188"/>
    </row>
    <row r="183" spans="1:11" ht="15" customHeight="1" x14ac:dyDescent="0.3">
      <c r="A183" s="183" t="s">
        <v>247</v>
      </c>
      <c r="B183" s="183" t="s">
        <v>23</v>
      </c>
      <c r="C183" s="184">
        <v>38320</v>
      </c>
      <c r="D183" s="185">
        <v>10.71</v>
      </c>
      <c r="E183" s="185">
        <v>10.71</v>
      </c>
      <c r="F183" s="188">
        <v>2004</v>
      </c>
      <c r="G183" s="188"/>
      <c r="H183" s="188"/>
      <c r="I183" s="188"/>
      <c r="J183" s="188"/>
      <c r="K183" s="188"/>
    </row>
    <row r="184" spans="1:11" ht="15" customHeight="1" x14ac:dyDescent="0.3">
      <c r="A184" s="183" t="s">
        <v>248</v>
      </c>
      <c r="B184" s="183" t="s">
        <v>23</v>
      </c>
      <c r="C184" s="184">
        <v>38362</v>
      </c>
      <c r="D184" s="185">
        <v>5.04</v>
      </c>
      <c r="E184" s="185">
        <v>5.04</v>
      </c>
      <c r="F184" s="188">
        <v>2005</v>
      </c>
      <c r="G184" s="188"/>
      <c r="H184" s="188"/>
      <c r="I184" s="188"/>
      <c r="J184" s="188"/>
      <c r="K184" s="188"/>
    </row>
    <row r="185" spans="1:11" ht="15" customHeight="1" x14ac:dyDescent="0.3">
      <c r="A185" s="183" t="s">
        <v>249</v>
      </c>
      <c r="B185" s="183" t="s">
        <v>23</v>
      </c>
      <c r="C185" s="184">
        <v>38385</v>
      </c>
      <c r="D185" s="185">
        <v>1.0900000000000001</v>
      </c>
      <c r="E185" s="185">
        <v>1.2</v>
      </c>
      <c r="F185" s="188">
        <v>2005</v>
      </c>
      <c r="G185" s="188"/>
      <c r="H185" s="188"/>
      <c r="I185" s="188"/>
      <c r="J185" s="188"/>
      <c r="K185" s="188"/>
    </row>
    <row r="186" spans="1:11" ht="15" customHeight="1" x14ac:dyDescent="0.3">
      <c r="A186" s="183" t="s">
        <v>250</v>
      </c>
      <c r="B186" s="183" t="s">
        <v>23</v>
      </c>
      <c r="C186" s="184">
        <v>38418</v>
      </c>
      <c r="D186" s="186"/>
      <c r="E186" s="185">
        <v>1.49</v>
      </c>
      <c r="F186" s="188">
        <v>2005</v>
      </c>
      <c r="G186" s="188"/>
      <c r="H186" s="188"/>
      <c r="I186" s="188"/>
      <c r="J186" s="188"/>
      <c r="K186" s="188"/>
    </row>
    <row r="187" spans="1:11" ht="15" customHeight="1" x14ac:dyDescent="0.3">
      <c r="A187" s="183" t="s">
        <v>251</v>
      </c>
      <c r="B187" s="183" t="s">
        <v>23</v>
      </c>
      <c r="C187" s="184">
        <v>38447</v>
      </c>
      <c r="D187" s="185">
        <v>3.77</v>
      </c>
      <c r="E187" s="185">
        <v>3.25</v>
      </c>
      <c r="F187" s="188">
        <v>2005</v>
      </c>
      <c r="G187" s="188"/>
      <c r="H187" s="188"/>
      <c r="I187" s="188"/>
      <c r="J187" s="188"/>
      <c r="K187" s="188"/>
    </row>
    <row r="188" spans="1:11" ht="15" customHeight="1" x14ac:dyDescent="0.3">
      <c r="A188" s="183" t="s">
        <v>252</v>
      </c>
      <c r="B188" s="183" t="s">
        <v>23</v>
      </c>
      <c r="C188" s="184">
        <v>38477</v>
      </c>
      <c r="D188" s="185">
        <v>10.36</v>
      </c>
      <c r="E188" s="185">
        <v>8.5299999999999994</v>
      </c>
      <c r="F188" s="188">
        <v>2005</v>
      </c>
      <c r="G188" s="188"/>
      <c r="H188" s="188"/>
      <c r="I188" s="188"/>
      <c r="J188" s="188"/>
      <c r="K188" s="188"/>
    </row>
    <row r="189" spans="1:11" ht="15" customHeight="1" x14ac:dyDescent="0.3">
      <c r="A189" s="183" t="s">
        <v>253</v>
      </c>
      <c r="B189" s="183" t="s">
        <v>23</v>
      </c>
      <c r="C189" s="184">
        <v>38511</v>
      </c>
      <c r="D189" s="185">
        <v>16.510000000000002</v>
      </c>
      <c r="E189" s="185">
        <v>12.18</v>
      </c>
      <c r="F189" s="188">
        <v>2005</v>
      </c>
      <c r="G189" s="188"/>
      <c r="H189" s="188"/>
      <c r="I189" s="188"/>
      <c r="J189" s="188"/>
      <c r="K189" s="188"/>
    </row>
    <row r="190" spans="1:11" ht="15" customHeight="1" x14ac:dyDescent="0.3">
      <c r="A190" s="183" t="s">
        <v>255</v>
      </c>
      <c r="B190" s="183" t="s">
        <v>23</v>
      </c>
      <c r="C190" s="184">
        <v>38540</v>
      </c>
      <c r="D190" s="185">
        <v>19</v>
      </c>
      <c r="E190" s="185">
        <v>17.440000000000001</v>
      </c>
      <c r="F190" s="188">
        <v>2005</v>
      </c>
      <c r="G190" s="188"/>
      <c r="H190" s="188"/>
      <c r="I190" s="188"/>
      <c r="J190" s="188"/>
      <c r="K190" s="188"/>
    </row>
    <row r="191" spans="1:11" ht="15" customHeight="1" x14ac:dyDescent="0.3">
      <c r="A191" s="183" t="s">
        <v>256</v>
      </c>
      <c r="B191" s="183" t="s">
        <v>23</v>
      </c>
      <c r="C191" s="184">
        <v>38551</v>
      </c>
      <c r="D191" s="185">
        <v>20.25</v>
      </c>
      <c r="E191" s="185">
        <v>18.02</v>
      </c>
      <c r="F191" s="188">
        <v>2005</v>
      </c>
      <c r="G191" s="188"/>
      <c r="H191" s="188"/>
      <c r="I191" s="188"/>
      <c r="J191" s="188"/>
      <c r="K191" s="188"/>
    </row>
    <row r="192" spans="1:11" ht="15" customHeight="1" x14ac:dyDescent="0.3">
      <c r="A192" s="183" t="s">
        <v>257</v>
      </c>
      <c r="B192" s="183" t="s">
        <v>23</v>
      </c>
      <c r="C192" s="184">
        <v>38566</v>
      </c>
      <c r="D192" s="185">
        <v>23.03</v>
      </c>
      <c r="E192" s="185">
        <v>20.59</v>
      </c>
      <c r="F192" s="188">
        <v>2005</v>
      </c>
      <c r="G192" s="188"/>
      <c r="H192" s="188"/>
      <c r="I192" s="188"/>
      <c r="J192" s="188"/>
      <c r="K192" s="188"/>
    </row>
    <row r="193" spans="1:11" ht="15" customHeight="1" x14ac:dyDescent="0.3">
      <c r="A193" s="183" t="s">
        <v>258</v>
      </c>
      <c r="B193" s="183" t="s">
        <v>23</v>
      </c>
      <c r="C193" s="184">
        <v>38580</v>
      </c>
      <c r="D193" s="185">
        <v>24.16</v>
      </c>
      <c r="E193" s="185">
        <v>21.21</v>
      </c>
      <c r="F193" s="188">
        <v>2005</v>
      </c>
      <c r="G193" s="188"/>
      <c r="H193" s="188"/>
      <c r="I193" s="188"/>
      <c r="J193" s="188"/>
      <c r="K193" s="188"/>
    </row>
    <row r="194" spans="1:11" ht="15" customHeight="1" x14ac:dyDescent="0.3">
      <c r="A194" s="183" t="s">
        <v>259</v>
      </c>
      <c r="B194" s="183" t="s">
        <v>23</v>
      </c>
      <c r="C194" s="184">
        <v>38593</v>
      </c>
      <c r="D194" s="185">
        <v>23.9</v>
      </c>
      <c r="E194" s="185">
        <v>21.9</v>
      </c>
      <c r="F194" s="188">
        <v>2005</v>
      </c>
      <c r="G194" s="188"/>
      <c r="H194" s="188"/>
      <c r="I194" s="188"/>
      <c r="J194" s="188"/>
      <c r="K194" s="188"/>
    </row>
    <row r="195" spans="1:11" ht="15" customHeight="1" x14ac:dyDescent="0.3">
      <c r="A195" s="183" t="s">
        <v>261</v>
      </c>
      <c r="B195" s="183" t="s">
        <v>23</v>
      </c>
      <c r="C195" s="184">
        <v>38631</v>
      </c>
      <c r="D195" s="185">
        <v>21.25</v>
      </c>
      <c r="E195" s="185">
        <v>20.7</v>
      </c>
      <c r="F195" s="188">
        <v>2005</v>
      </c>
      <c r="G195" s="188"/>
      <c r="H195" s="188"/>
      <c r="I195" s="188"/>
      <c r="J195" s="188"/>
      <c r="K195" s="188"/>
    </row>
    <row r="196" spans="1:11" ht="15" customHeight="1" x14ac:dyDescent="0.3">
      <c r="A196" s="183" t="s">
        <v>262</v>
      </c>
      <c r="B196" s="183" t="s">
        <v>23</v>
      </c>
      <c r="C196" s="184">
        <v>38670</v>
      </c>
      <c r="D196" s="185">
        <v>13.47</v>
      </c>
      <c r="E196" s="185">
        <v>13.3</v>
      </c>
      <c r="F196" s="188">
        <v>2005</v>
      </c>
      <c r="G196" s="188"/>
      <c r="H196" s="188"/>
      <c r="I196" s="188"/>
      <c r="J196" s="188"/>
      <c r="K196" s="188"/>
    </row>
    <row r="197" spans="1:11" ht="15" customHeight="1" x14ac:dyDescent="0.3">
      <c r="A197" s="183" t="s">
        <v>263</v>
      </c>
      <c r="B197" s="183" t="s">
        <v>23</v>
      </c>
      <c r="C197" s="184">
        <v>38694</v>
      </c>
      <c r="D197" s="185">
        <v>7.9</v>
      </c>
      <c r="E197" s="185">
        <v>8.77</v>
      </c>
      <c r="F197" s="188">
        <v>2005</v>
      </c>
      <c r="G197" s="188"/>
      <c r="H197" s="188"/>
      <c r="I197" s="188"/>
      <c r="J197" s="188"/>
      <c r="K197" s="188"/>
    </row>
    <row r="198" spans="1:11" ht="15" customHeight="1" x14ac:dyDescent="0.3">
      <c r="A198" s="183" t="s">
        <v>498</v>
      </c>
      <c r="B198" s="183" t="s">
        <v>23</v>
      </c>
      <c r="C198" s="184">
        <v>38818</v>
      </c>
      <c r="D198" s="185">
        <v>6.44</v>
      </c>
      <c r="E198" s="185">
        <v>5.78</v>
      </c>
      <c r="F198" s="188">
        <v>2006</v>
      </c>
      <c r="G198" s="188"/>
      <c r="H198" s="188"/>
      <c r="I198" s="188"/>
      <c r="J198" s="188"/>
      <c r="K198" s="188"/>
    </row>
    <row r="199" spans="1:11" ht="15" customHeight="1" x14ac:dyDescent="0.3">
      <c r="A199" s="183" t="s">
        <v>265</v>
      </c>
      <c r="B199" s="183" t="s">
        <v>23</v>
      </c>
      <c r="C199" s="184">
        <v>38839</v>
      </c>
      <c r="D199" s="185">
        <v>9.34</v>
      </c>
      <c r="E199" s="185">
        <v>8.52</v>
      </c>
      <c r="F199" s="188">
        <v>2006</v>
      </c>
      <c r="G199" s="188"/>
      <c r="H199" s="188"/>
      <c r="I199" s="188"/>
      <c r="J199" s="188"/>
      <c r="K199" s="188"/>
    </row>
    <row r="200" spans="1:11" ht="15" customHeight="1" x14ac:dyDescent="0.3">
      <c r="A200" s="183" t="s">
        <v>266</v>
      </c>
      <c r="B200" s="183" t="s">
        <v>23</v>
      </c>
      <c r="C200" s="184">
        <v>38874</v>
      </c>
      <c r="D200" s="185">
        <v>15.13</v>
      </c>
      <c r="E200" s="185">
        <v>12.13</v>
      </c>
      <c r="F200" s="188">
        <v>2006</v>
      </c>
      <c r="G200" s="188"/>
      <c r="H200" s="188"/>
      <c r="I200" s="188"/>
      <c r="J200" s="188"/>
      <c r="K200" s="188"/>
    </row>
    <row r="201" spans="1:11" ht="15" customHeight="1" x14ac:dyDescent="0.3">
      <c r="A201" s="183" t="s">
        <v>268</v>
      </c>
      <c r="B201" s="183" t="s">
        <v>23</v>
      </c>
      <c r="C201" s="184">
        <v>38904</v>
      </c>
      <c r="D201" s="186"/>
      <c r="E201" s="186"/>
      <c r="F201" s="186">
        <v>2006</v>
      </c>
      <c r="G201" s="186"/>
      <c r="H201" s="186"/>
      <c r="I201" s="186"/>
      <c r="J201" s="186"/>
      <c r="K201" s="186"/>
    </row>
    <row r="202" spans="1:11" ht="15" customHeight="1" x14ac:dyDescent="0.3">
      <c r="A202" s="183" t="s">
        <v>270</v>
      </c>
      <c r="B202" s="183" t="s">
        <v>23</v>
      </c>
      <c r="C202" s="184">
        <v>38930</v>
      </c>
      <c r="D202" s="185">
        <v>24.65</v>
      </c>
      <c r="E202" s="185">
        <v>20.74</v>
      </c>
      <c r="F202" s="188">
        <v>2006</v>
      </c>
      <c r="G202" s="188"/>
      <c r="H202" s="188"/>
      <c r="I202" s="188"/>
      <c r="J202" s="188"/>
      <c r="K202" s="188"/>
    </row>
    <row r="203" spans="1:11" ht="15" customHeight="1" x14ac:dyDescent="0.3">
      <c r="A203" s="183" t="s">
        <v>272</v>
      </c>
      <c r="B203" s="183" t="s">
        <v>23</v>
      </c>
      <c r="C203" s="184">
        <v>38958</v>
      </c>
      <c r="D203" s="185">
        <v>21.78</v>
      </c>
      <c r="E203" s="185">
        <v>21.78</v>
      </c>
      <c r="F203" s="188">
        <v>2006</v>
      </c>
      <c r="G203" s="188"/>
      <c r="H203" s="188"/>
      <c r="I203" s="188"/>
      <c r="J203" s="188"/>
      <c r="K203" s="188"/>
    </row>
    <row r="204" spans="1:11" ht="15" customHeight="1" x14ac:dyDescent="0.3">
      <c r="A204" s="183" t="s">
        <v>273</v>
      </c>
      <c r="B204" s="183" t="s">
        <v>23</v>
      </c>
      <c r="C204" s="184">
        <v>38994</v>
      </c>
      <c r="D204" s="185">
        <v>19.54</v>
      </c>
      <c r="E204" s="185">
        <v>19.440000000000001</v>
      </c>
      <c r="F204" s="188">
        <v>2006</v>
      </c>
      <c r="G204" s="188"/>
      <c r="H204" s="188"/>
      <c r="I204" s="188"/>
      <c r="J204" s="188"/>
      <c r="K204" s="188"/>
    </row>
    <row r="205" spans="1:11" ht="15" customHeight="1" x14ac:dyDescent="0.3">
      <c r="A205" s="183" t="s">
        <v>274</v>
      </c>
      <c r="B205" s="183" t="s">
        <v>23</v>
      </c>
      <c r="C205" s="184">
        <v>39028</v>
      </c>
      <c r="D205" s="185">
        <v>13.44</v>
      </c>
      <c r="E205" s="185">
        <v>13.43</v>
      </c>
      <c r="F205" s="188">
        <v>2006</v>
      </c>
      <c r="G205" s="188"/>
      <c r="H205" s="188"/>
      <c r="I205" s="188"/>
      <c r="J205" s="188"/>
      <c r="K205" s="188"/>
    </row>
    <row r="206" spans="1:11" ht="15" customHeight="1" x14ac:dyDescent="0.3">
      <c r="A206" s="183" t="s">
        <v>275</v>
      </c>
      <c r="B206" s="183" t="s">
        <v>23</v>
      </c>
      <c r="C206" s="184">
        <v>39063</v>
      </c>
      <c r="D206" s="185">
        <v>8.9</v>
      </c>
      <c r="E206" s="185">
        <v>9.11</v>
      </c>
      <c r="F206" s="188">
        <v>2006</v>
      </c>
      <c r="G206" s="188"/>
      <c r="H206" s="188"/>
      <c r="I206" s="188"/>
      <c r="J206" s="188"/>
      <c r="K206" s="188"/>
    </row>
    <row r="207" spans="1:11" ht="15" customHeight="1" x14ac:dyDescent="0.3">
      <c r="A207" s="183" t="s">
        <v>276</v>
      </c>
      <c r="B207" s="183" t="s">
        <v>23</v>
      </c>
      <c r="C207" s="184">
        <v>39093</v>
      </c>
      <c r="D207" s="185">
        <v>7.22</v>
      </c>
      <c r="E207" s="185">
        <v>7.64</v>
      </c>
      <c r="F207" s="188">
        <v>2007</v>
      </c>
      <c r="G207" s="188"/>
      <c r="H207" s="188"/>
      <c r="I207" s="188"/>
      <c r="J207" s="188"/>
      <c r="K207" s="188"/>
    </row>
    <row r="208" spans="1:11" ht="15" customHeight="1" x14ac:dyDescent="0.3">
      <c r="A208" s="183" t="s">
        <v>277</v>
      </c>
      <c r="B208" s="183" t="s">
        <v>23</v>
      </c>
      <c r="C208" s="184">
        <v>39114</v>
      </c>
      <c r="D208" s="185">
        <v>3.76</v>
      </c>
      <c r="E208" s="185">
        <v>4.22</v>
      </c>
      <c r="F208" s="188">
        <v>2007</v>
      </c>
      <c r="G208" s="188"/>
      <c r="H208" s="188"/>
      <c r="I208" s="188"/>
      <c r="J208" s="188"/>
      <c r="K208" s="188"/>
    </row>
    <row r="209" spans="1:11" ht="15" customHeight="1" x14ac:dyDescent="0.3">
      <c r="A209" s="183" t="s">
        <v>278</v>
      </c>
      <c r="B209" s="183" t="s">
        <v>23</v>
      </c>
      <c r="C209" s="184">
        <v>39142</v>
      </c>
      <c r="D209" s="186"/>
      <c r="E209" s="186"/>
      <c r="F209" s="186">
        <v>2007</v>
      </c>
      <c r="G209" s="186"/>
      <c r="H209" s="186"/>
      <c r="I209" s="186"/>
      <c r="J209" s="186"/>
      <c r="K209" s="186"/>
    </row>
    <row r="210" spans="1:11" ht="15" customHeight="1" x14ac:dyDescent="0.3">
      <c r="A210" s="183" t="s">
        <v>280</v>
      </c>
      <c r="B210" s="183" t="s">
        <v>23</v>
      </c>
      <c r="C210" s="184">
        <v>39174</v>
      </c>
      <c r="D210" s="185">
        <v>3.72</v>
      </c>
      <c r="E210" s="185">
        <v>3.68</v>
      </c>
      <c r="F210" s="188">
        <v>2007</v>
      </c>
      <c r="G210" s="188"/>
      <c r="H210" s="188"/>
      <c r="I210" s="188"/>
      <c r="J210" s="188"/>
      <c r="K210" s="188"/>
    </row>
    <row r="211" spans="1:11" ht="15" customHeight="1" x14ac:dyDescent="0.3">
      <c r="A211" s="183" t="s">
        <v>281</v>
      </c>
      <c r="B211" s="183" t="s">
        <v>23</v>
      </c>
      <c r="C211" s="184">
        <v>39209</v>
      </c>
      <c r="D211" s="185">
        <v>10.27</v>
      </c>
      <c r="E211" s="185">
        <v>7.04</v>
      </c>
      <c r="F211" s="188">
        <v>2007</v>
      </c>
      <c r="G211" s="188"/>
      <c r="H211" s="188"/>
      <c r="I211" s="188"/>
      <c r="J211" s="188"/>
      <c r="K211" s="188"/>
    </row>
    <row r="212" spans="1:11" ht="15" customHeight="1" x14ac:dyDescent="0.3">
      <c r="A212" s="183" t="s">
        <v>282</v>
      </c>
      <c r="B212" s="183" t="s">
        <v>23</v>
      </c>
      <c r="C212" s="184">
        <v>39238</v>
      </c>
      <c r="D212" s="185">
        <v>15.96</v>
      </c>
      <c r="E212" s="185">
        <v>12.33</v>
      </c>
      <c r="F212" s="188">
        <v>2007</v>
      </c>
      <c r="G212" s="188"/>
      <c r="H212" s="188"/>
      <c r="I212" s="188"/>
      <c r="J212" s="188"/>
      <c r="K212" s="188"/>
    </row>
    <row r="213" spans="1:11" ht="15" customHeight="1" x14ac:dyDescent="0.3">
      <c r="A213" s="183" t="s">
        <v>284</v>
      </c>
      <c r="B213" s="183" t="s">
        <v>23</v>
      </c>
      <c r="C213" s="184">
        <v>39272</v>
      </c>
      <c r="D213" s="185">
        <v>20.239999999999998</v>
      </c>
      <c r="E213" s="185">
        <v>17.77</v>
      </c>
      <c r="F213" s="188">
        <v>2007</v>
      </c>
      <c r="G213" s="188"/>
      <c r="H213" s="188"/>
      <c r="I213" s="188"/>
      <c r="J213" s="188"/>
      <c r="K213" s="188"/>
    </row>
    <row r="214" spans="1:11" ht="15" customHeight="1" x14ac:dyDescent="0.3">
      <c r="A214" s="183" t="s">
        <v>285</v>
      </c>
      <c r="B214" s="183" t="s">
        <v>23</v>
      </c>
      <c r="C214" s="184">
        <v>39282</v>
      </c>
      <c r="D214" s="185">
        <v>21.24</v>
      </c>
      <c r="E214" s="185">
        <v>19.09</v>
      </c>
      <c r="F214" s="188">
        <v>2007</v>
      </c>
      <c r="G214" s="188"/>
      <c r="H214" s="188"/>
      <c r="I214" s="188"/>
      <c r="J214" s="188"/>
      <c r="K214" s="188"/>
    </row>
    <row r="215" spans="1:11" ht="15" customHeight="1" x14ac:dyDescent="0.3">
      <c r="A215" s="183" t="s">
        <v>286</v>
      </c>
      <c r="B215" s="183" t="s">
        <v>23</v>
      </c>
      <c r="C215" s="184">
        <v>39293</v>
      </c>
      <c r="D215" s="185">
        <v>21.16</v>
      </c>
      <c r="E215" s="185">
        <v>20.309999999999999</v>
      </c>
      <c r="F215" s="188">
        <v>2007</v>
      </c>
      <c r="G215" s="188"/>
      <c r="H215" s="188"/>
      <c r="I215" s="188"/>
      <c r="J215" s="188"/>
      <c r="K215" s="188"/>
    </row>
    <row r="216" spans="1:11" ht="15" customHeight="1" x14ac:dyDescent="0.3">
      <c r="A216" s="183" t="s">
        <v>287</v>
      </c>
      <c r="B216" s="183" t="s">
        <v>23</v>
      </c>
      <c r="C216" s="184">
        <v>39307</v>
      </c>
      <c r="D216" s="185">
        <v>23.27</v>
      </c>
      <c r="E216" s="185">
        <v>21.99</v>
      </c>
      <c r="F216" s="188">
        <v>2007</v>
      </c>
      <c r="G216" s="188"/>
      <c r="H216" s="188"/>
      <c r="I216" s="188"/>
      <c r="J216" s="188"/>
      <c r="K216" s="188"/>
    </row>
    <row r="217" spans="1:11" ht="15" customHeight="1" x14ac:dyDescent="0.3">
      <c r="A217" s="183" t="s">
        <v>288</v>
      </c>
      <c r="B217" s="183" t="s">
        <v>23</v>
      </c>
      <c r="C217" s="184">
        <v>39322</v>
      </c>
      <c r="D217" s="185">
        <v>22.1</v>
      </c>
      <c r="E217" s="185">
        <v>21.4</v>
      </c>
      <c r="F217" s="188">
        <v>2007</v>
      </c>
      <c r="G217" s="188"/>
      <c r="H217" s="188"/>
      <c r="I217" s="188"/>
      <c r="J217" s="188"/>
      <c r="K217" s="188"/>
    </row>
    <row r="218" spans="1:11" ht="15" customHeight="1" x14ac:dyDescent="0.3">
      <c r="A218" s="183" t="s">
        <v>290</v>
      </c>
      <c r="B218" s="183" t="s">
        <v>23</v>
      </c>
      <c r="C218" s="184">
        <v>39357</v>
      </c>
      <c r="D218" s="185">
        <v>21.07</v>
      </c>
      <c r="E218" s="185">
        <v>20.64</v>
      </c>
      <c r="F218" s="188">
        <v>2007</v>
      </c>
      <c r="G218" s="188"/>
      <c r="H218" s="188"/>
      <c r="I218" s="188"/>
      <c r="J218" s="188"/>
      <c r="K218" s="188"/>
    </row>
    <row r="219" spans="1:11" ht="15" customHeight="1" x14ac:dyDescent="0.3">
      <c r="A219" s="183" t="s">
        <v>291</v>
      </c>
      <c r="B219" s="183" t="s">
        <v>23</v>
      </c>
      <c r="C219" s="184">
        <v>39394</v>
      </c>
      <c r="D219" s="185">
        <v>14.62</v>
      </c>
      <c r="E219" s="185">
        <v>14.64</v>
      </c>
      <c r="F219" s="188">
        <v>2007</v>
      </c>
      <c r="G219" s="188"/>
      <c r="H219" s="188"/>
      <c r="I219" s="188"/>
      <c r="J219" s="188"/>
      <c r="K219" s="188"/>
    </row>
    <row r="220" spans="1:11" ht="15" customHeight="1" x14ac:dyDescent="0.3">
      <c r="A220" s="183" t="s">
        <v>292</v>
      </c>
      <c r="B220" s="183" t="s">
        <v>23</v>
      </c>
      <c r="C220" s="184">
        <v>39421</v>
      </c>
      <c r="D220" s="185">
        <v>8.48</v>
      </c>
      <c r="E220" s="185">
        <v>8.98</v>
      </c>
      <c r="F220" s="188">
        <v>2007</v>
      </c>
      <c r="G220" s="188"/>
      <c r="H220" s="188"/>
      <c r="I220" s="188"/>
      <c r="J220" s="188"/>
      <c r="K220" s="188"/>
    </row>
    <row r="221" spans="1:11" ht="15" customHeight="1" x14ac:dyDescent="0.3">
      <c r="A221" s="183" t="s">
        <v>293</v>
      </c>
      <c r="B221" s="183" t="s">
        <v>23</v>
      </c>
      <c r="C221" s="184">
        <v>39454</v>
      </c>
      <c r="D221" s="185">
        <v>4.79</v>
      </c>
      <c r="E221" s="185">
        <v>4.74</v>
      </c>
      <c r="F221" s="188">
        <v>2008</v>
      </c>
      <c r="G221" s="188"/>
      <c r="H221" s="188"/>
      <c r="I221" s="188"/>
      <c r="J221" s="188"/>
      <c r="K221" s="188"/>
    </row>
    <row r="222" spans="1:11" ht="15" customHeight="1" x14ac:dyDescent="0.3">
      <c r="A222" s="183" t="s">
        <v>294</v>
      </c>
      <c r="B222" s="183" t="s">
        <v>23</v>
      </c>
      <c r="C222" s="184">
        <v>39482</v>
      </c>
      <c r="D222" s="185">
        <v>3.23</v>
      </c>
      <c r="E222" s="185">
        <v>3.22</v>
      </c>
      <c r="F222" s="188">
        <v>2008</v>
      </c>
      <c r="G222" s="188"/>
      <c r="H222" s="188"/>
      <c r="I222" s="188"/>
      <c r="J222" s="188"/>
      <c r="K222" s="188"/>
    </row>
    <row r="223" spans="1:11" ht="15" customHeight="1" x14ac:dyDescent="0.3">
      <c r="A223" s="183" t="s">
        <v>296</v>
      </c>
      <c r="B223" s="183" t="s">
        <v>23</v>
      </c>
      <c r="C223" s="184">
        <v>39514</v>
      </c>
      <c r="D223" s="185">
        <v>3.22</v>
      </c>
      <c r="E223" s="185">
        <v>3.16</v>
      </c>
      <c r="F223" s="188">
        <v>2008</v>
      </c>
      <c r="G223" s="188"/>
      <c r="H223" s="188"/>
      <c r="I223" s="188"/>
      <c r="J223" s="188"/>
      <c r="K223" s="188"/>
    </row>
    <row r="224" spans="1:11" ht="15" customHeight="1" x14ac:dyDescent="0.3">
      <c r="A224" s="183" t="s">
        <v>298</v>
      </c>
      <c r="B224" s="183" t="s">
        <v>23</v>
      </c>
      <c r="C224" s="184">
        <v>39541</v>
      </c>
      <c r="D224" s="185">
        <v>4.95</v>
      </c>
      <c r="E224" s="185">
        <v>4.97</v>
      </c>
      <c r="F224" s="188">
        <v>2008</v>
      </c>
      <c r="G224" s="188"/>
      <c r="H224" s="188"/>
      <c r="I224" s="188"/>
      <c r="J224" s="188"/>
      <c r="K224" s="188"/>
    </row>
    <row r="225" spans="1:11" ht="15" customHeight="1" x14ac:dyDescent="0.3">
      <c r="A225" s="183" t="s">
        <v>299</v>
      </c>
      <c r="B225" s="183" t="s">
        <v>23</v>
      </c>
      <c r="C225" s="184">
        <v>39573</v>
      </c>
      <c r="D225" s="185">
        <v>9.09</v>
      </c>
      <c r="E225" s="185">
        <v>8.84</v>
      </c>
      <c r="F225" s="188">
        <v>2008</v>
      </c>
      <c r="G225" s="188"/>
      <c r="H225" s="188"/>
      <c r="I225" s="188"/>
      <c r="J225" s="188"/>
      <c r="K225" s="188"/>
    </row>
    <row r="226" spans="1:11" ht="15" customHeight="1" x14ac:dyDescent="0.3">
      <c r="A226" s="183" t="s">
        <v>300</v>
      </c>
      <c r="B226" s="183" t="s">
        <v>23</v>
      </c>
      <c r="C226" s="184">
        <v>39601</v>
      </c>
      <c r="D226" s="185">
        <v>15.2</v>
      </c>
      <c r="E226" s="185">
        <v>12.05</v>
      </c>
      <c r="F226" s="188">
        <v>2008</v>
      </c>
      <c r="G226" s="188"/>
      <c r="H226" s="188"/>
      <c r="I226" s="188"/>
      <c r="J226" s="188"/>
      <c r="K226" s="188"/>
    </row>
    <row r="227" spans="1:11" ht="15" customHeight="1" x14ac:dyDescent="0.3">
      <c r="A227" s="183" t="s">
        <v>302</v>
      </c>
      <c r="B227" s="183" t="s">
        <v>23</v>
      </c>
      <c r="C227" s="184">
        <v>39631</v>
      </c>
      <c r="D227" s="185">
        <v>21.7</v>
      </c>
      <c r="E227" s="185">
        <v>17.38</v>
      </c>
      <c r="F227" s="188">
        <v>2008</v>
      </c>
      <c r="G227" s="188"/>
      <c r="H227" s="188"/>
      <c r="I227" s="188"/>
      <c r="J227" s="188"/>
      <c r="K227" s="188"/>
    </row>
    <row r="228" spans="1:11" ht="15" customHeight="1" x14ac:dyDescent="0.3">
      <c r="A228" s="183" t="s">
        <v>303</v>
      </c>
      <c r="B228" s="183" t="s">
        <v>23</v>
      </c>
      <c r="C228" s="184">
        <v>39650</v>
      </c>
      <c r="D228" s="185">
        <v>22.6</v>
      </c>
      <c r="E228" s="185">
        <v>19.95</v>
      </c>
      <c r="F228" s="188">
        <v>2008</v>
      </c>
      <c r="G228" s="188"/>
      <c r="H228" s="188"/>
      <c r="I228" s="188"/>
      <c r="J228" s="188"/>
      <c r="K228" s="188"/>
    </row>
    <row r="229" spans="1:11" ht="15" customHeight="1" x14ac:dyDescent="0.3">
      <c r="A229" s="183" t="s">
        <v>304</v>
      </c>
      <c r="B229" s="183" t="s">
        <v>23</v>
      </c>
      <c r="C229" s="184">
        <v>39667</v>
      </c>
      <c r="D229" s="185">
        <v>23.7</v>
      </c>
      <c r="E229" s="185">
        <v>21.17</v>
      </c>
      <c r="F229" s="188">
        <v>2008</v>
      </c>
      <c r="G229" s="188"/>
      <c r="H229" s="188"/>
      <c r="I229" s="188"/>
      <c r="J229" s="188"/>
      <c r="K229" s="188"/>
    </row>
    <row r="230" spans="1:11" ht="15" customHeight="1" x14ac:dyDescent="0.3">
      <c r="A230" s="183" t="s">
        <v>306</v>
      </c>
      <c r="B230" s="183" t="s">
        <v>23</v>
      </c>
      <c r="C230" s="184">
        <v>39696</v>
      </c>
      <c r="D230" s="185">
        <v>22.91</v>
      </c>
      <c r="E230" s="185">
        <v>21.43</v>
      </c>
      <c r="F230" s="188">
        <v>2008</v>
      </c>
      <c r="G230" s="188"/>
      <c r="H230" s="188"/>
      <c r="I230" s="188"/>
      <c r="J230" s="188"/>
      <c r="K230" s="188"/>
    </row>
    <row r="231" spans="1:11" ht="15" customHeight="1" x14ac:dyDescent="0.3">
      <c r="A231" s="183" t="s">
        <v>308</v>
      </c>
      <c r="B231" s="183" t="s">
        <v>23</v>
      </c>
      <c r="C231" s="184">
        <v>39727</v>
      </c>
      <c r="D231" s="185">
        <v>19.239999999999998</v>
      </c>
      <c r="E231" s="185">
        <v>19.11</v>
      </c>
      <c r="F231" s="188">
        <v>2008</v>
      </c>
      <c r="G231" s="188"/>
      <c r="H231" s="188"/>
      <c r="I231" s="188"/>
      <c r="J231" s="188"/>
      <c r="K231" s="188"/>
    </row>
    <row r="232" spans="1:11" ht="15" customHeight="1" x14ac:dyDescent="0.3">
      <c r="A232" s="183" t="s">
        <v>309</v>
      </c>
      <c r="B232" s="183" t="s">
        <v>23</v>
      </c>
      <c r="C232" s="184">
        <v>39757</v>
      </c>
      <c r="D232" s="185">
        <v>14.78</v>
      </c>
      <c r="E232" s="185">
        <v>14.48</v>
      </c>
      <c r="F232" s="188">
        <v>2008</v>
      </c>
      <c r="G232" s="188"/>
      <c r="H232" s="188"/>
      <c r="I232" s="188"/>
      <c r="J232" s="188"/>
      <c r="K232" s="188"/>
    </row>
    <row r="233" spans="1:11" ht="15" customHeight="1" x14ac:dyDescent="0.3">
      <c r="A233" s="183" t="s">
        <v>310</v>
      </c>
      <c r="B233" s="183" t="s">
        <v>23</v>
      </c>
      <c r="C233" s="184">
        <v>39798</v>
      </c>
      <c r="D233" s="185">
        <v>7.76</v>
      </c>
      <c r="E233" s="185">
        <v>7.77</v>
      </c>
      <c r="F233" s="188">
        <v>2008</v>
      </c>
      <c r="G233" s="188"/>
      <c r="H233" s="188"/>
      <c r="I233" s="188"/>
      <c r="J233" s="188"/>
      <c r="K233" s="188"/>
    </row>
    <row r="234" spans="1:11" ht="15" customHeight="1" x14ac:dyDescent="0.3">
      <c r="A234" s="183" t="s">
        <v>311</v>
      </c>
      <c r="B234" s="183" t="s">
        <v>23</v>
      </c>
      <c r="C234" s="184">
        <v>39829</v>
      </c>
      <c r="D234" s="186"/>
      <c r="E234" s="186"/>
      <c r="F234" s="186">
        <v>2009</v>
      </c>
      <c r="G234" s="186"/>
      <c r="H234" s="186"/>
      <c r="I234" s="186"/>
      <c r="J234" s="186"/>
      <c r="K234" s="186"/>
    </row>
    <row r="235" spans="1:11" ht="15" customHeight="1" x14ac:dyDescent="0.3">
      <c r="A235" s="183" t="s">
        <v>312</v>
      </c>
      <c r="B235" s="183" t="s">
        <v>23</v>
      </c>
      <c r="C235" s="184">
        <v>39846</v>
      </c>
      <c r="D235" s="185">
        <v>1.75</v>
      </c>
      <c r="E235" s="185">
        <v>1.84</v>
      </c>
      <c r="F235" s="188">
        <v>2009</v>
      </c>
      <c r="G235" s="188"/>
      <c r="H235" s="188"/>
      <c r="I235" s="188"/>
      <c r="J235" s="188"/>
      <c r="K235" s="188"/>
    </row>
    <row r="236" spans="1:11" ht="15" customHeight="1" x14ac:dyDescent="0.3">
      <c r="A236" s="183" t="s">
        <v>314</v>
      </c>
      <c r="B236" s="183" t="s">
        <v>23</v>
      </c>
      <c r="C236" s="184">
        <v>39876</v>
      </c>
      <c r="D236" s="185">
        <v>1.57</v>
      </c>
      <c r="E236" s="185">
        <v>1.65</v>
      </c>
      <c r="F236" s="188">
        <v>2009</v>
      </c>
      <c r="G236" s="188"/>
      <c r="H236" s="188"/>
      <c r="I236" s="188"/>
      <c r="J236" s="188"/>
      <c r="K236" s="188"/>
    </row>
    <row r="237" spans="1:11" ht="15" customHeight="1" x14ac:dyDescent="0.3">
      <c r="A237" s="183" t="s">
        <v>316</v>
      </c>
      <c r="B237" s="183" t="s">
        <v>23</v>
      </c>
      <c r="C237" s="184">
        <v>39903</v>
      </c>
      <c r="D237" s="185">
        <v>4.1900000000000004</v>
      </c>
      <c r="E237" s="185">
        <v>3.97</v>
      </c>
      <c r="F237" s="188">
        <v>2009</v>
      </c>
      <c r="G237" s="188"/>
      <c r="H237" s="188"/>
      <c r="I237" s="188"/>
      <c r="J237" s="188"/>
      <c r="K237" s="188"/>
    </row>
    <row r="238" spans="1:11" ht="15" customHeight="1" x14ac:dyDescent="0.3">
      <c r="A238" s="183" t="s">
        <v>317</v>
      </c>
      <c r="B238" s="183" t="s">
        <v>23</v>
      </c>
      <c r="C238" s="184">
        <v>39932</v>
      </c>
      <c r="D238" s="185">
        <v>8.09</v>
      </c>
      <c r="E238" s="185">
        <v>7.59</v>
      </c>
      <c r="F238" s="188">
        <v>2009</v>
      </c>
      <c r="G238" s="188"/>
      <c r="H238" s="188"/>
      <c r="I238" s="188"/>
      <c r="J238" s="188"/>
      <c r="K238" s="188"/>
    </row>
    <row r="239" spans="1:11" ht="15" customHeight="1" x14ac:dyDescent="0.3">
      <c r="A239" s="183" t="s">
        <v>318</v>
      </c>
      <c r="B239" s="183" t="s">
        <v>23</v>
      </c>
      <c r="C239" s="184">
        <v>39968</v>
      </c>
      <c r="D239" s="185">
        <v>15</v>
      </c>
      <c r="E239" s="185">
        <v>12.72</v>
      </c>
      <c r="F239" s="188">
        <v>2009</v>
      </c>
      <c r="G239" s="188"/>
      <c r="H239" s="188"/>
      <c r="I239" s="188"/>
      <c r="J239" s="188"/>
      <c r="K239" s="188"/>
    </row>
    <row r="240" spans="1:11" ht="15" customHeight="1" x14ac:dyDescent="0.3">
      <c r="A240" s="183" t="s">
        <v>320</v>
      </c>
      <c r="B240" s="183" t="s">
        <v>23</v>
      </c>
      <c r="C240" s="184">
        <v>40001</v>
      </c>
      <c r="D240" s="185">
        <v>20.21</v>
      </c>
      <c r="E240" s="185">
        <v>17.22</v>
      </c>
      <c r="F240" s="188">
        <v>2009</v>
      </c>
      <c r="G240" s="188"/>
      <c r="H240" s="188"/>
      <c r="I240" s="188"/>
      <c r="J240" s="188"/>
      <c r="K240" s="188"/>
    </row>
    <row r="241" spans="1:11" ht="15" customHeight="1" x14ac:dyDescent="0.3">
      <c r="A241" s="183" t="s">
        <v>321</v>
      </c>
      <c r="B241" s="183" t="s">
        <v>23</v>
      </c>
      <c r="C241" s="184">
        <v>40014</v>
      </c>
      <c r="D241" s="185">
        <v>20.66</v>
      </c>
      <c r="E241" s="185">
        <v>18.75</v>
      </c>
      <c r="F241" s="188">
        <v>2009</v>
      </c>
      <c r="G241" s="188"/>
      <c r="H241" s="188"/>
      <c r="I241" s="188"/>
      <c r="J241" s="188"/>
      <c r="K241" s="188"/>
    </row>
    <row r="242" spans="1:11" ht="15" customHeight="1" x14ac:dyDescent="0.3">
      <c r="A242" s="183" t="s">
        <v>322</v>
      </c>
      <c r="B242" s="183" t="s">
        <v>23</v>
      </c>
      <c r="C242" s="184">
        <v>40028</v>
      </c>
      <c r="D242" s="185">
        <v>23.1</v>
      </c>
      <c r="E242" s="185">
        <v>19.86</v>
      </c>
      <c r="F242" s="188">
        <v>2009</v>
      </c>
      <c r="G242" s="188"/>
      <c r="H242" s="188"/>
      <c r="I242" s="188"/>
      <c r="J242" s="188"/>
      <c r="K242" s="188"/>
    </row>
    <row r="243" spans="1:11" ht="15" customHeight="1" x14ac:dyDescent="0.3">
      <c r="A243" s="183" t="s">
        <v>323</v>
      </c>
      <c r="B243" s="183" t="s">
        <v>23</v>
      </c>
      <c r="C243" s="184">
        <v>40044</v>
      </c>
      <c r="D243" s="185">
        <v>21.89</v>
      </c>
      <c r="E243" s="185">
        <v>21.35</v>
      </c>
      <c r="F243" s="188">
        <v>2009</v>
      </c>
      <c r="G243" s="188"/>
      <c r="H243" s="188"/>
      <c r="I243" s="188"/>
      <c r="J243" s="188"/>
      <c r="K243" s="188"/>
    </row>
    <row r="244" spans="1:11" ht="15" customHeight="1" x14ac:dyDescent="0.3">
      <c r="A244" s="183" t="s">
        <v>324</v>
      </c>
      <c r="B244" s="183" t="s">
        <v>23</v>
      </c>
      <c r="C244" s="184">
        <v>40064</v>
      </c>
      <c r="D244" s="185">
        <v>22.31</v>
      </c>
      <c r="E244" s="185">
        <v>21.86</v>
      </c>
      <c r="F244" s="188">
        <v>2009</v>
      </c>
      <c r="G244" s="188"/>
      <c r="H244" s="188"/>
      <c r="I244" s="188"/>
      <c r="J244" s="188"/>
      <c r="K244" s="188"/>
    </row>
    <row r="245" spans="1:11" ht="15" customHeight="1" x14ac:dyDescent="0.3">
      <c r="A245" s="183" t="s">
        <v>325</v>
      </c>
      <c r="B245" s="183" t="s">
        <v>23</v>
      </c>
      <c r="C245" s="184">
        <v>40091</v>
      </c>
      <c r="D245" s="185">
        <v>19.23</v>
      </c>
      <c r="E245" s="185">
        <v>19.11</v>
      </c>
      <c r="F245" s="188">
        <v>2009</v>
      </c>
      <c r="G245" s="188"/>
      <c r="H245" s="188"/>
      <c r="I245" s="188"/>
      <c r="J245" s="188"/>
      <c r="K245" s="188"/>
    </row>
    <row r="246" spans="1:11" ht="15" customHeight="1" x14ac:dyDescent="0.3">
      <c r="A246" s="183" t="s">
        <v>326</v>
      </c>
      <c r="B246" s="183" t="s">
        <v>23</v>
      </c>
      <c r="C246" s="184">
        <v>40120</v>
      </c>
      <c r="D246" s="185">
        <v>14.75</v>
      </c>
      <c r="E246" s="185">
        <v>14.6</v>
      </c>
      <c r="F246" s="188">
        <v>2009</v>
      </c>
      <c r="G246" s="188"/>
      <c r="H246" s="188"/>
      <c r="I246" s="188"/>
      <c r="J246" s="188"/>
      <c r="K246" s="188"/>
    </row>
    <row r="247" spans="1:11" ht="15" customHeight="1" x14ac:dyDescent="0.3">
      <c r="A247" s="183" t="s">
        <v>327</v>
      </c>
      <c r="B247" s="183" t="s">
        <v>23</v>
      </c>
      <c r="C247" s="184">
        <v>40148</v>
      </c>
      <c r="D247" s="185">
        <v>11.41</v>
      </c>
      <c r="E247" s="185">
        <v>11.44</v>
      </c>
      <c r="F247" s="188">
        <v>2009</v>
      </c>
      <c r="G247" s="188"/>
      <c r="H247" s="188"/>
      <c r="I247" s="188"/>
      <c r="J247" s="188"/>
      <c r="K247" s="188"/>
    </row>
    <row r="248" spans="1:11" ht="15" customHeight="1" x14ac:dyDescent="0.3">
      <c r="A248" s="183" t="s">
        <v>328</v>
      </c>
      <c r="B248" s="183" t="s">
        <v>23</v>
      </c>
      <c r="C248" s="184">
        <v>40183</v>
      </c>
      <c r="D248" s="185">
        <v>3.65</v>
      </c>
      <c r="E248" s="185">
        <v>3.65</v>
      </c>
      <c r="F248" s="188">
        <v>2010</v>
      </c>
      <c r="G248" s="188"/>
      <c r="H248" s="188"/>
      <c r="I248" s="188"/>
      <c r="J248" s="188"/>
      <c r="K248" s="188"/>
    </row>
    <row r="249" spans="1:11" ht="15" customHeight="1" x14ac:dyDescent="0.3">
      <c r="A249" s="183" t="s">
        <v>329</v>
      </c>
      <c r="B249" s="183" t="s">
        <v>23</v>
      </c>
      <c r="C249" s="184">
        <v>40214</v>
      </c>
      <c r="D249" s="185">
        <v>1.7</v>
      </c>
      <c r="E249" s="185">
        <v>2.0499999999999998</v>
      </c>
      <c r="F249" s="188">
        <v>2010</v>
      </c>
      <c r="G249" s="188"/>
      <c r="H249" s="188"/>
      <c r="I249" s="188"/>
      <c r="J249" s="188"/>
      <c r="K249" s="188"/>
    </row>
    <row r="250" spans="1:11" ht="15" customHeight="1" x14ac:dyDescent="0.3">
      <c r="A250" s="183" t="s">
        <v>330</v>
      </c>
      <c r="B250" s="183" t="s">
        <v>23</v>
      </c>
      <c r="C250" s="184">
        <v>40245</v>
      </c>
      <c r="D250" s="185">
        <v>2.2799999999999998</v>
      </c>
      <c r="E250" s="185">
        <v>2.2400000000000002</v>
      </c>
      <c r="F250" s="188">
        <v>2010</v>
      </c>
      <c r="G250" s="188"/>
      <c r="H250" s="188"/>
      <c r="I250" s="188"/>
      <c r="J250" s="188"/>
      <c r="K250" s="188"/>
    </row>
    <row r="251" spans="1:11" ht="15" customHeight="1" x14ac:dyDescent="0.3">
      <c r="A251" s="183" t="s">
        <v>332</v>
      </c>
      <c r="B251" s="183" t="s">
        <v>23</v>
      </c>
      <c r="C251" s="184">
        <v>40274</v>
      </c>
      <c r="D251" s="185">
        <v>7.48</v>
      </c>
      <c r="E251" s="185">
        <v>4.96</v>
      </c>
      <c r="F251" s="188">
        <v>2010</v>
      </c>
      <c r="G251" s="188"/>
      <c r="H251" s="188"/>
      <c r="I251" s="188"/>
      <c r="J251" s="188"/>
      <c r="K251" s="188"/>
    </row>
    <row r="252" spans="1:11" ht="15" customHeight="1" x14ac:dyDescent="0.3">
      <c r="A252" s="183" t="s">
        <v>333</v>
      </c>
      <c r="B252" s="183" t="s">
        <v>23</v>
      </c>
      <c r="C252" s="184">
        <v>40301</v>
      </c>
      <c r="D252" s="185">
        <v>10.33</v>
      </c>
      <c r="E252" s="185">
        <v>9.17</v>
      </c>
      <c r="F252" s="188">
        <v>2010</v>
      </c>
      <c r="G252" s="188"/>
      <c r="H252" s="188"/>
      <c r="I252" s="188"/>
      <c r="J252" s="188"/>
      <c r="K252" s="188"/>
    </row>
    <row r="253" spans="1:11" ht="15" customHeight="1" x14ac:dyDescent="0.3">
      <c r="A253" s="183" t="s">
        <v>334</v>
      </c>
      <c r="B253" s="183" t="s">
        <v>23</v>
      </c>
      <c r="C253" s="184">
        <v>40332</v>
      </c>
      <c r="D253" s="185">
        <v>18.71</v>
      </c>
      <c r="E253" s="185">
        <v>13.46</v>
      </c>
      <c r="F253" s="188">
        <v>2010</v>
      </c>
      <c r="G253" s="188"/>
      <c r="H253" s="188"/>
      <c r="I253" s="188"/>
      <c r="J253" s="188"/>
      <c r="K253" s="188"/>
    </row>
    <row r="254" spans="1:11" ht="15" customHeight="1" x14ac:dyDescent="0.3">
      <c r="A254" s="183" t="s">
        <v>340</v>
      </c>
      <c r="B254" s="183" t="s">
        <v>23</v>
      </c>
      <c r="C254" s="184">
        <v>40423</v>
      </c>
      <c r="D254" s="185">
        <v>23.89</v>
      </c>
      <c r="E254" s="185">
        <v>22.31</v>
      </c>
      <c r="F254" s="188">
        <v>2010</v>
      </c>
      <c r="G254" s="188"/>
      <c r="H254" s="188"/>
      <c r="I254" s="188"/>
      <c r="J254" s="188"/>
      <c r="K254" s="188"/>
    </row>
    <row r="255" spans="1:11" ht="15" customHeight="1" x14ac:dyDescent="0.3">
      <c r="A255" s="183" t="s">
        <v>341</v>
      </c>
      <c r="B255" s="183" t="s">
        <v>23</v>
      </c>
      <c r="C255" s="184">
        <v>40457</v>
      </c>
      <c r="D255" s="185">
        <v>19.66</v>
      </c>
      <c r="E255" s="185">
        <v>19.68</v>
      </c>
      <c r="F255" s="188">
        <v>2010</v>
      </c>
      <c r="G255" s="188"/>
      <c r="H255" s="188"/>
      <c r="I255" s="188"/>
      <c r="J255" s="188"/>
      <c r="K255" s="188"/>
    </row>
    <row r="256" spans="1:11" ht="15" customHeight="1" x14ac:dyDescent="0.3">
      <c r="A256" s="183" t="s">
        <v>342</v>
      </c>
      <c r="B256" s="183" t="s">
        <v>23</v>
      </c>
      <c r="C256" s="184">
        <v>40485</v>
      </c>
      <c r="D256" s="185">
        <v>14.76</v>
      </c>
      <c r="E256" s="185">
        <v>14.54</v>
      </c>
      <c r="F256" s="188">
        <v>2010</v>
      </c>
      <c r="G256" s="188"/>
      <c r="H256" s="188"/>
      <c r="I256" s="188"/>
      <c r="J256" s="188"/>
      <c r="K256" s="188"/>
    </row>
    <row r="257" spans="1:11" ht="15" customHeight="1" x14ac:dyDescent="0.3">
      <c r="A257" s="183" t="s">
        <v>343</v>
      </c>
      <c r="B257" s="183" t="s">
        <v>23</v>
      </c>
      <c r="C257" s="184">
        <v>40511</v>
      </c>
      <c r="D257" s="185">
        <v>10.6</v>
      </c>
      <c r="E257" s="185">
        <v>10.73</v>
      </c>
      <c r="F257" s="188">
        <v>2010</v>
      </c>
      <c r="G257" s="188"/>
      <c r="H257" s="188"/>
      <c r="I257" s="188"/>
      <c r="J257" s="188"/>
      <c r="K257" s="188"/>
    </row>
    <row r="258" spans="1:11" ht="15" customHeight="1" x14ac:dyDescent="0.3">
      <c r="A258" s="183" t="s">
        <v>344</v>
      </c>
      <c r="B258" s="183" t="s">
        <v>23</v>
      </c>
      <c r="C258" s="184">
        <v>40549</v>
      </c>
      <c r="D258" s="185">
        <v>3.36</v>
      </c>
      <c r="E258" s="185">
        <v>3.36</v>
      </c>
      <c r="F258" s="188">
        <v>2011</v>
      </c>
      <c r="G258" s="188"/>
      <c r="H258" s="188"/>
      <c r="I258" s="188"/>
      <c r="J258" s="188"/>
      <c r="K258" s="188"/>
    </row>
    <row r="259" spans="1:11" ht="15" customHeight="1" x14ac:dyDescent="0.3">
      <c r="A259" s="183" t="s">
        <v>345</v>
      </c>
      <c r="B259" s="183" t="s">
        <v>23</v>
      </c>
      <c r="C259" s="184">
        <v>40574</v>
      </c>
      <c r="D259" s="185">
        <v>1.22</v>
      </c>
      <c r="E259" s="185">
        <v>1.2</v>
      </c>
      <c r="F259" s="188">
        <v>2011</v>
      </c>
      <c r="G259" s="188"/>
      <c r="H259" s="188"/>
      <c r="I259" s="188"/>
      <c r="J259" s="188"/>
      <c r="K259" s="188"/>
    </row>
    <row r="260" spans="1:11" ht="15" customHeight="1" x14ac:dyDescent="0.3">
      <c r="A260" s="183" t="s">
        <v>347</v>
      </c>
      <c r="B260" s="183" t="s">
        <v>23</v>
      </c>
      <c r="C260" s="184">
        <v>40616</v>
      </c>
      <c r="D260" s="185">
        <v>3.18</v>
      </c>
      <c r="E260" s="185">
        <v>2.52</v>
      </c>
      <c r="F260" s="188">
        <v>2011</v>
      </c>
      <c r="G260" s="188"/>
      <c r="H260" s="188"/>
      <c r="I260" s="188"/>
      <c r="J260" s="188"/>
      <c r="K260" s="188"/>
    </row>
    <row r="261" spans="1:11" ht="15" customHeight="1" x14ac:dyDescent="0.3">
      <c r="A261" s="183" t="s">
        <v>348</v>
      </c>
      <c r="B261" s="183" t="s">
        <v>23</v>
      </c>
      <c r="C261" s="184">
        <v>40645</v>
      </c>
      <c r="D261" s="185">
        <v>6.21</v>
      </c>
      <c r="E261" s="185">
        <v>4.8600000000000003</v>
      </c>
      <c r="F261" s="188">
        <v>2011</v>
      </c>
      <c r="G261" s="188"/>
      <c r="H261" s="188"/>
      <c r="I261" s="188"/>
      <c r="J261" s="188"/>
      <c r="K261" s="188"/>
    </row>
    <row r="262" spans="1:11" ht="15" customHeight="1" x14ac:dyDescent="0.3">
      <c r="A262" s="183" t="s">
        <v>349</v>
      </c>
      <c r="B262" s="183" t="s">
        <v>23</v>
      </c>
      <c r="C262" s="184">
        <v>40667</v>
      </c>
      <c r="D262" s="185">
        <v>9.32</v>
      </c>
      <c r="E262" s="185">
        <v>7.69</v>
      </c>
      <c r="F262" s="188">
        <v>2011</v>
      </c>
      <c r="G262" s="188"/>
      <c r="H262" s="188"/>
      <c r="I262" s="188"/>
      <c r="J262" s="188"/>
      <c r="K262" s="188"/>
    </row>
    <row r="263" spans="1:11" ht="15" customHeight="1" x14ac:dyDescent="0.3">
      <c r="A263" s="183" t="s">
        <v>350</v>
      </c>
      <c r="B263" s="183" t="s">
        <v>23</v>
      </c>
      <c r="C263" s="184">
        <v>40694</v>
      </c>
      <c r="D263" s="185">
        <v>16.579999999999998</v>
      </c>
      <c r="E263" s="185">
        <v>11.99</v>
      </c>
      <c r="F263" s="188">
        <v>2011</v>
      </c>
      <c r="G263" s="188"/>
      <c r="H263" s="188"/>
      <c r="I263" s="188"/>
      <c r="J263" s="188"/>
      <c r="K263" s="188"/>
    </row>
    <row r="264" spans="1:11" ht="15" customHeight="1" x14ac:dyDescent="0.3">
      <c r="A264" s="183" t="s">
        <v>352</v>
      </c>
      <c r="B264" s="183" t="s">
        <v>23</v>
      </c>
      <c r="C264" s="184">
        <v>40729</v>
      </c>
      <c r="D264" s="185">
        <v>22.24</v>
      </c>
      <c r="E264" s="185">
        <v>17.899999999999999</v>
      </c>
      <c r="F264" s="188">
        <v>2011</v>
      </c>
      <c r="G264" s="188"/>
      <c r="H264" s="188"/>
      <c r="I264" s="188"/>
      <c r="J264" s="188"/>
      <c r="K264" s="188"/>
    </row>
    <row r="265" spans="1:11" ht="15" customHeight="1" x14ac:dyDescent="0.3">
      <c r="A265" s="183" t="s">
        <v>353</v>
      </c>
      <c r="B265" s="183" t="s">
        <v>23</v>
      </c>
      <c r="C265" s="184">
        <v>40744</v>
      </c>
      <c r="D265" s="185">
        <v>22.02</v>
      </c>
      <c r="E265" s="185">
        <v>20.65</v>
      </c>
      <c r="F265" s="188">
        <v>2011</v>
      </c>
      <c r="G265" s="188"/>
      <c r="H265" s="188"/>
      <c r="I265" s="188"/>
      <c r="J265" s="188"/>
      <c r="K265" s="188"/>
    </row>
    <row r="266" spans="1:11" ht="15" customHeight="1" x14ac:dyDescent="0.3">
      <c r="A266" s="183" t="s">
        <v>354</v>
      </c>
      <c r="B266" s="183" t="s">
        <v>23</v>
      </c>
      <c r="C266" s="184">
        <v>40756</v>
      </c>
      <c r="D266" s="185">
        <v>24.4</v>
      </c>
      <c r="E266" s="185">
        <v>20.69</v>
      </c>
      <c r="F266" s="188">
        <v>2011</v>
      </c>
      <c r="G266" s="188"/>
      <c r="H266" s="188"/>
      <c r="I266" s="188"/>
      <c r="J266" s="188"/>
      <c r="K266" s="188"/>
    </row>
    <row r="267" spans="1:11" ht="15" customHeight="1" x14ac:dyDescent="0.3">
      <c r="A267" s="183" t="s">
        <v>355</v>
      </c>
      <c r="B267" s="183" t="s">
        <v>23</v>
      </c>
      <c r="C267" s="184">
        <v>40772</v>
      </c>
      <c r="D267" s="185">
        <v>23.67</v>
      </c>
      <c r="E267" s="185">
        <v>22.02</v>
      </c>
      <c r="F267" s="188">
        <v>2011</v>
      </c>
      <c r="G267" s="188"/>
      <c r="H267" s="188"/>
      <c r="I267" s="188"/>
      <c r="J267" s="188"/>
      <c r="K267" s="188"/>
    </row>
    <row r="268" spans="1:11" ht="15" customHeight="1" x14ac:dyDescent="0.3">
      <c r="A268" s="183" t="s">
        <v>356</v>
      </c>
      <c r="B268" s="183" t="s">
        <v>23</v>
      </c>
      <c r="C268" s="184">
        <v>40785</v>
      </c>
      <c r="D268" s="185">
        <v>22.39</v>
      </c>
      <c r="E268" s="185">
        <v>22.14</v>
      </c>
      <c r="F268" s="188">
        <v>2011</v>
      </c>
      <c r="G268" s="188"/>
      <c r="H268" s="188"/>
      <c r="I268" s="188"/>
      <c r="J268" s="188"/>
      <c r="K268" s="188"/>
    </row>
    <row r="269" spans="1:11" ht="15" customHeight="1" x14ac:dyDescent="0.3">
      <c r="A269" s="183" t="s">
        <v>357</v>
      </c>
      <c r="B269" s="183" t="s">
        <v>23</v>
      </c>
      <c r="C269" s="184">
        <v>40820</v>
      </c>
      <c r="D269" s="185">
        <v>20.74</v>
      </c>
      <c r="E269" s="185">
        <v>20.78</v>
      </c>
      <c r="F269" s="188">
        <v>2011</v>
      </c>
      <c r="G269" s="188"/>
      <c r="H269" s="188"/>
      <c r="I269" s="188"/>
      <c r="J269" s="188"/>
      <c r="K269" s="188"/>
    </row>
    <row r="270" spans="1:11" ht="15" customHeight="1" x14ac:dyDescent="0.3">
      <c r="A270" s="183" t="s">
        <v>358</v>
      </c>
      <c r="B270" s="183" t="s">
        <v>23</v>
      </c>
      <c r="C270" s="184">
        <v>40855</v>
      </c>
      <c r="D270" s="185">
        <v>13.61</v>
      </c>
      <c r="E270" s="185">
        <v>13.83</v>
      </c>
      <c r="F270" s="188">
        <v>2011</v>
      </c>
      <c r="G270" s="188"/>
      <c r="H270" s="188"/>
      <c r="I270" s="188"/>
      <c r="J270" s="188"/>
      <c r="K270" s="188"/>
    </row>
    <row r="271" spans="1:11" ht="15" customHeight="1" x14ac:dyDescent="0.3">
      <c r="A271" s="183" t="s">
        <v>359</v>
      </c>
      <c r="B271" s="183" t="s">
        <v>23</v>
      </c>
      <c r="C271" s="184">
        <v>40875</v>
      </c>
      <c r="D271" s="185">
        <v>11.93</v>
      </c>
      <c r="E271" s="185">
        <v>11.99</v>
      </c>
      <c r="F271" s="188">
        <v>2011</v>
      </c>
      <c r="G271" s="188"/>
      <c r="H271" s="188"/>
      <c r="I271" s="188"/>
      <c r="J271" s="188"/>
      <c r="K271" s="188"/>
    </row>
    <row r="272" spans="1:11" ht="15" customHeight="1" x14ac:dyDescent="0.3">
      <c r="A272" s="183" t="s">
        <v>360</v>
      </c>
      <c r="B272" s="183" t="s">
        <v>23</v>
      </c>
      <c r="C272" s="184">
        <v>40919</v>
      </c>
      <c r="D272" s="185">
        <v>6.7</v>
      </c>
      <c r="E272" s="185">
        <v>7.37</v>
      </c>
      <c r="F272" s="188">
        <v>2012</v>
      </c>
      <c r="G272" s="188"/>
      <c r="H272" s="188"/>
      <c r="I272" s="188"/>
      <c r="J272" s="188"/>
      <c r="K272" s="188"/>
    </row>
    <row r="273" spans="1:11" ht="15" customHeight="1" x14ac:dyDescent="0.3">
      <c r="A273" s="183" t="s">
        <v>361</v>
      </c>
      <c r="B273" s="183" t="s">
        <v>23</v>
      </c>
      <c r="C273" s="184">
        <v>40940</v>
      </c>
      <c r="D273" s="185">
        <v>4.93</v>
      </c>
      <c r="E273" s="185">
        <v>5.63</v>
      </c>
      <c r="F273" s="188">
        <v>2012</v>
      </c>
      <c r="G273" s="188"/>
      <c r="H273" s="188"/>
      <c r="I273" s="188"/>
      <c r="J273" s="188"/>
      <c r="K273" s="188"/>
    </row>
    <row r="274" spans="1:11" ht="15" customHeight="1" x14ac:dyDescent="0.3">
      <c r="A274" s="183" t="s">
        <v>363</v>
      </c>
      <c r="B274" s="183" t="s">
        <v>23</v>
      </c>
      <c r="C274" s="184">
        <v>40970</v>
      </c>
      <c r="D274" s="185">
        <v>4.74</v>
      </c>
      <c r="E274" s="185">
        <v>5.52</v>
      </c>
      <c r="F274" s="188">
        <v>2012</v>
      </c>
      <c r="G274" s="188"/>
      <c r="H274" s="188"/>
      <c r="I274" s="188"/>
      <c r="J274" s="188"/>
      <c r="K274" s="188"/>
    </row>
    <row r="275" spans="1:11" ht="15" customHeight="1" x14ac:dyDescent="0.3">
      <c r="A275" s="183" t="s">
        <v>365</v>
      </c>
      <c r="B275" s="183" t="s">
        <v>23</v>
      </c>
      <c r="C275" s="184">
        <v>41002</v>
      </c>
      <c r="D275" s="185">
        <v>7.84</v>
      </c>
      <c r="E275" s="186"/>
      <c r="F275" s="186">
        <v>2012</v>
      </c>
      <c r="G275" s="186"/>
      <c r="H275" s="186"/>
      <c r="I275" s="186"/>
      <c r="J275" s="186"/>
      <c r="K275" s="186"/>
    </row>
    <row r="276" spans="1:11" ht="15" customHeight="1" x14ac:dyDescent="0.3">
      <c r="A276" s="183" t="s">
        <v>366</v>
      </c>
      <c r="B276" s="183" t="s">
        <v>23</v>
      </c>
      <c r="C276" s="184">
        <v>41030</v>
      </c>
      <c r="D276" s="185">
        <v>10.52</v>
      </c>
      <c r="E276" s="185">
        <v>10.66</v>
      </c>
      <c r="F276" s="188">
        <v>2012</v>
      </c>
      <c r="G276" s="188"/>
      <c r="H276" s="188"/>
      <c r="I276" s="188"/>
      <c r="J276" s="188"/>
      <c r="K276" s="188"/>
    </row>
    <row r="277" spans="1:11" ht="15" customHeight="1" x14ac:dyDescent="0.3">
      <c r="A277" s="183" t="s">
        <v>367</v>
      </c>
      <c r="B277" s="183" t="s">
        <v>23</v>
      </c>
      <c r="C277" s="184">
        <v>41058</v>
      </c>
      <c r="D277" s="185">
        <v>19.62</v>
      </c>
      <c r="E277" s="185">
        <v>13.01</v>
      </c>
      <c r="F277" s="188">
        <v>2012</v>
      </c>
      <c r="G277" s="188"/>
      <c r="H277" s="188"/>
      <c r="I277" s="188"/>
      <c r="J277" s="188"/>
      <c r="K277" s="188"/>
    </row>
    <row r="278" spans="1:11" ht="15" customHeight="1" x14ac:dyDescent="0.3">
      <c r="A278" s="183" t="s">
        <v>369</v>
      </c>
      <c r="B278" s="183" t="s">
        <v>23</v>
      </c>
      <c r="C278" s="184">
        <v>41086</v>
      </c>
      <c r="D278" s="185">
        <v>19</v>
      </c>
      <c r="E278" s="185">
        <v>18.04</v>
      </c>
      <c r="F278" s="188">
        <v>2012</v>
      </c>
      <c r="G278" s="188"/>
      <c r="H278" s="188"/>
      <c r="I278" s="188"/>
      <c r="J278" s="188"/>
      <c r="K278" s="188"/>
    </row>
    <row r="279" spans="1:11" ht="15" customHeight="1" x14ac:dyDescent="0.3">
      <c r="A279" s="183" t="s">
        <v>370</v>
      </c>
      <c r="B279" s="183" t="s">
        <v>23</v>
      </c>
      <c r="C279" s="184">
        <v>41108</v>
      </c>
      <c r="D279" s="185">
        <v>23.53</v>
      </c>
      <c r="E279" s="185">
        <v>20.96</v>
      </c>
      <c r="F279" s="188">
        <v>2012</v>
      </c>
      <c r="G279" s="188"/>
      <c r="H279" s="188"/>
      <c r="I279" s="188"/>
      <c r="J279" s="188"/>
      <c r="K279" s="188"/>
    </row>
    <row r="280" spans="1:11" ht="15" customHeight="1" x14ac:dyDescent="0.3">
      <c r="A280" s="183" t="s">
        <v>371</v>
      </c>
      <c r="B280" s="183" t="s">
        <v>23</v>
      </c>
      <c r="C280" s="184">
        <v>41120</v>
      </c>
      <c r="D280" s="185">
        <v>23.27</v>
      </c>
      <c r="E280" s="185">
        <v>21.79</v>
      </c>
      <c r="F280" s="188">
        <v>2012</v>
      </c>
      <c r="G280" s="188"/>
      <c r="H280" s="188"/>
      <c r="I280" s="188"/>
      <c r="J280" s="188"/>
      <c r="K280" s="188"/>
    </row>
    <row r="281" spans="1:11" ht="15" customHeight="1" x14ac:dyDescent="0.3">
      <c r="A281" s="183" t="s">
        <v>372</v>
      </c>
      <c r="B281" s="183" t="s">
        <v>23</v>
      </c>
      <c r="C281" s="184">
        <v>41135</v>
      </c>
      <c r="D281" s="185">
        <v>24.91</v>
      </c>
      <c r="E281" s="185">
        <v>22.61</v>
      </c>
      <c r="F281" s="188">
        <v>2012</v>
      </c>
      <c r="G281" s="188"/>
      <c r="H281" s="188"/>
      <c r="I281" s="188"/>
      <c r="J281" s="188"/>
      <c r="K281" s="188"/>
    </row>
    <row r="282" spans="1:11" ht="15" customHeight="1" x14ac:dyDescent="0.3">
      <c r="A282" s="183" t="s">
        <v>373</v>
      </c>
      <c r="B282" s="183" t="s">
        <v>23</v>
      </c>
      <c r="C282" s="184">
        <v>41148</v>
      </c>
      <c r="D282" s="185">
        <v>24.4</v>
      </c>
      <c r="E282" s="185">
        <v>23.38</v>
      </c>
      <c r="F282" s="188">
        <v>2012</v>
      </c>
      <c r="G282" s="188"/>
      <c r="H282" s="188"/>
      <c r="I282" s="188"/>
      <c r="J282" s="188"/>
      <c r="K282" s="188"/>
    </row>
    <row r="283" spans="1:11" ht="15" customHeight="1" x14ac:dyDescent="0.3">
      <c r="A283" s="183" t="s">
        <v>375</v>
      </c>
      <c r="B283" s="183" t="s">
        <v>23</v>
      </c>
      <c r="C283" s="184">
        <v>41191</v>
      </c>
      <c r="D283" s="185">
        <v>20.079999999999998</v>
      </c>
      <c r="E283" s="185">
        <v>19.57</v>
      </c>
      <c r="F283" s="188">
        <v>2012</v>
      </c>
      <c r="G283" s="188"/>
      <c r="H283" s="188"/>
      <c r="I283" s="188"/>
      <c r="J283" s="188"/>
      <c r="K283" s="188"/>
    </row>
    <row r="284" spans="1:11" ht="15" customHeight="1" x14ac:dyDescent="0.3">
      <c r="A284" s="183" t="s">
        <v>376</v>
      </c>
      <c r="B284" s="183" t="s">
        <v>23</v>
      </c>
      <c r="C284" s="184">
        <v>41226</v>
      </c>
      <c r="D284" s="185">
        <v>12.65</v>
      </c>
      <c r="E284" s="185">
        <v>13.19</v>
      </c>
      <c r="F284" s="188">
        <v>2012</v>
      </c>
      <c r="G284" s="188"/>
      <c r="H284" s="188"/>
      <c r="I284" s="188"/>
      <c r="J284" s="188"/>
      <c r="K284" s="188"/>
    </row>
    <row r="285" spans="1:11" ht="15" customHeight="1" x14ac:dyDescent="0.3">
      <c r="A285" s="183" t="s">
        <v>377</v>
      </c>
      <c r="B285" s="183" t="s">
        <v>23</v>
      </c>
      <c r="C285" s="184">
        <v>41246</v>
      </c>
      <c r="D285" s="185">
        <v>9.23</v>
      </c>
      <c r="E285" s="185">
        <v>9.65</v>
      </c>
      <c r="F285" s="188">
        <v>2012</v>
      </c>
      <c r="G285" s="188"/>
      <c r="H285" s="188"/>
      <c r="I285" s="188"/>
      <c r="J285" s="188"/>
      <c r="K285" s="188"/>
    </row>
    <row r="286" spans="1:11" ht="15" customHeight="1" x14ac:dyDescent="0.3">
      <c r="A286" s="183" t="s">
        <v>378</v>
      </c>
      <c r="B286" s="183" t="s">
        <v>23</v>
      </c>
      <c r="C286" s="184">
        <v>41285</v>
      </c>
      <c r="D286" s="185">
        <v>5.16</v>
      </c>
      <c r="E286" s="185">
        <v>5.16</v>
      </c>
      <c r="F286" s="188">
        <v>2013</v>
      </c>
      <c r="G286" s="188"/>
      <c r="H286" s="188"/>
      <c r="I286" s="188"/>
      <c r="J286" s="188"/>
      <c r="K286" s="188"/>
    </row>
    <row r="287" spans="1:11" ht="15" customHeight="1" x14ac:dyDescent="0.3">
      <c r="A287" s="183" t="s">
        <v>379</v>
      </c>
      <c r="B287" s="183" t="s">
        <v>23</v>
      </c>
      <c r="C287" s="184">
        <v>41302</v>
      </c>
      <c r="D287" s="185">
        <v>3.19</v>
      </c>
      <c r="E287" s="185">
        <v>3.25</v>
      </c>
      <c r="F287" s="188">
        <v>2013</v>
      </c>
      <c r="G287" s="188"/>
      <c r="H287" s="188"/>
      <c r="I287" s="188"/>
      <c r="J287" s="188"/>
      <c r="K287" s="188"/>
    </row>
    <row r="288" spans="1:11" ht="15" customHeight="1" x14ac:dyDescent="0.3">
      <c r="A288" s="183" t="s">
        <v>381</v>
      </c>
      <c r="B288" s="183" t="s">
        <v>23</v>
      </c>
      <c r="C288" s="184">
        <v>41338</v>
      </c>
      <c r="D288" s="185">
        <v>2.4700000000000002</v>
      </c>
      <c r="E288" s="185">
        <v>2.35</v>
      </c>
      <c r="F288" s="188">
        <v>2013</v>
      </c>
      <c r="G288" s="188"/>
      <c r="H288" s="188"/>
      <c r="I288" s="188"/>
      <c r="J288" s="188"/>
      <c r="K288" s="188"/>
    </row>
    <row r="289" spans="1:11" ht="15" customHeight="1" x14ac:dyDescent="0.3">
      <c r="A289" s="183" t="s">
        <v>382</v>
      </c>
      <c r="B289" s="183" t="s">
        <v>23</v>
      </c>
      <c r="C289" s="184">
        <v>41365</v>
      </c>
      <c r="D289" s="185">
        <v>4.25</v>
      </c>
      <c r="E289" s="185">
        <v>4.0199999999999996</v>
      </c>
      <c r="F289" s="188">
        <v>2013</v>
      </c>
      <c r="G289" s="188"/>
      <c r="H289" s="188"/>
      <c r="I289" s="188"/>
      <c r="J289" s="188"/>
      <c r="K289" s="188"/>
    </row>
    <row r="290" spans="1:11" ht="15" customHeight="1" x14ac:dyDescent="0.3">
      <c r="A290" s="183" t="s">
        <v>383</v>
      </c>
      <c r="B290" s="183" t="s">
        <v>23</v>
      </c>
      <c r="C290" s="184">
        <v>41393</v>
      </c>
      <c r="D290" s="185">
        <v>8</v>
      </c>
      <c r="E290" s="185">
        <v>7.93</v>
      </c>
      <c r="F290" s="188">
        <v>2013</v>
      </c>
      <c r="G290" s="188"/>
      <c r="H290" s="188"/>
      <c r="I290" s="188"/>
      <c r="J290" s="188"/>
      <c r="K290" s="188"/>
    </row>
    <row r="291" spans="1:11" ht="15" customHeight="1" x14ac:dyDescent="0.3">
      <c r="A291" s="183" t="s">
        <v>384</v>
      </c>
      <c r="B291" s="183" t="s">
        <v>23</v>
      </c>
      <c r="C291" s="184">
        <v>41428</v>
      </c>
      <c r="D291" s="185">
        <v>15.52</v>
      </c>
      <c r="E291" s="185">
        <v>13.79</v>
      </c>
      <c r="F291" s="188">
        <v>2013</v>
      </c>
      <c r="G291" s="188"/>
      <c r="H291" s="188"/>
      <c r="I291" s="188"/>
      <c r="J291" s="188"/>
      <c r="K291" s="188"/>
    </row>
    <row r="292" spans="1:11" ht="15" customHeight="1" x14ac:dyDescent="0.3">
      <c r="A292" s="183" t="s">
        <v>386</v>
      </c>
      <c r="B292" s="183" t="s">
        <v>23</v>
      </c>
      <c r="C292" s="184">
        <v>41456</v>
      </c>
      <c r="D292" s="185">
        <v>21.43</v>
      </c>
      <c r="E292" s="185">
        <v>18.23</v>
      </c>
      <c r="F292" s="188">
        <v>2013</v>
      </c>
      <c r="G292" s="188"/>
      <c r="H292" s="188"/>
      <c r="I292" s="188"/>
      <c r="J292" s="188"/>
      <c r="K292" s="188"/>
    </row>
    <row r="293" spans="1:11" ht="15" customHeight="1" x14ac:dyDescent="0.3">
      <c r="A293" s="183" t="s">
        <v>387</v>
      </c>
      <c r="B293" s="183" t="s">
        <v>23</v>
      </c>
      <c r="C293" s="184">
        <v>41472</v>
      </c>
      <c r="D293" s="185">
        <v>23.33</v>
      </c>
      <c r="E293" s="185">
        <v>18.760000000000002</v>
      </c>
      <c r="F293" s="188">
        <v>2013</v>
      </c>
      <c r="G293" s="188"/>
      <c r="H293" s="188"/>
      <c r="I293" s="188"/>
      <c r="J293" s="188"/>
      <c r="K293" s="188"/>
    </row>
    <row r="294" spans="1:11" ht="15" customHeight="1" x14ac:dyDescent="0.3">
      <c r="A294" s="183" t="s">
        <v>388</v>
      </c>
      <c r="B294" s="183" t="s">
        <v>23</v>
      </c>
      <c r="C294" s="184">
        <v>41484</v>
      </c>
      <c r="D294" s="185">
        <v>23.11</v>
      </c>
      <c r="E294" s="185">
        <v>20.49</v>
      </c>
      <c r="F294" s="188">
        <v>2013</v>
      </c>
      <c r="G294" s="188"/>
      <c r="H294" s="188"/>
      <c r="I294" s="188"/>
      <c r="J294" s="188"/>
      <c r="K294" s="188"/>
    </row>
    <row r="295" spans="1:11" ht="15" customHeight="1" x14ac:dyDescent="0.3">
      <c r="A295" s="183" t="s">
        <v>389</v>
      </c>
      <c r="B295" s="183" t="s">
        <v>23</v>
      </c>
      <c r="C295" s="184">
        <v>41500</v>
      </c>
      <c r="D295" s="185">
        <v>22.55</v>
      </c>
      <c r="E295" s="185">
        <v>21.54</v>
      </c>
      <c r="F295" s="188">
        <v>2013</v>
      </c>
      <c r="G295" s="188"/>
      <c r="H295" s="188"/>
      <c r="I295" s="188"/>
      <c r="J295" s="188"/>
      <c r="K295" s="188"/>
    </row>
    <row r="296" spans="1:11" ht="15" customHeight="1" x14ac:dyDescent="0.3">
      <c r="A296" s="183" t="s">
        <v>390</v>
      </c>
      <c r="B296" s="183" t="s">
        <v>23</v>
      </c>
      <c r="C296" s="184">
        <v>41513</v>
      </c>
      <c r="D296" s="185">
        <v>22.33</v>
      </c>
      <c r="E296" s="185">
        <v>21.93</v>
      </c>
      <c r="F296" s="188">
        <v>2013</v>
      </c>
      <c r="G296" s="188"/>
      <c r="H296" s="188"/>
      <c r="I296" s="188"/>
      <c r="J296" s="188"/>
      <c r="K296" s="188"/>
    </row>
    <row r="297" spans="1:11" ht="15" customHeight="1" x14ac:dyDescent="0.3">
      <c r="A297" s="183" t="s">
        <v>392</v>
      </c>
      <c r="B297" s="183" t="s">
        <v>23</v>
      </c>
      <c r="C297" s="184">
        <v>41548</v>
      </c>
      <c r="D297" s="185">
        <v>20.190000000000001</v>
      </c>
      <c r="E297" s="185">
        <v>19.690000000000001</v>
      </c>
      <c r="F297" s="188">
        <v>2013</v>
      </c>
      <c r="G297" s="188"/>
      <c r="H297" s="188"/>
      <c r="I297" s="188"/>
      <c r="J297" s="188"/>
      <c r="K297" s="188"/>
    </row>
    <row r="298" spans="1:11" ht="15" customHeight="1" x14ac:dyDescent="0.3">
      <c r="A298" s="183" t="s">
        <v>393</v>
      </c>
      <c r="B298" s="183" t="s">
        <v>23</v>
      </c>
      <c r="C298" s="184">
        <v>41582</v>
      </c>
      <c r="D298" s="185">
        <v>14.97</v>
      </c>
      <c r="E298" s="185">
        <v>14.97</v>
      </c>
      <c r="F298" s="188">
        <v>2013</v>
      </c>
      <c r="G298" s="188"/>
      <c r="H298" s="188"/>
      <c r="I298" s="188"/>
      <c r="J298" s="188"/>
      <c r="K298" s="188"/>
    </row>
    <row r="299" spans="1:11" ht="15" customHeight="1" x14ac:dyDescent="0.3">
      <c r="A299" s="183" t="s">
        <v>394</v>
      </c>
      <c r="B299" s="183" t="s">
        <v>23</v>
      </c>
      <c r="C299" s="184">
        <v>41610</v>
      </c>
      <c r="D299" s="185">
        <v>9.14</v>
      </c>
      <c r="E299" s="185">
        <v>8.7899999999999991</v>
      </c>
      <c r="F299" s="188">
        <v>2013</v>
      </c>
      <c r="G299" s="188"/>
      <c r="H299" s="188"/>
      <c r="I299" s="188"/>
      <c r="J299" s="188"/>
      <c r="K299" s="188"/>
    </row>
    <row r="300" spans="1:11" ht="15" customHeight="1" x14ac:dyDescent="0.3">
      <c r="A300" s="183" t="s">
        <v>395</v>
      </c>
      <c r="B300" s="183" t="s">
        <v>23</v>
      </c>
      <c r="C300" s="184">
        <v>41652</v>
      </c>
      <c r="D300" s="185">
        <v>3.26</v>
      </c>
      <c r="E300" s="185">
        <v>3.25</v>
      </c>
      <c r="F300" s="188">
        <v>2014</v>
      </c>
      <c r="G300" s="188"/>
      <c r="H300" s="188"/>
      <c r="I300" s="188"/>
      <c r="J300" s="188"/>
      <c r="K300" s="188"/>
    </row>
    <row r="301" spans="1:11" ht="15" customHeight="1" x14ac:dyDescent="0.3">
      <c r="A301" s="183" t="s">
        <v>396</v>
      </c>
      <c r="B301" s="183" t="s">
        <v>23</v>
      </c>
      <c r="C301" s="184">
        <v>41673</v>
      </c>
      <c r="D301" s="185">
        <v>1.18</v>
      </c>
      <c r="E301" s="185">
        <v>1.28</v>
      </c>
      <c r="F301" s="188">
        <v>2014</v>
      </c>
      <c r="G301" s="188"/>
      <c r="H301" s="188"/>
      <c r="I301" s="188"/>
      <c r="J301" s="188"/>
      <c r="K301" s="188"/>
    </row>
    <row r="302" spans="1:11" ht="15" customHeight="1" x14ac:dyDescent="0.3">
      <c r="A302" s="183" t="s">
        <v>398</v>
      </c>
      <c r="B302" s="183" t="s">
        <v>23</v>
      </c>
      <c r="C302" s="184">
        <v>41705</v>
      </c>
      <c r="D302" s="185">
        <v>0.27</v>
      </c>
      <c r="E302" s="185">
        <v>0.14000000000000001</v>
      </c>
      <c r="F302" s="188">
        <v>2014</v>
      </c>
      <c r="G302" s="188"/>
      <c r="H302" s="188"/>
      <c r="I302" s="188"/>
      <c r="J302" s="188"/>
      <c r="K302" s="188"/>
    </row>
    <row r="303" spans="1:11" ht="15" customHeight="1" x14ac:dyDescent="0.3">
      <c r="A303" s="183" t="s">
        <v>399</v>
      </c>
      <c r="B303" s="183" t="s">
        <v>23</v>
      </c>
      <c r="C303" s="184">
        <v>41736</v>
      </c>
      <c r="D303" s="185">
        <v>3.78</v>
      </c>
      <c r="E303" s="185">
        <v>2.71</v>
      </c>
      <c r="F303" s="188">
        <v>2014</v>
      </c>
      <c r="G303" s="188"/>
      <c r="H303" s="188"/>
      <c r="I303" s="188"/>
      <c r="J303" s="188"/>
      <c r="K303" s="188"/>
    </row>
    <row r="304" spans="1:11" ht="15" customHeight="1" x14ac:dyDescent="0.3">
      <c r="A304" s="183" t="s">
        <v>400</v>
      </c>
      <c r="B304" s="183" t="s">
        <v>23</v>
      </c>
      <c r="C304" s="184">
        <v>41765</v>
      </c>
      <c r="D304" s="185">
        <v>8.91</v>
      </c>
      <c r="E304" s="185">
        <v>7.9</v>
      </c>
      <c r="F304" s="188">
        <v>2014</v>
      </c>
      <c r="G304" s="188"/>
      <c r="H304" s="188"/>
      <c r="I304" s="188"/>
      <c r="J304" s="188"/>
      <c r="K304" s="188"/>
    </row>
    <row r="305" spans="1:11" ht="15" customHeight="1" x14ac:dyDescent="0.3">
      <c r="A305" s="183" t="s">
        <v>401</v>
      </c>
      <c r="B305" s="183" t="s">
        <v>23</v>
      </c>
      <c r="C305" s="184">
        <v>41792</v>
      </c>
      <c r="D305" s="185">
        <v>15.12</v>
      </c>
      <c r="E305" s="185">
        <v>12.08</v>
      </c>
      <c r="F305" s="188">
        <v>2014</v>
      </c>
      <c r="G305" s="188"/>
      <c r="H305" s="188"/>
      <c r="I305" s="188"/>
      <c r="J305" s="188"/>
      <c r="K305" s="188"/>
    </row>
    <row r="306" spans="1:11" ht="15" customHeight="1" x14ac:dyDescent="0.3">
      <c r="A306" s="183" t="s">
        <v>403</v>
      </c>
      <c r="B306" s="183" t="s">
        <v>23</v>
      </c>
      <c r="C306" s="184">
        <v>41820</v>
      </c>
      <c r="D306" s="185">
        <v>21.16</v>
      </c>
      <c r="E306" s="185">
        <v>16.8</v>
      </c>
      <c r="F306" s="188">
        <v>2014</v>
      </c>
      <c r="G306" s="188"/>
      <c r="H306" s="188"/>
      <c r="I306" s="188"/>
      <c r="J306" s="188"/>
      <c r="K306" s="188"/>
    </row>
    <row r="307" spans="1:11" ht="15" customHeight="1" x14ac:dyDescent="0.3">
      <c r="A307" s="183" t="s">
        <v>405</v>
      </c>
      <c r="B307" s="183" t="s">
        <v>23</v>
      </c>
      <c r="C307" s="184">
        <v>41855</v>
      </c>
      <c r="D307" s="185">
        <v>22.3</v>
      </c>
      <c r="E307" s="185">
        <v>20.84</v>
      </c>
      <c r="F307" s="188">
        <v>2014</v>
      </c>
      <c r="G307" s="188"/>
      <c r="H307" s="188"/>
      <c r="I307" s="188"/>
      <c r="J307" s="188"/>
      <c r="K307" s="188"/>
    </row>
    <row r="308" spans="1:11" ht="15" customHeight="1" x14ac:dyDescent="0.3">
      <c r="A308" s="183" t="s">
        <v>406</v>
      </c>
      <c r="B308" s="183" t="s">
        <v>23</v>
      </c>
      <c r="C308" s="184">
        <v>41871</v>
      </c>
      <c r="D308" s="185">
        <v>22.77</v>
      </c>
      <c r="E308" s="185">
        <v>21.91</v>
      </c>
      <c r="F308" s="188">
        <v>2014</v>
      </c>
      <c r="G308" s="188"/>
      <c r="H308" s="188"/>
      <c r="I308" s="188"/>
      <c r="J308" s="188"/>
      <c r="K308" s="188"/>
    </row>
    <row r="309" spans="1:11" ht="15" customHeight="1" x14ac:dyDescent="0.3">
      <c r="A309" s="183" t="s">
        <v>407</v>
      </c>
      <c r="B309" s="183" t="s">
        <v>23</v>
      </c>
      <c r="C309" s="184">
        <v>41886</v>
      </c>
      <c r="D309" s="185">
        <v>23.55</v>
      </c>
      <c r="E309" s="185">
        <v>21.52</v>
      </c>
      <c r="F309" s="188">
        <v>2014</v>
      </c>
      <c r="G309" s="188"/>
      <c r="H309" s="188"/>
      <c r="I309" s="188"/>
      <c r="J309" s="188"/>
      <c r="K309" s="188"/>
    </row>
    <row r="310" spans="1:11" ht="15" customHeight="1" x14ac:dyDescent="0.3">
      <c r="A310" s="183" t="s">
        <v>409</v>
      </c>
      <c r="B310" s="183" t="s">
        <v>23</v>
      </c>
      <c r="C310" s="184">
        <v>41912</v>
      </c>
      <c r="D310" s="185">
        <v>20.51</v>
      </c>
      <c r="E310" s="185">
        <v>20.190000000000001</v>
      </c>
      <c r="F310" s="188">
        <v>2014</v>
      </c>
      <c r="G310" s="188"/>
      <c r="H310" s="188"/>
      <c r="I310" s="188"/>
      <c r="J310" s="188"/>
      <c r="K310" s="188"/>
    </row>
    <row r="311" spans="1:11" ht="15" customHeight="1" x14ac:dyDescent="0.3">
      <c r="A311" s="183" t="s">
        <v>410</v>
      </c>
      <c r="B311" s="183" t="s">
        <v>23</v>
      </c>
      <c r="C311" s="184">
        <v>41949</v>
      </c>
      <c r="D311" s="185">
        <v>14.62</v>
      </c>
      <c r="E311" s="185">
        <v>14.67</v>
      </c>
      <c r="F311" s="188">
        <v>2014</v>
      </c>
      <c r="G311" s="188"/>
      <c r="H311" s="188"/>
      <c r="I311" s="188"/>
      <c r="J311" s="188"/>
      <c r="K311" s="188"/>
    </row>
    <row r="312" spans="1:11" ht="15" customHeight="1" x14ac:dyDescent="0.3">
      <c r="A312" s="183" t="s">
        <v>411</v>
      </c>
      <c r="B312" s="183" t="s">
        <v>23</v>
      </c>
      <c r="C312" s="184">
        <v>41988</v>
      </c>
      <c r="D312" s="185">
        <v>7.57</v>
      </c>
      <c r="E312" s="185">
        <v>7.54</v>
      </c>
      <c r="F312" s="188">
        <v>2014</v>
      </c>
      <c r="G312" s="188"/>
      <c r="H312" s="188"/>
      <c r="I312" s="188"/>
      <c r="J312" s="188"/>
      <c r="K312" s="188"/>
    </row>
    <row r="313" spans="1:11" ht="15" customHeight="1" x14ac:dyDescent="0.3">
      <c r="A313" s="183" t="s">
        <v>412</v>
      </c>
      <c r="B313" s="183" t="s">
        <v>23</v>
      </c>
      <c r="C313" s="184">
        <v>42016</v>
      </c>
      <c r="D313" s="185">
        <v>3.67</v>
      </c>
      <c r="E313" s="185">
        <v>3.9</v>
      </c>
      <c r="F313" s="188">
        <v>2015</v>
      </c>
      <c r="G313" s="188"/>
      <c r="H313" s="188"/>
      <c r="I313" s="188"/>
      <c r="J313" s="188"/>
      <c r="K313" s="188"/>
    </row>
    <row r="314" spans="1:11" ht="15" customHeight="1" x14ac:dyDescent="0.3">
      <c r="A314" s="183" t="s">
        <v>413</v>
      </c>
      <c r="B314" s="183" t="s">
        <v>23</v>
      </c>
      <c r="C314" s="184">
        <v>42039</v>
      </c>
      <c r="D314" s="185">
        <v>1.04</v>
      </c>
      <c r="E314" s="185">
        <v>1.01</v>
      </c>
      <c r="F314" s="188">
        <v>2015</v>
      </c>
      <c r="G314" s="188"/>
      <c r="H314" s="188"/>
      <c r="I314" s="188"/>
      <c r="J314" s="188"/>
      <c r="K314" s="188"/>
    </row>
    <row r="315" spans="1:11" ht="15" customHeight="1" x14ac:dyDescent="0.3">
      <c r="A315" s="183" t="s">
        <v>414</v>
      </c>
      <c r="B315" s="183" t="s">
        <v>23</v>
      </c>
      <c r="C315" s="184">
        <v>42074</v>
      </c>
      <c r="D315" s="185">
        <v>-0.52</v>
      </c>
      <c r="E315" s="185">
        <v>-0.4</v>
      </c>
      <c r="F315" s="188">
        <v>2015</v>
      </c>
      <c r="G315" s="188"/>
      <c r="H315" s="188"/>
      <c r="I315" s="188"/>
      <c r="J315" s="188"/>
      <c r="K315" s="188"/>
    </row>
    <row r="316" spans="1:11" ht="15" customHeight="1" x14ac:dyDescent="0.3">
      <c r="A316" s="183" t="s">
        <v>416</v>
      </c>
      <c r="B316" s="183" t="s">
        <v>23</v>
      </c>
      <c r="C316" s="184">
        <v>42096</v>
      </c>
      <c r="D316" s="185">
        <v>1.53</v>
      </c>
      <c r="E316" s="185">
        <v>1.42</v>
      </c>
      <c r="F316" s="188">
        <v>2015</v>
      </c>
      <c r="G316" s="188"/>
      <c r="H316" s="188"/>
      <c r="I316" s="188"/>
      <c r="J316" s="188"/>
      <c r="K316" s="188"/>
    </row>
    <row r="317" spans="1:11" ht="15" customHeight="1" x14ac:dyDescent="0.3">
      <c r="A317" s="183" t="s">
        <v>417</v>
      </c>
      <c r="B317" s="183" t="s">
        <v>23</v>
      </c>
      <c r="C317" s="184">
        <v>42124</v>
      </c>
      <c r="D317" s="185">
        <v>6.38</v>
      </c>
      <c r="E317" s="185">
        <v>6.07</v>
      </c>
      <c r="F317" s="188">
        <v>2015</v>
      </c>
      <c r="G317" s="188"/>
      <c r="H317" s="188"/>
      <c r="I317" s="188"/>
      <c r="J317" s="188"/>
      <c r="K317" s="188"/>
    </row>
    <row r="318" spans="1:11" ht="15" customHeight="1" x14ac:dyDescent="0.3">
      <c r="A318" s="183" t="s">
        <v>418</v>
      </c>
      <c r="B318" s="183" t="s">
        <v>23</v>
      </c>
      <c r="C318" s="184">
        <v>42152</v>
      </c>
      <c r="D318" s="185">
        <v>14.42</v>
      </c>
      <c r="E318" s="185">
        <v>10.78</v>
      </c>
      <c r="F318" s="188">
        <v>2015</v>
      </c>
      <c r="G318" s="188"/>
      <c r="H318" s="188"/>
      <c r="I318" s="188"/>
      <c r="J318" s="188"/>
      <c r="K318" s="188"/>
    </row>
    <row r="319" spans="1:11" ht="15" customHeight="1" x14ac:dyDescent="0.3">
      <c r="A319" s="183" t="s">
        <v>420</v>
      </c>
      <c r="B319" s="183" t="s">
        <v>23</v>
      </c>
      <c r="C319" s="184">
        <v>42191</v>
      </c>
      <c r="D319" s="185">
        <v>20.98</v>
      </c>
      <c r="E319" s="185">
        <v>17.059999999999999</v>
      </c>
      <c r="F319" s="188">
        <v>2015</v>
      </c>
      <c r="G319" s="188"/>
      <c r="H319" s="188"/>
      <c r="I319" s="188"/>
      <c r="J319" s="188"/>
      <c r="K319" s="188"/>
    </row>
    <row r="320" spans="1:11" ht="15" customHeight="1" x14ac:dyDescent="0.3">
      <c r="A320" s="183" t="s">
        <v>421</v>
      </c>
      <c r="B320" s="183" t="s">
        <v>23</v>
      </c>
      <c r="C320" s="184">
        <v>42208</v>
      </c>
      <c r="D320" s="185">
        <v>21.8</v>
      </c>
      <c r="E320" s="185">
        <v>20.14</v>
      </c>
      <c r="F320" s="188">
        <v>2015</v>
      </c>
      <c r="G320" s="188"/>
      <c r="H320" s="188"/>
      <c r="I320" s="188"/>
      <c r="J320" s="188"/>
      <c r="K320" s="188"/>
    </row>
    <row r="321" spans="1:11" ht="15" customHeight="1" x14ac:dyDescent="0.3">
      <c r="A321" s="183" t="s">
        <v>422</v>
      </c>
      <c r="B321" s="183" t="s">
        <v>23</v>
      </c>
      <c r="C321" s="184">
        <v>42222</v>
      </c>
      <c r="D321" s="185">
        <v>23.75</v>
      </c>
      <c r="E321" s="185">
        <v>22.12</v>
      </c>
      <c r="F321" s="188">
        <v>2015</v>
      </c>
      <c r="G321" s="188"/>
      <c r="H321" s="188"/>
      <c r="I321" s="188"/>
      <c r="J321" s="188"/>
      <c r="K321" s="188"/>
    </row>
    <row r="322" spans="1:11" ht="15" customHeight="1" x14ac:dyDescent="0.3">
      <c r="A322" s="183" t="s">
        <v>423</v>
      </c>
      <c r="B322" s="183" t="s">
        <v>23</v>
      </c>
      <c r="C322" s="184">
        <v>42235</v>
      </c>
      <c r="D322" s="185">
        <v>25.84</v>
      </c>
      <c r="E322" s="185">
        <v>22.56</v>
      </c>
      <c r="F322" s="188">
        <v>2015</v>
      </c>
      <c r="G322" s="188"/>
      <c r="H322" s="188"/>
      <c r="I322" s="188"/>
      <c r="J322" s="188"/>
      <c r="K322" s="188"/>
    </row>
    <row r="323" spans="1:11" ht="15" customHeight="1" x14ac:dyDescent="0.3">
      <c r="A323" s="183" t="s">
        <v>424</v>
      </c>
      <c r="B323" s="183" t="s">
        <v>23</v>
      </c>
      <c r="C323" s="184">
        <v>42249</v>
      </c>
      <c r="D323" s="185">
        <v>25.67</v>
      </c>
      <c r="E323" s="185">
        <v>23.53</v>
      </c>
      <c r="F323" s="188">
        <v>2015</v>
      </c>
      <c r="G323" s="188"/>
      <c r="H323" s="188"/>
      <c r="I323" s="188"/>
      <c r="J323" s="188"/>
      <c r="K323" s="188"/>
    </row>
    <row r="324" spans="1:11" ht="15" customHeight="1" x14ac:dyDescent="0.3">
      <c r="A324" s="183" t="s">
        <v>426</v>
      </c>
      <c r="B324" s="183" t="s">
        <v>23</v>
      </c>
      <c r="C324" s="184">
        <v>42290</v>
      </c>
      <c r="D324" s="185">
        <v>19.059999999999999</v>
      </c>
      <c r="E324" s="185">
        <v>19.21</v>
      </c>
      <c r="F324" s="188">
        <v>2015</v>
      </c>
      <c r="G324" s="188"/>
      <c r="H324" s="188"/>
      <c r="I324" s="188"/>
      <c r="J324" s="188"/>
      <c r="K324" s="188"/>
    </row>
    <row r="325" spans="1:11" ht="15" customHeight="1" x14ac:dyDescent="0.3">
      <c r="A325" s="183" t="s">
        <v>427</v>
      </c>
      <c r="B325" s="183" t="s">
        <v>23</v>
      </c>
      <c r="C325" s="184">
        <v>42314</v>
      </c>
      <c r="D325" s="185">
        <v>15.94</v>
      </c>
      <c r="E325" s="185">
        <v>15.72</v>
      </c>
      <c r="F325" s="188">
        <v>2015</v>
      </c>
      <c r="G325" s="188"/>
      <c r="H325" s="188"/>
      <c r="I325" s="188"/>
      <c r="J325" s="188"/>
      <c r="K325" s="188"/>
    </row>
    <row r="326" spans="1:11" ht="15" customHeight="1" x14ac:dyDescent="0.3">
      <c r="A326" s="183" t="s">
        <v>428</v>
      </c>
      <c r="B326" s="183" t="s">
        <v>23</v>
      </c>
      <c r="C326" s="184">
        <v>42354</v>
      </c>
      <c r="D326" s="185">
        <v>11.11</v>
      </c>
      <c r="E326" s="185">
        <v>11.12</v>
      </c>
      <c r="F326" s="188">
        <v>2015</v>
      </c>
      <c r="G326" s="188"/>
      <c r="H326" s="188"/>
      <c r="I326" s="188"/>
      <c r="J326" s="188"/>
      <c r="K326" s="188"/>
    </row>
    <row r="327" spans="1:11" ht="15" customHeight="1" x14ac:dyDescent="0.3">
      <c r="A327" s="183" t="s">
        <v>429</v>
      </c>
      <c r="B327" s="183" t="s">
        <v>23</v>
      </c>
      <c r="C327" s="184">
        <v>42376</v>
      </c>
      <c r="D327" s="185">
        <v>8.24</v>
      </c>
      <c r="E327" s="185">
        <v>8.1300000000000008</v>
      </c>
      <c r="F327" s="188">
        <v>2016</v>
      </c>
      <c r="G327" s="188"/>
      <c r="H327" s="188"/>
      <c r="I327" s="188"/>
      <c r="J327" s="188"/>
      <c r="K327" s="188"/>
    </row>
    <row r="328" spans="1:11" ht="15" customHeight="1" x14ac:dyDescent="0.3">
      <c r="A328" s="183" t="s">
        <v>430</v>
      </c>
      <c r="B328" s="183" t="s">
        <v>23</v>
      </c>
      <c r="C328" s="184">
        <v>42404</v>
      </c>
      <c r="D328" s="185">
        <v>4.49</v>
      </c>
      <c r="E328" s="185">
        <v>4.59</v>
      </c>
      <c r="F328" s="188">
        <v>2016</v>
      </c>
      <c r="G328" s="188"/>
      <c r="H328" s="188"/>
      <c r="I328" s="188"/>
      <c r="J328" s="188"/>
      <c r="K328" s="188"/>
    </row>
    <row r="329" spans="1:11" ht="15" customHeight="1" x14ac:dyDescent="0.3">
      <c r="A329" s="183" t="s">
        <v>432</v>
      </c>
      <c r="B329" s="183" t="s">
        <v>23</v>
      </c>
      <c r="C329" s="184">
        <v>42439</v>
      </c>
      <c r="D329" s="185">
        <v>4</v>
      </c>
      <c r="E329" s="185">
        <v>3.95</v>
      </c>
      <c r="F329" s="188">
        <v>2016</v>
      </c>
      <c r="G329" s="188"/>
      <c r="H329" s="188"/>
      <c r="I329" s="188"/>
      <c r="J329" s="188"/>
      <c r="K329" s="188"/>
    </row>
    <row r="330" spans="1:11" ht="15" customHeight="1" x14ac:dyDescent="0.3">
      <c r="A330" s="183" t="s">
        <v>434</v>
      </c>
      <c r="B330" s="183" t="s">
        <v>23</v>
      </c>
      <c r="C330" s="184">
        <v>42473</v>
      </c>
      <c r="D330" s="185">
        <v>6.46</v>
      </c>
      <c r="E330" s="185">
        <v>6.43</v>
      </c>
      <c r="F330" s="188">
        <v>2016</v>
      </c>
      <c r="G330" s="188"/>
      <c r="H330" s="188"/>
      <c r="I330" s="188"/>
      <c r="J330" s="188"/>
      <c r="K330" s="188"/>
    </row>
    <row r="331" spans="1:11" ht="15" customHeight="1" x14ac:dyDescent="0.3">
      <c r="A331" s="183" t="s">
        <v>435</v>
      </c>
      <c r="B331" s="183" t="s">
        <v>23</v>
      </c>
      <c r="C331" s="184">
        <v>42501</v>
      </c>
      <c r="D331" s="185">
        <v>10.35</v>
      </c>
      <c r="E331" s="185">
        <v>9.5399999999999991</v>
      </c>
      <c r="F331" s="188">
        <v>2016</v>
      </c>
      <c r="G331" s="188"/>
      <c r="H331" s="188"/>
      <c r="I331" s="188"/>
      <c r="J331" s="188"/>
      <c r="K331" s="188"/>
    </row>
    <row r="332" spans="1:11" ht="15" customHeight="1" x14ac:dyDescent="0.3">
      <c r="A332" s="183" t="s">
        <v>436</v>
      </c>
      <c r="B332" s="183" t="s">
        <v>23</v>
      </c>
      <c r="C332" s="184">
        <v>42535</v>
      </c>
      <c r="D332" s="185">
        <v>16.84</v>
      </c>
      <c r="E332" s="185">
        <v>15.71</v>
      </c>
      <c r="F332" s="188">
        <v>2016</v>
      </c>
      <c r="G332" s="188"/>
      <c r="H332" s="188"/>
      <c r="I332" s="188"/>
      <c r="J332" s="188"/>
      <c r="K332" s="188"/>
    </row>
    <row r="333" spans="1:11" ht="15" customHeight="1" x14ac:dyDescent="0.3">
      <c r="A333" s="183" t="s">
        <v>438</v>
      </c>
      <c r="B333" s="183" t="s">
        <v>23</v>
      </c>
      <c r="C333" s="184">
        <v>42556</v>
      </c>
      <c r="D333" s="185">
        <v>20.96</v>
      </c>
      <c r="E333" s="185">
        <v>19.170000000000002</v>
      </c>
      <c r="F333" s="188">
        <v>2016</v>
      </c>
      <c r="G333" s="188"/>
      <c r="H333" s="188"/>
      <c r="I333" s="188"/>
      <c r="J333" s="188"/>
      <c r="K333" s="188"/>
    </row>
    <row r="334" spans="1:11" ht="15" customHeight="1" x14ac:dyDescent="0.3">
      <c r="A334" s="183" t="s">
        <v>439</v>
      </c>
      <c r="B334" s="183" t="s">
        <v>23</v>
      </c>
      <c r="C334" s="184">
        <v>42569</v>
      </c>
      <c r="D334" s="186"/>
      <c r="E334" s="186"/>
      <c r="F334" s="186">
        <v>2016</v>
      </c>
      <c r="G334" s="186"/>
      <c r="H334" s="186"/>
      <c r="I334" s="186"/>
      <c r="J334" s="186"/>
      <c r="K334" s="186"/>
    </row>
    <row r="335" spans="1:11" ht="15" customHeight="1" x14ac:dyDescent="0.3">
      <c r="A335" s="183" t="s">
        <v>440</v>
      </c>
      <c r="B335" s="183" t="s">
        <v>23</v>
      </c>
      <c r="C335" s="184">
        <v>42583</v>
      </c>
      <c r="D335" s="185">
        <v>22.7</v>
      </c>
      <c r="E335" s="185">
        <v>22.43</v>
      </c>
      <c r="F335" s="188">
        <v>2016</v>
      </c>
      <c r="G335" s="188"/>
      <c r="H335" s="188"/>
      <c r="I335" s="188"/>
      <c r="J335" s="188"/>
      <c r="K335" s="188"/>
    </row>
    <row r="336" spans="1:11" ht="15" customHeight="1" x14ac:dyDescent="0.3">
      <c r="A336" s="183" t="s">
        <v>441</v>
      </c>
      <c r="B336" s="183" t="s">
        <v>23</v>
      </c>
      <c r="C336" s="184">
        <v>42598</v>
      </c>
      <c r="D336" s="185">
        <v>26.14</v>
      </c>
      <c r="E336" s="185">
        <v>22.29</v>
      </c>
      <c r="F336" s="188">
        <v>2016</v>
      </c>
      <c r="G336" s="188"/>
      <c r="H336" s="188"/>
      <c r="I336" s="188"/>
      <c r="J336" s="188"/>
      <c r="K336" s="188"/>
    </row>
    <row r="337" spans="1:11" ht="15" customHeight="1" x14ac:dyDescent="0.3">
      <c r="A337" s="183" t="s">
        <v>442</v>
      </c>
      <c r="B337" s="183" t="s">
        <v>23</v>
      </c>
      <c r="C337" s="184">
        <v>42611</v>
      </c>
      <c r="D337" s="185">
        <v>25.25</v>
      </c>
      <c r="E337" s="185">
        <v>23.74</v>
      </c>
      <c r="F337" s="188">
        <v>2016</v>
      </c>
      <c r="G337" s="188"/>
      <c r="H337" s="188"/>
      <c r="I337" s="188"/>
      <c r="J337" s="188"/>
      <c r="K337" s="188"/>
    </row>
    <row r="338" spans="1:11" ht="15" customHeight="1" x14ac:dyDescent="0.3">
      <c r="A338" s="183" t="s">
        <v>444</v>
      </c>
      <c r="B338" s="183" t="s">
        <v>23</v>
      </c>
      <c r="C338" s="184">
        <v>42646</v>
      </c>
      <c r="D338" s="185">
        <v>21.35</v>
      </c>
      <c r="E338" s="185">
        <v>21.13</v>
      </c>
      <c r="F338" s="188">
        <v>2016</v>
      </c>
      <c r="G338" s="188"/>
      <c r="H338" s="188"/>
      <c r="I338" s="188"/>
      <c r="J338" s="188"/>
      <c r="K338" s="188"/>
    </row>
    <row r="339" spans="1:11" ht="15" customHeight="1" x14ac:dyDescent="0.3">
      <c r="A339" s="183" t="s">
        <v>445</v>
      </c>
      <c r="B339" s="183" t="s">
        <v>23</v>
      </c>
      <c r="C339" s="184">
        <v>42681</v>
      </c>
      <c r="D339" s="185">
        <v>15.07</v>
      </c>
      <c r="E339" s="185">
        <v>14.82</v>
      </c>
      <c r="F339" s="188">
        <v>2016</v>
      </c>
      <c r="G339" s="188"/>
      <c r="H339" s="188"/>
      <c r="I339" s="188"/>
      <c r="J339" s="188"/>
      <c r="K339" s="188"/>
    </row>
    <row r="340" spans="1:11" ht="15" customHeight="1" x14ac:dyDescent="0.3">
      <c r="A340" s="183" t="s">
        <v>446</v>
      </c>
      <c r="B340" s="183" t="s">
        <v>23</v>
      </c>
      <c r="C340" s="184">
        <v>42704</v>
      </c>
      <c r="D340" s="185">
        <v>11.04</v>
      </c>
      <c r="E340" s="185">
        <v>11.07</v>
      </c>
      <c r="F340" s="188">
        <v>2016</v>
      </c>
      <c r="G340" s="188"/>
      <c r="H340" s="188"/>
      <c r="I340" s="188"/>
      <c r="J340" s="188"/>
      <c r="K340" s="188"/>
    </row>
    <row r="341" spans="1:11" ht="15" customHeight="1" x14ac:dyDescent="0.3">
      <c r="A341" s="183" t="s">
        <v>447</v>
      </c>
      <c r="B341" s="183" t="s">
        <v>23</v>
      </c>
      <c r="C341" s="184">
        <v>42739</v>
      </c>
      <c r="D341" s="185">
        <v>5.9</v>
      </c>
      <c r="E341" s="185">
        <v>5.89</v>
      </c>
      <c r="F341" s="188">
        <v>2017</v>
      </c>
      <c r="G341" s="188"/>
      <c r="H341" s="188"/>
      <c r="I341" s="188"/>
      <c r="J341" s="188"/>
      <c r="K341" s="188"/>
    </row>
    <row r="342" spans="1:11" ht="15" customHeight="1" x14ac:dyDescent="0.3">
      <c r="A342" s="183" t="s">
        <v>448</v>
      </c>
      <c r="B342" s="183" t="s">
        <v>23</v>
      </c>
      <c r="C342" s="184">
        <v>42773</v>
      </c>
      <c r="D342" s="185">
        <v>3.66</v>
      </c>
      <c r="E342" s="185">
        <v>3.68</v>
      </c>
      <c r="F342" s="188">
        <v>2017</v>
      </c>
      <c r="G342" s="188"/>
      <c r="H342" s="188"/>
      <c r="I342" s="188"/>
      <c r="J342" s="188"/>
      <c r="K342" s="188"/>
    </row>
    <row r="343" spans="1:11" ht="15" customHeight="1" x14ac:dyDescent="0.3">
      <c r="A343" s="183" t="s">
        <v>450</v>
      </c>
      <c r="B343" s="183" t="s">
        <v>23</v>
      </c>
      <c r="C343" s="184">
        <v>42800</v>
      </c>
      <c r="D343" s="185">
        <v>3.89</v>
      </c>
      <c r="E343" s="185">
        <v>3.46</v>
      </c>
      <c r="F343" s="188">
        <v>2017</v>
      </c>
      <c r="G343" s="188"/>
      <c r="H343" s="188"/>
      <c r="I343" s="188"/>
      <c r="J343" s="188"/>
      <c r="K343" s="188"/>
    </row>
    <row r="344" spans="1:11" ht="15" customHeight="1" x14ac:dyDescent="0.3">
      <c r="A344" s="183" t="s">
        <v>451</v>
      </c>
      <c r="B344" s="183" t="s">
        <v>23</v>
      </c>
      <c r="C344" s="184">
        <v>42828</v>
      </c>
      <c r="D344" s="185">
        <v>4.8099999999999996</v>
      </c>
      <c r="E344" s="185">
        <v>3.82</v>
      </c>
      <c r="F344" s="188">
        <v>2017</v>
      </c>
      <c r="G344" s="188"/>
      <c r="H344" s="188"/>
      <c r="I344" s="188"/>
      <c r="J344" s="188"/>
      <c r="K344" s="188"/>
    </row>
    <row r="345" spans="1:11" ht="15" customHeight="1" x14ac:dyDescent="0.3">
      <c r="A345" s="183" t="s">
        <v>452</v>
      </c>
      <c r="B345" s="183" t="s">
        <v>23</v>
      </c>
      <c r="C345" s="184">
        <v>42856</v>
      </c>
      <c r="D345" s="185">
        <v>9.15</v>
      </c>
      <c r="E345" s="185">
        <v>6.9</v>
      </c>
      <c r="F345" s="188">
        <v>2017</v>
      </c>
      <c r="G345" s="188"/>
      <c r="H345" s="188"/>
      <c r="I345" s="188"/>
      <c r="J345" s="188"/>
      <c r="K345" s="188"/>
    </row>
    <row r="346" spans="1:11" ht="15" customHeight="1" x14ac:dyDescent="0.3">
      <c r="A346" s="183" t="s">
        <v>453</v>
      </c>
      <c r="B346" s="183" t="s">
        <v>23</v>
      </c>
      <c r="C346" s="184">
        <v>42891</v>
      </c>
      <c r="D346" s="185">
        <v>14.94</v>
      </c>
      <c r="E346" s="185">
        <v>12.81</v>
      </c>
      <c r="F346" s="188">
        <v>2017</v>
      </c>
      <c r="G346" s="188"/>
      <c r="H346" s="188"/>
      <c r="I346" s="188"/>
      <c r="J346" s="188"/>
      <c r="K346" s="188"/>
    </row>
    <row r="347" spans="1:11" ht="15" customHeight="1" x14ac:dyDescent="0.3">
      <c r="A347" s="183" t="s">
        <v>455</v>
      </c>
      <c r="B347" s="183" t="s">
        <v>23</v>
      </c>
      <c r="C347" s="184">
        <v>42921</v>
      </c>
      <c r="D347" s="185">
        <v>22.57</v>
      </c>
      <c r="E347" s="185">
        <v>18.489999999999998</v>
      </c>
      <c r="F347" s="188">
        <v>2017</v>
      </c>
      <c r="G347" s="188"/>
      <c r="H347" s="188"/>
      <c r="I347" s="188"/>
      <c r="J347" s="188"/>
      <c r="K347" s="188"/>
    </row>
    <row r="348" spans="1:11" ht="15" customHeight="1" x14ac:dyDescent="0.3">
      <c r="A348" s="183" t="s">
        <v>456</v>
      </c>
      <c r="B348" s="183" t="s">
        <v>23</v>
      </c>
      <c r="C348" s="184">
        <v>42936</v>
      </c>
      <c r="D348" s="185">
        <v>26.35</v>
      </c>
      <c r="E348" s="185">
        <v>19.96</v>
      </c>
      <c r="F348" s="188">
        <v>2017</v>
      </c>
      <c r="G348" s="188"/>
      <c r="H348" s="188"/>
      <c r="I348" s="188"/>
      <c r="J348" s="188"/>
      <c r="K348" s="188"/>
    </row>
    <row r="349" spans="1:11" ht="15" customHeight="1" x14ac:dyDescent="0.3">
      <c r="A349" s="183" t="s">
        <v>457</v>
      </c>
      <c r="B349" s="183" t="s">
        <v>23</v>
      </c>
      <c r="C349" s="184">
        <v>42947</v>
      </c>
      <c r="D349" s="185">
        <v>21.28</v>
      </c>
      <c r="E349" s="185">
        <v>20.95</v>
      </c>
      <c r="F349" s="188">
        <v>2017</v>
      </c>
      <c r="G349" s="188"/>
      <c r="H349" s="188"/>
      <c r="I349" s="188"/>
      <c r="J349" s="188"/>
      <c r="K349" s="188"/>
    </row>
    <row r="350" spans="1:11" ht="15" customHeight="1" x14ac:dyDescent="0.3">
      <c r="A350" s="183" t="s">
        <v>458</v>
      </c>
      <c r="B350" s="183" t="s">
        <v>23</v>
      </c>
      <c r="C350" s="184">
        <v>42961</v>
      </c>
      <c r="D350" s="185">
        <v>23.26</v>
      </c>
      <c r="E350" s="185">
        <v>21.59</v>
      </c>
      <c r="F350" s="188">
        <v>2017</v>
      </c>
      <c r="G350" s="188"/>
      <c r="H350" s="188"/>
      <c r="I350" s="188"/>
      <c r="J350" s="188"/>
      <c r="K350" s="188"/>
    </row>
    <row r="351" spans="1:11" ht="15" customHeight="1" x14ac:dyDescent="0.3">
      <c r="A351" s="183" t="s">
        <v>459</v>
      </c>
      <c r="B351" s="183" t="s">
        <v>23</v>
      </c>
      <c r="C351" s="184">
        <v>42979</v>
      </c>
      <c r="D351" s="185">
        <v>21.92</v>
      </c>
      <c r="E351" s="185">
        <v>22.03</v>
      </c>
      <c r="F351" s="188">
        <v>2017</v>
      </c>
      <c r="G351" s="188"/>
      <c r="H351" s="188"/>
      <c r="I351" s="188"/>
      <c r="J351" s="188"/>
      <c r="K351" s="188"/>
    </row>
    <row r="352" spans="1:11" ht="15" customHeight="1" x14ac:dyDescent="0.3">
      <c r="A352" s="183" t="s">
        <v>460</v>
      </c>
      <c r="B352" s="183" t="s">
        <v>23</v>
      </c>
      <c r="C352" s="184">
        <v>43014</v>
      </c>
      <c r="D352" s="185">
        <v>20.41</v>
      </c>
      <c r="E352" s="185">
        <v>20.37</v>
      </c>
      <c r="F352" s="188">
        <v>2017</v>
      </c>
      <c r="G352" s="188"/>
      <c r="H352" s="188"/>
      <c r="I352" s="188"/>
      <c r="J352" s="188"/>
      <c r="K352" s="188"/>
    </row>
    <row r="353" spans="1:11" ht="15" customHeight="1" x14ac:dyDescent="0.3">
      <c r="A353" s="183" t="s">
        <v>461</v>
      </c>
      <c r="B353" s="183" t="s">
        <v>23</v>
      </c>
      <c r="C353" s="184">
        <v>43048</v>
      </c>
      <c r="D353" s="186"/>
      <c r="E353" s="186"/>
      <c r="F353" s="186">
        <v>2017</v>
      </c>
      <c r="G353" s="186"/>
      <c r="H353" s="186"/>
      <c r="I353" s="186"/>
      <c r="J353" s="186"/>
      <c r="K353" s="186"/>
    </row>
    <row r="354" spans="1:11" ht="15" customHeight="1" x14ac:dyDescent="0.3">
      <c r="A354" s="183" t="s">
        <v>462</v>
      </c>
      <c r="B354" s="183" t="s">
        <v>23</v>
      </c>
      <c r="C354" s="184">
        <v>43073</v>
      </c>
      <c r="D354" s="185">
        <v>10.91</v>
      </c>
      <c r="E354" s="185">
        <v>10.89</v>
      </c>
      <c r="F354" s="188">
        <v>2017</v>
      </c>
      <c r="G354" s="188"/>
      <c r="H354" s="188"/>
      <c r="I354" s="188"/>
      <c r="J354" s="188"/>
      <c r="K354" s="188"/>
    </row>
    <row r="355" spans="1:11" ht="15" customHeight="1" x14ac:dyDescent="0.3">
      <c r="A355" s="183" t="s">
        <v>463</v>
      </c>
      <c r="B355" s="183" t="s">
        <v>23</v>
      </c>
      <c r="C355" s="184">
        <v>43110</v>
      </c>
      <c r="D355" s="185">
        <v>1.28</v>
      </c>
      <c r="E355" s="185">
        <v>1.65</v>
      </c>
      <c r="F355" s="188">
        <v>2018</v>
      </c>
      <c r="G355" s="188"/>
      <c r="H355" s="188"/>
      <c r="I355" s="188"/>
      <c r="J355" s="188"/>
      <c r="K355" s="188"/>
    </row>
    <row r="356" spans="1:11" ht="15" customHeight="1" x14ac:dyDescent="0.3">
      <c r="A356" s="183" t="s">
        <v>464</v>
      </c>
      <c r="B356" s="183" t="s">
        <v>23</v>
      </c>
      <c r="C356" s="184">
        <v>43140</v>
      </c>
      <c r="D356" s="186"/>
      <c r="E356" s="186"/>
      <c r="F356" s="186">
        <v>2018</v>
      </c>
      <c r="G356" s="186"/>
      <c r="H356" s="186"/>
      <c r="I356" s="186"/>
      <c r="J356" s="186"/>
      <c r="K356" s="186"/>
    </row>
    <row r="357" spans="1:11" ht="15" customHeight="1" x14ac:dyDescent="0.3">
      <c r="A357" s="183" t="s">
        <v>466</v>
      </c>
      <c r="B357" s="183" t="s">
        <v>23</v>
      </c>
      <c r="C357" s="184">
        <v>43165</v>
      </c>
      <c r="D357" s="185">
        <v>3.31</v>
      </c>
      <c r="E357" s="185">
        <v>2.94</v>
      </c>
      <c r="F357" s="188">
        <v>2018</v>
      </c>
      <c r="G357" s="188"/>
      <c r="H357" s="188"/>
      <c r="I357" s="188"/>
      <c r="J357" s="188"/>
      <c r="K357" s="188"/>
    </row>
    <row r="358" spans="1:11" ht="15" customHeight="1" x14ac:dyDescent="0.3">
      <c r="A358" s="183" t="s">
        <v>467</v>
      </c>
      <c r="B358" s="183" t="s">
        <v>23</v>
      </c>
      <c r="C358" s="184">
        <v>43199</v>
      </c>
      <c r="D358" s="185">
        <v>4.32</v>
      </c>
      <c r="E358" s="185">
        <v>4.25</v>
      </c>
      <c r="F358" s="188">
        <v>2018</v>
      </c>
      <c r="G358" s="188"/>
      <c r="H358" s="188"/>
      <c r="I358" s="188"/>
      <c r="J358" s="188"/>
      <c r="K358" s="188"/>
    </row>
    <row r="359" spans="1:11" ht="15" customHeight="1" x14ac:dyDescent="0.3">
      <c r="A359" s="183" t="s">
        <v>468</v>
      </c>
      <c r="B359" s="183" t="s">
        <v>23</v>
      </c>
      <c r="C359" s="184">
        <v>43221</v>
      </c>
      <c r="D359" s="185">
        <v>7.57</v>
      </c>
      <c r="E359" s="185">
        <v>7.15</v>
      </c>
      <c r="F359" s="188">
        <v>2018</v>
      </c>
      <c r="G359" s="188"/>
      <c r="H359" s="188"/>
      <c r="I359" s="188"/>
      <c r="J359" s="188"/>
      <c r="K359" s="188"/>
    </row>
    <row r="360" spans="1:11" ht="15" customHeight="1" x14ac:dyDescent="0.3">
      <c r="A360" s="183" t="s">
        <v>469</v>
      </c>
      <c r="B360" s="183" t="s">
        <v>23</v>
      </c>
      <c r="C360" s="184">
        <v>43250</v>
      </c>
      <c r="D360" s="185">
        <v>14.98</v>
      </c>
      <c r="E360" s="185">
        <v>11.63</v>
      </c>
      <c r="F360" s="188">
        <v>2018</v>
      </c>
      <c r="G360" s="188"/>
      <c r="H360" s="188"/>
      <c r="I360" s="188"/>
      <c r="J360" s="188"/>
      <c r="K360" s="188"/>
    </row>
    <row r="361" spans="1:11" ht="15" customHeight="1" x14ac:dyDescent="0.3">
      <c r="A361" s="183" t="s">
        <v>471</v>
      </c>
      <c r="B361" s="183" t="s">
        <v>23</v>
      </c>
      <c r="C361" s="184">
        <v>43283</v>
      </c>
      <c r="D361" s="185">
        <v>21.74</v>
      </c>
      <c r="E361" s="185">
        <v>16.82</v>
      </c>
      <c r="F361" s="188">
        <v>2018</v>
      </c>
      <c r="G361" s="188"/>
      <c r="H361" s="188"/>
      <c r="I361" s="188"/>
      <c r="J361" s="188"/>
      <c r="K361" s="188"/>
    </row>
    <row r="362" spans="1:11" ht="15" customHeight="1" x14ac:dyDescent="0.3">
      <c r="A362" s="183" t="s">
        <v>472</v>
      </c>
      <c r="B362" s="183" t="s">
        <v>23</v>
      </c>
      <c r="C362" s="184">
        <v>43299</v>
      </c>
      <c r="D362" s="185">
        <v>23.28</v>
      </c>
      <c r="E362" s="185">
        <v>20.05</v>
      </c>
      <c r="F362" s="188">
        <v>2018</v>
      </c>
      <c r="G362" s="188"/>
      <c r="H362" s="188"/>
      <c r="I362" s="188"/>
      <c r="J362" s="188"/>
      <c r="K362" s="188"/>
    </row>
    <row r="363" spans="1:11" ht="15" customHeight="1" x14ac:dyDescent="0.3">
      <c r="A363" s="183" t="s">
        <v>473</v>
      </c>
      <c r="B363" s="183" t="s">
        <v>23</v>
      </c>
      <c r="C363" s="184">
        <v>43311</v>
      </c>
      <c r="D363" s="185">
        <v>23.3</v>
      </c>
      <c r="E363" s="185">
        <v>20.95</v>
      </c>
      <c r="F363" s="188">
        <v>2018</v>
      </c>
      <c r="G363" s="188"/>
      <c r="H363" s="188"/>
      <c r="I363" s="188"/>
      <c r="J363" s="188"/>
      <c r="K363" s="188"/>
    </row>
    <row r="364" spans="1:11" ht="15" customHeight="1" x14ac:dyDescent="0.3">
      <c r="A364" s="183" t="s">
        <v>474</v>
      </c>
      <c r="B364" s="183" t="s">
        <v>23</v>
      </c>
      <c r="C364" s="184">
        <v>43325</v>
      </c>
      <c r="D364" s="185">
        <v>24.74</v>
      </c>
      <c r="E364" s="185">
        <v>22.47</v>
      </c>
      <c r="F364" s="188">
        <v>2018</v>
      </c>
      <c r="G364" s="188"/>
      <c r="H364" s="188"/>
      <c r="I364" s="188"/>
      <c r="J364" s="188"/>
      <c r="K364" s="188"/>
    </row>
    <row r="365" spans="1:11" ht="15" customHeight="1" x14ac:dyDescent="0.3">
      <c r="A365" s="183" t="s">
        <v>475</v>
      </c>
      <c r="B365" s="183" t="s">
        <v>23</v>
      </c>
      <c r="C365" s="184">
        <v>43341</v>
      </c>
      <c r="D365" s="185">
        <v>25.03</v>
      </c>
      <c r="E365" s="185">
        <v>22.98</v>
      </c>
      <c r="F365" s="188">
        <v>2018</v>
      </c>
      <c r="G365" s="188"/>
      <c r="H365" s="188"/>
      <c r="I365" s="188"/>
      <c r="J365" s="188"/>
      <c r="K365" s="188"/>
    </row>
    <row r="366" spans="1:11" ht="15" customHeight="1" x14ac:dyDescent="0.3">
      <c r="A366" s="183" t="s">
        <v>477</v>
      </c>
      <c r="B366" s="183" t="s">
        <v>23</v>
      </c>
      <c r="C366" s="184">
        <v>43375</v>
      </c>
      <c r="D366" s="185">
        <v>21.43</v>
      </c>
      <c r="E366" s="185">
        <v>21.22</v>
      </c>
      <c r="F366" s="188">
        <v>2018</v>
      </c>
      <c r="G366" s="188"/>
      <c r="H366" s="188"/>
      <c r="I366" s="188"/>
      <c r="J366" s="188"/>
      <c r="K366" s="188"/>
    </row>
    <row r="367" spans="1:11" ht="15" customHeight="1" x14ac:dyDescent="0.3">
      <c r="A367" s="183" t="s">
        <v>478</v>
      </c>
      <c r="B367" s="183" t="s">
        <v>23</v>
      </c>
      <c r="C367" s="184">
        <v>43412</v>
      </c>
      <c r="D367" s="185">
        <v>14.56</v>
      </c>
      <c r="E367" s="185">
        <v>14.53</v>
      </c>
      <c r="F367" s="188">
        <v>2018</v>
      </c>
      <c r="G367" s="188"/>
      <c r="H367" s="188"/>
      <c r="I367" s="188"/>
      <c r="J367" s="188"/>
      <c r="K367" s="188"/>
    </row>
    <row r="368" spans="1:11" ht="15" customHeight="1" x14ac:dyDescent="0.3">
      <c r="A368" s="183" t="s">
        <v>479</v>
      </c>
      <c r="B368" s="183" t="s">
        <v>23</v>
      </c>
      <c r="C368" s="184">
        <v>43434</v>
      </c>
      <c r="D368" s="185">
        <v>8.69</v>
      </c>
      <c r="E368" s="185">
        <v>9.08</v>
      </c>
      <c r="F368" s="188">
        <v>2018</v>
      </c>
      <c r="G368" s="188"/>
      <c r="H368" s="188"/>
      <c r="I368" s="188"/>
      <c r="J368" s="188"/>
      <c r="K368" s="188"/>
    </row>
    <row r="369" spans="1:11" ht="15" customHeight="1" x14ac:dyDescent="0.3">
      <c r="A369" s="183" t="s">
        <v>6</v>
      </c>
      <c r="B369" s="183" t="s">
        <v>23</v>
      </c>
      <c r="C369" s="184">
        <v>43467</v>
      </c>
      <c r="D369" s="185">
        <v>6.11</v>
      </c>
      <c r="E369" s="185">
        <v>6.05</v>
      </c>
      <c r="F369" s="188">
        <v>2019</v>
      </c>
      <c r="G369" s="188"/>
      <c r="H369" s="188"/>
      <c r="I369" s="188"/>
      <c r="J369" s="188"/>
      <c r="K369" s="188"/>
    </row>
    <row r="370" spans="1:11" ht="15" customHeight="1" x14ac:dyDescent="0.3">
      <c r="A370" s="183" t="s">
        <v>7</v>
      </c>
      <c r="B370" s="183" t="s">
        <v>23</v>
      </c>
      <c r="C370" s="184">
        <v>43500</v>
      </c>
      <c r="D370" s="185">
        <v>2.1800000000000002</v>
      </c>
      <c r="E370" s="185">
        <v>2.5</v>
      </c>
      <c r="F370" s="188">
        <v>2019</v>
      </c>
      <c r="G370" s="188"/>
      <c r="H370" s="188"/>
      <c r="I370" s="188"/>
      <c r="J370" s="188"/>
      <c r="K370" s="188"/>
    </row>
    <row r="371" spans="1:11" ht="15" customHeight="1" x14ac:dyDescent="0.3">
      <c r="A371" s="183" t="s">
        <v>9</v>
      </c>
      <c r="B371" s="183" t="s">
        <v>23</v>
      </c>
      <c r="C371" s="184">
        <v>43532</v>
      </c>
      <c r="D371" s="185">
        <v>1.74</v>
      </c>
      <c r="E371" s="185">
        <v>2.13</v>
      </c>
      <c r="F371" s="188">
        <v>2019</v>
      </c>
      <c r="G371" s="188"/>
      <c r="H371" s="188"/>
      <c r="I371" s="188"/>
      <c r="J371" s="188"/>
      <c r="K371" s="188"/>
    </row>
    <row r="372" spans="1:11" ht="15" customHeight="1" x14ac:dyDescent="0.3">
      <c r="A372" s="183" t="s">
        <v>10</v>
      </c>
      <c r="B372" s="183" t="s">
        <v>23</v>
      </c>
      <c r="C372" s="184">
        <v>43559</v>
      </c>
      <c r="D372" s="185">
        <v>5.4</v>
      </c>
      <c r="E372" s="185">
        <v>4.9400000000000004</v>
      </c>
      <c r="F372" s="188">
        <v>2019</v>
      </c>
      <c r="G372" s="188"/>
      <c r="H372" s="188"/>
      <c r="I372" s="188"/>
      <c r="J372" s="188"/>
      <c r="K372" s="188"/>
    </row>
    <row r="373" spans="1:11" ht="15" customHeight="1" x14ac:dyDescent="0.3">
      <c r="A373" s="183" t="s">
        <v>11</v>
      </c>
      <c r="B373" s="183" t="s">
        <v>23</v>
      </c>
      <c r="C373" s="184">
        <v>43591</v>
      </c>
      <c r="D373" s="185">
        <v>8.98</v>
      </c>
      <c r="E373" s="185">
        <v>8.82</v>
      </c>
      <c r="F373" s="188">
        <v>2019</v>
      </c>
      <c r="G373" s="188"/>
      <c r="H373" s="188"/>
      <c r="I373" s="188"/>
      <c r="J373" s="188"/>
      <c r="K373" s="188"/>
    </row>
    <row r="374" spans="1:11" ht="15" customHeight="1" x14ac:dyDescent="0.3">
      <c r="A374" s="183" t="s">
        <v>12</v>
      </c>
      <c r="B374" s="183" t="s">
        <v>23</v>
      </c>
      <c r="C374" s="184">
        <v>43614</v>
      </c>
      <c r="D374" s="185">
        <v>14.94</v>
      </c>
      <c r="E374" s="185">
        <v>11.69</v>
      </c>
      <c r="F374" s="188">
        <v>2019</v>
      </c>
      <c r="G374" s="188"/>
      <c r="H374" s="188"/>
      <c r="I374" s="188"/>
      <c r="J374" s="188"/>
      <c r="K374" s="188"/>
    </row>
    <row r="375" spans="1:11" ht="15" customHeight="1" x14ac:dyDescent="0.3">
      <c r="A375" s="183" t="s">
        <v>14</v>
      </c>
      <c r="B375" s="183" t="s">
        <v>23</v>
      </c>
      <c r="C375" s="184">
        <v>43647</v>
      </c>
      <c r="D375" s="185">
        <v>20.86</v>
      </c>
      <c r="E375" s="185">
        <v>16.72</v>
      </c>
      <c r="F375" s="188">
        <v>2019</v>
      </c>
      <c r="G375" s="188"/>
      <c r="H375" s="188"/>
      <c r="I375" s="188"/>
      <c r="J375" s="188"/>
      <c r="K375" s="188"/>
    </row>
    <row r="376" spans="1:11" ht="15" customHeight="1" x14ac:dyDescent="0.3">
      <c r="A376" s="183" t="s">
        <v>15</v>
      </c>
      <c r="B376" s="183" t="s">
        <v>23</v>
      </c>
      <c r="C376" s="184">
        <v>43663</v>
      </c>
      <c r="D376" s="185">
        <v>22.13</v>
      </c>
      <c r="E376" s="185">
        <v>20.27</v>
      </c>
      <c r="F376" s="188">
        <v>2019</v>
      </c>
      <c r="G376" s="188"/>
      <c r="H376" s="188"/>
      <c r="I376" s="188"/>
      <c r="J376" s="188"/>
      <c r="K376" s="188"/>
    </row>
    <row r="377" spans="1:11" ht="15" customHeight="1" x14ac:dyDescent="0.3">
      <c r="A377" s="183" t="s">
        <v>16</v>
      </c>
      <c r="B377" s="183" t="s">
        <v>23</v>
      </c>
      <c r="C377" s="184">
        <v>43675</v>
      </c>
      <c r="D377" s="185">
        <v>24.03</v>
      </c>
      <c r="E377" s="185">
        <v>20.51</v>
      </c>
      <c r="F377" s="188">
        <v>2019</v>
      </c>
      <c r="G377" s="188"/>
      <c r="H377" s="188"/>
      <c r="I377" s="188"/>
      <c r="J377" s="188"/>
      <c r="K377" s="188"/>
    </row>
    <row r="378" spans="1:11" ht="15" customHeight="1" x14ac:dyDescent="0.3">
      <c r="A378" s="183" t="s">
        <v>17</v>
      </c>
      <c r="B378" s="183" t="s">
        <v>23</v>
      </c>
      <c r="C378" s="184">
        <v>43691</v>
      </c>
      <c r="D378" s="185">
        <v>22.85</v>
      </c>
      <c r="E378" s="185">
        <v>21.7</v>
      </c>
      <c r="F378" s="188">
        <v>2019</v>
      </c>
      <c r="G378" s="188"/>
      <c r="H378" s="188"/>
      <c r="I378" s="188"/>
      <c r="J378" s="188"/>
      <c r="K378" s="188"/>
    </row>
    <row r="379" spans="1:11" ht="15" customHeight="1" x14ac:dyDescent="0.3">
      <c r="A379" s="183" t="s">
        <v>18</v>
      </c>
      <c r="B379" s="183" t="s">
        <v>23</v>
      </c>
      <c r="C379" s="184">
        <v>43704</v>
      </c>
      <c r="D379" s="185">
        <v>23.18</v>
      </c>
      <c r="E379" s="185">
        <v>21.74</v>
      </c>
      <c r="F379" s="188">
        <v>2019</v>
      </c>
      <c r="G379" s="188"/>
      <c r="H379" s="188"/>
      <c r="I379" s="188"/>
      <c r="J379" s="188"/>
      <c r="K379" s="188"/>
    </row>
    <row r="380" spans="1:11" ht="15" customHeight="1" x14ac:dyDescent="0.3">
      <c r="A380" s="183" t="s">
        <v>39</v>
      </c>
      <c r="B380" s="183" t="s">
        <v>23</v>
      </c>
      <c r="C380" s="184">
        <v>43738</v>
      </c>
      <c r="D380" s="185">
        <v>20.96</v>
      </c>
      <c r="E380" s="185">
        <v>20.91</v>
      </c>
      <c r="F380" s="188">
        <v>2019</v>
      </c>
      <c r="G380" s="188"/>
      <c r="H380" s="188"/>
      <c r="I380" s="188"/>
      <c r="J380" s="188"/>
      <c r="K380" s="188"/>
    </row>
    <row r="381" spans="1:11" ht="15" customHeight="1" x14ac:dyDescent="0.3">
      <c r="A381" s="183" t="s">
        <v>40</v>
      </c>
      <c r="B381" s="183" t="s">
        <v>23</v>
      </c>
      <c r="C381" s="184">
        <v>43773</v>
      </c>
      <c r="D381" s="185">
        <v>16</v>
      </c>
      <c r="E381" s="185">
        <v>15.88</v>
      </c>
      <c r="F381" s="188">
        <v>2019</v>
      </c>
      <c r="G381" s="188"/>
      <c r="H381" s="188"/>
      <c r="I381" s="188"/>
      <c r="J381" s="188"/>
      <c r="K381" s="188"/>
    </row>
    <row r="382" spans="1:11" ht="15" customHeight="1" x14ac:dyDescent="0.3">
      <c r="A382" s="183" t="s">
        <v>41</v>
      </c>
      <c r="B382" s="183" t="s">
        <v>23</v>
      </c>
      <c r="C382" s="184">
        <v>43803</v>
      </c>
      <c r="D382" s="185">
        <v>8.7200000000000006</v>
      </c>
      <c r="E382" s="185">
        <v>8.77</v>
      </c>
      <c r="F382" s="188">
        <v>2019</v>
      </c>
      <c r="G382" s="188"/>
      <c r="H382" s="188"/>
      <c r="I382" s="188"/>
      <c r="J382" s="188"/>
      <c r="K382" s="188"/>
    </row>
    <row r="383" spans="1:11" ht="15" customHeight="1" x14ac:dyDescent="0.3">
      <c r="A383" s="183" t="s">
        <v>502</v>
      </c>
      <c r="B383" s="183" t="s">
        <v>23</v>
      </c>
      <c r="C383" s="184">
        <v>43837</v>
      </c>
      <c r="D383" s="185">
        <v>5.45</v>
      </c>
      <c r="E383" s="185">
        <v>5.49</v>
      </c>
      <c r="F383" s="188">
        <v>2020</v>
      </c>
      <c r="G383" s="188"/>
      <c r="H383" s="188"/>
      <c r="I383" s="188"/>
      <c r="J383" s="188"/>
      <c r="K383" s="188"/>
    </row>
    <row r="384" spans="1:11" ht="15" customHeight="1" x14ac:dyDescent="0.3">
      <c r="A384" s="183" t="s">
        <v>503</v>
      </c>
      <c r="B384" s="183" t="s">
        <v>23</v>
      </c>
      <c r="C384" s="184">
        <v>43874</v>
      </c>
      <c r="D384" s="185">
        <v>4.24</v>
      </c>
      <c r="E384" s="185">
        <v>4.3</v>
      </c>
      <c r="F384" s="188">
        <v>2020</v>
      </c>
      <c r="G384" s="188"/>
      <c r="H384" s="188"/>
      <c r="I384" s="188"/>
      <c r="J384" s="188"/>
      <c r="K384" s="188"/>
    </row>
    <row r="385" spans="1:11" ht="15" customHeight="1" x14ac:dyDescent="0.3">
      <c r="A385" s="183" t="s">
        <v>504</v>
      </c>
      <c r="B385" s="183" t="s">
        <v>23</v>
      </c>
      <c r="C385" s="184">
        <v>43899</v>
      </c>
      <c r="D385" s="186"/>
      <c r="E385" s="186"/>
      <c r="F385" s="186">
        <v>2020</v>
      </c>
      <c r="G385" s="186"/>
      <c r="H385" s="186"/>
      <c r="I385" s="186"/>
      <c r="J385" s="186"/>
      <c r="K385" s="186"/>
    </row>
    <row r="386" spans="1:11" ht="15" customHeight="1" x14ac:dyDescent="0.3">
      <c r="A386" s="183" t="s">
        <v>510</v>
      </c>
      <c r="B386" s="183" t="s">
        <v>23</v>
      </c>
      <c r="C386" s="184">
        <v>43998</v>
      </c>
      <c r="D386" s="185">
        <v>17.43</v>
      </c>
      <c r="E386" s="185">
        <v>14.68</v>
      </c>
      <c r="F386" s="188">
        <v>2020</v>
      </c>
      <c r="G386" s="188"/>
      <c r="H386" s="188"/>
      <c r="I386" s="188"/>
      <c r="J386" s="188"/>
      <c r="K386" s="188"/>
    </row>
    <row r="387" spans="1:11" ht="15" customHeight="1" x14ac:dyDescent="0.3">
      <c r="A387" s="183" t="s">
        <v>505</v>
      </c>
      <c r="B387" s="183" t="s">
        <v>23</v>
      </c>
      <c r="C387" s="184">
        <v>44018</v>
      </c>
      <c r="D387" s="185">
        <v>22.34</v>
      </c>
      <c r="E387" s="185">
        <v>19.149999999999999</v>
      </c>
      <c r="F387" s="188">
        <v>2020</v>
      </c>
      <c r="G387" s="188"/>
      <c r="H387" s="188"/>
      <c r="I387" s="188"/>
      <c r="J387" s="188"/>
      <c r="K387" s="188"/>
    </row>
    <row r="388" spans="1:11" ht="15" customHeight="1" x14ac:dyDescent="0.3">
      <c r="A388" s="183" t="s">
        <v>511</v>
      </c>
      <c r="B388" s="183" t="s">
        <v>23</v>
      </c>
      <c r="C388" s="184">
        <v>44034</v>
      </c>
      <c r="D388" s="185">
        <v>24.02</v>
      </c>
      <c r="E388" s="185">
        <v>20.83</v>
      </c>
      <c r="F388" s="188">
        <v>2020</v>
      </c>
      <c r="G388" s="188"/>
      <c r="H388" s="188"/>
      <c r="I388" s="188"/>
      <c r="J388" s="188"/>
      <c r="K388" s="188"/>
    </row>
    <row r="389" spans="1:11" ht="15" customHeight="1" x14ac:dyDescent="0.3">
      <c r="A389" s="183" t="s">
        <v>506</v>
      </c>
      <c r="B389" s="183" t="s">
        <v>23</v>
      </c>
      <c r="C389" s="184">
        <v>44053</v>
      </c>
      <c r="D389" s="185">
        <v>25.11</v>
      </c>
      <c r="E389" s="185">
        <v>22.92</v>
      </c>
      <c r="F389" s="188">
        <v>2020</v>
      </c>
      <c r="G389" s="188"/>
      <c r="H389" s="188"/>
      <c r="I389" s="188"/>
      <c r="J389" s="188"/>
      <c r="K389" s="188"/>
    </row>
    <row r="390" spans="1:11" ht="15" customHeight="1" x14ac:dyDescent="0.3">
      <c r="A390" s="183" t="s">
        <v>512</v>
      </c>
      <c r="B390" s="183" t="s">
        <v>23</v>
      </c>
      <c r="C390" s="184">
        <v>44068</v>
      </c>
      <c r="D390" s="185">
        <v>24.28</v>
      </c>
      <c r="E390" s="185">
        <v>23.05</v>
      </c>
      <c r="F390" s="188">
        <v>2020</v>
      </c>
      <c r="G390" s="188"/>
      <c r="H390" s="188"/>
      <c r="I390" s="188"/>
      <c r="J390" s="188"/>
      <c r="K390" s="188"/>
    </row>
    <row r="391" spans="1:11" ht="15" customHeight="1" x14ac:dyDescent="0.3">
      <c r="A391" s="183" t="s">
        <v>507</v>
      </c>
      <c r="B391" s="183" t="s">
        <v>23</v>
      </c>
      <c r="C391" s="184">
        <v>44084</v>
      </c>
      <c r="D391" s="185">
        <v>23.86</v>
      </c>
      <c r="E391" s="185">
        <v>22.39</v>
      </c>
      <c r="F391" s="188">
        <v>2020</v>
      </c>
      <c r="G391" s="188"/>
      <c r="H391" s="188"/>
      <c r="I391" s="188"/>
      <c r="J391" s="188"/>
      <c r="K391" s="188"/>
    </row>
    <row r="392" spans="1:11" ht="15" customHeight="1" x14ac:dyDescent="0.3">
      <c r="A392" s="183" t="s">
        <v>508</v>
      </c>
      <c r="B392" s="183" t="s">
        <v>23</v>
      </c>
      <c r="C392" s="184">
        <v>44110</v>
      </c>
      <c r="D392" s="185">
        <v>20.03</v>
      </c>
      <c r="E392" s="185">
        <v>19.95</v>
      </c>
      <c r="F392" s="188">
        <v>2020</v>
      </c>
      <c r="G392" s="188"/>
      <c r="H392" s="188"/>
      <c r="I392" s="188"/>
      <c r="J392" s="188"/>
      <c r="K392" s="188"/>
    </row>
    <row r="393" spans="1:11" ht="15" customHeight="1" x14ac:dyDescent="0.3">
      <c r="A393" s="183" t="s">
        <v>509</v>
      </c>
      <c r="B393" s="183" t="s">
        <v>23</v>
      </c>
      <c r="C393" s="184">
        <v>44144</v>
      </c>
      <c r="D393" s="185">
        <v>14.37</v>
      </c>
      <c r="E393" s="185">
        <v>14.72</v>
      </c>
      <c r="F393" s="188">
        <v>2020</v>
      </c>
      <c r="G393" s="188"/>
      <c r="H393" s="188"/>
      <c r="I393" s="188"/>
      <c r="J393" s="188"/>
      <c r="K393" s="188"/>
    </row>
    <row r="394" spans="1:11" ht="15" customHeight="1" x14ac:dyDescent="0.3">
      <c r="A394" s="183" t="s">
        <v>522</v>
      </c>
      <c r="B394" s="183" t="s">
        <v>23</v>
      </c>
      <c r="C394" s="184">
        <v>44263</v>
      </c>
      <c r="D394" s="185">
        <v>2.4</v>
      </c>
      <c r="E394" s="185">
        <v>2.5099999999999998</v>
      </c>
      <c r="F394" s="188">
        <v>2021</v>
      </c>
      <c r="G394" s="188"/>
      <c r="H394" s="188"/>
      <c r="I394" s="188"/>
      <c r="J394" s="188"/>
      <c r="K394" s="188"/>
    </row>
    <row r="395" spans="1:11" ht="15" customHeight="1" x14ac:dyDescent="0.3">
      <c r="A395" s="183" t="s">
        <v>523</v>
      </c>
      <c r="B395" s="183" t="s">
        <v>23</v>
      </c>
      <c r="C395" s="184">
        <v>44292</v>
      </c>
      <c r="D395" s="185">
        <v>5.52</v>
      </c>
      <c r="E395" s="185">
        <v>5.29</v>
      </c>
      <c r="F395" s="188">
        <v>2021</v>
      </c>
      <c r="G395" s="188"/>
      <c r="H395" s="188"/>
      <c r="I395" s="188"/>
      <c r="J395" s="188"/>
      <c r="K395" s="188"/>
    </row>
    <row r="396" spans="1:11" ht="15" customHeight="1" x14ac:dyDescent="0.3">
      <c r="A396" s="183" t="s">
        <v>524</v>
      </c>
      <c r="B396" s="183" t="s">
        <v>23</v>
      </c>
      <c r="C396" s="184">
        <v>44322</v>
      </c>
      <c r="D396" s="185">
        <v>9.5500000000000007</v>
      </c>
      <c r="E396" s="185">
        <v>9.2799999999999994</v>
      </c>
      <c r="F396" s="188">
        <v>2021</v>
      </c>
      <c r="G396" s="188"/>
      <c r="H396" s="188"/>
      <c r="I396" s="188"/>
      <c r="J396" s="188"/>
      <c r="K396" s="188"/>
    </row>
    <row r="397" spans="1:11" ht="15" customHeight="1" x14ac:dyDescent="0.3">
      <c r="A397" s="183" t="s">
        <v>525</v>
      </c>
      <c r="B397" s="183" t="s">
        <v>23</v>
      </c>
      <c r="C397" s="184">
        <v>44350</v>
      </c>
      <c r="D397" s="185">
        <v>14.31</v>
      </c>
      <c r="E397" s="185">
        <v>13.03</v>
      </c>
      <c r="F397" s="188">
        <v>2021</v>
      </c>
      <c r="G397" s="188"/>
      <c r="H397" s="188"/>
      <c r="I397" s="188"/>
      <c r="J397" s="188"/>
      <c r="K397" s="188"/>
    </row>
    <row r="398" spans="1:11" ht="15" customHeight="1" x14ac:dyDescent="0.3">
      <c r="A398" s="183" t="s">
        <v>527</v>
      </c>
      <c r="B398" s="183" t="s">
        <v>23</v>
      </c>
      <c r="C398" s="184">
        <v>44383</v>
      </c>
      <c r="D398" s="185">
        <v>20.57</v>
      </c>
      <c r="E398" s="185">
        <v>17.739999999999998</v>
      </c>
      <c r="F398" s="188">
        <v>2021</v>
      </c>
      <c r="G398" s="188"/>
      <c r="H398" s="188"/>
      <c r="I398" s="188"/>
      <c r="J398" s="188"/>
      <c r="K398" s="188"/>
    </row>
    <row r="399" spans="1:11" ht="15" customHeight="1" x14ac:dyDescent="0.3">
      <c r="A399" s="183" t="s">
        <v>528</v>
      </c>
      <c r="B399" s="183" t="s">
        <v>23</v>
      </c>
      <c r="C399" s="184">
        <v>44398</v>
      </c>
      <c r="D399" s="185">
        <v>23.27</v>
      </c>
      <c r="E399" s="185">
        <v>20.47</v>
      </c>
      <c r="F399" s="188">
        <v>2021</v>
      </c>
      <c r="G399" s="188"/>
      <c r="H399" s="188"/>
      <c r="I399" s="188"/>
      <c r="J399" s="188"/>
      <c r="K399" s="188"/>
    </row>
    <row r="400" spans="1:11" ht="15" customHeight="1" x14ac:dyDescent="0.3">
      <c r="A400" s="183" t="s">
        <v>529</v>
      </c>
      <c r="B400" s="183" t="s">
        <v>23</v>
      </c>
      <c r="C400" s="184">
        <v>44410</v>
      </c>
      <c r="D400" s="185">
        <v>22.76</v>
      </c>
      <c r="E400" s="185">
        <v>21.39</v>
      </c>
      <c r="F400" s="188">
        <v>2021</v>
      </c>
      <c r="G400" s="188"/>
      <c r="H400" s="188"/>
      <c r="I400" s="188"/>
      <c r="J400" s="188"/>
      <c r="K400" s="188"/>
    </row>
    <row r="401" spans="1:11" ht="15" customHeight="1" x14ac:dyDescent="0.3">
      <c r="A401" s="183" t="s">
        <v>530</v>
      </c>
      <c r="B401" s="183" t="s">
        <v>23</v>
      </c>
      <c r="C401" s="184">
        <v>44426</v>
      </c>
      <c r="D401" s="185">
        <v>22.93</v>
      </c>
      <c r="E401" s="185">
        <v>21.83</v>
      </c>
      <c r="F401" s="188">
        <v>2021</v>
      </c>
      <c r="G401" s="188"/>
      <c r="H401" s="188"/>
      <c r="I401" s="188"/>
      <c r="J401" s="188"/>
      <c r="K401" s="188"/>
    </row>
    <row r="402" spans="1:11" ht="15" customHeight="1" x14ac:dyDescent="0.3">
      <c r="A402" s="183" t="s">
        <v>531</v>
      </c>
      <c r="B402" s="183" t="s">
        <v>23</v>
      </c>
      <c r="C402" s="184">
        <v>44438</v>
      </c>
      <c r="D402" s="185">
        <v>24.04</v>
      </c>
      <c r="E402" s="185">
        <v>22.86</v>
      </c>
      <c r="F402" s="188">
        <v>2021</v>
      </c>
      <c r="G402" s="188"/>
      <c r="H402" s="188"/>
      <c r="I402" s="188"/>
      <c r="J402" s="188"/>
      <c r="K402" s="188"/>
    </row>
    <row r="403" spans="1:11" ht="15" customHeight="1" x14ac:dyDescent="0.3">
      <c r="A403" s="183" t="s">
        <v>533</v>
      </c>
      <c r="B403" s="183" t="s">
        <v>23</v>
      </c>
      <c r="C403" s="184">
        <v>44475</v>
      </c>
      <c r="D403" s="185">
        <v>21.07</v>
      </c>
      <c r="E403" s="185">
        <v>20.91</v>
      </c>
      <c r="F403" s="188">
        <v>2021</v>
      </c>
      <c r="G403" s="188"/>
      <c r="H403" s="188"/>
      <c r="I403" s="188"/>
      <c r="J403" s="188"/>
      <c r="K403" s="188"/>
    </row>
    <row r="404" spans="1:11" ht="15" customHeight="1" x14ac:dyDescent="0.3">
      <c r="A404" s="183" t="s">
        <v>534</v>
      </c>
      <c r="B404" s="183" t="s">
        <v>23</v>
      </c>
      <c r="C404" s="184">
        <v>44504</v>
      </c>
      <c r="D404" s="185">
        <v>16.899999999999999</v>
      </c>
      <c r="E404" s="185">
        <v>16.86</v>
      </c>
      <c r="F404" s="188">
        <v>2021</v>
      </c>
      <c r="G404" s="188"/>
      <c r="H404" s="188"/>
      <c r="I404" s="188"/>
      <c r="J404" s="188"/>
      <c r="K404" s="188"/>
    </row>
    <row r="405" spans="1:11" ht="15" customHeight="1" x14ac:dyDescent="0.3">
      <c r="A405" s="183" t="s">
        <v>535</v>
      </c>
      <c r="B405" s="183" t="s">
        <v>23</v>
      </c>
      <c r="C405" s="184">
        <v>44532</v>
      </c>
      <c r="D405" s="185">
        <v>11.04</v>
      </c>
      <c r="E405" s="185">
        <v>11.13</v>
      </c>
      <c r="F405" s="188">
        <v>2021</v>
      </c>
      <c r="G405" s="188"/>
      <c r="H405" s="188"/>
      <c r="I405" s="188"/>
      <c r="J405" s="188"/>
      <c r="K405" s="188"/>
    </row>
    <row r="406" spans="1:11" ht="15" customHeight="1" x14ac:dyDescent="0.3">
      <c r="A406" s="183" t="s">
        <v>539</v>
      </c>
      <c r="B406" s="183" t="s">
        <v>23</v>
      </c>
      <c r="C406" s="184">
        <v>44593</v>
      </c>
      <c r="D406" s="185">
        <v>3.08</v>
      </c>
      <c r="E406" s="185">
        <v>3.04</v>
      </c>
      <c r="F406" s="188">
        <v>2022</v>
      </c>
      <c r="G406" s="188"/>
      <c r="H406" s="188"/>
      <c r="I406" s="188"/>
      <c r="J406" s="188"/>
      <c r="K406" s="188"/>
    </row>
    <row r="407" spans="1:11" ht="15" customHeight="1" x14ac:dyDescent="0.3">
      <c r="A407" s="183" t="s">
        <v>541</v>
      </c>
      <c r="B407" s="183" t="s">
        <v>23</v>
      </c>
      <c r="C407" s="184">
        <v>44622</v>
      </c>
      <c r="D407" s="185">
        <v>3.41</v>
      </c>
      <c r="E407" s="185">
        <v>3.45</v>
      </c>
      <c r="F407" s="188">
        <v>2022</v>
      </c>
      <c r="G407" s="188"/>
      <c r="H407" s="188"/>
      <c r="I407" s="188"/>
      <c r="J407" s="188"/>
      <c r="K407" s="188"/>
    </row>
    <row r="408" spans="1:11" ht="15" customHeight="1" x14ac:dyDescent="0.3">
      <c r="A408" s="183" t="s">
        <v>542</v>
      </c>
      <c r="B408" s="183" t="s">
        <v>23</v>
      </c>
      <c r="C408" s="184">
        <v>44659</v>
      </c>
      <c r="D408" s="185">
        <v>6.3</v>
      </c>
      <c r="E408" s="185">
        <v>5.77</v>
      </c>
      <c r="F408" s="188">
        <v>2022</v>
      </c>
      <c r="G408" s="188"/>
      <c r="H408" s="188"/>
      <c r="I408" s="188"/>
      <c r="J408" s="188"/>
      <c r="K408" s="188"/>
    </row>
    <row r="409" spans="1:11" ht="15" customHeight="1" x14ac:dyDescent="0.3">
      <c r="A409" s="183" t="s">
        <v>543</v>
      </c>
      <c r="B409" s="183" t="s">
        <v>23</v>
      </c>
      <c r="C409" s="184">
        <v>44685</v>
      </c>
      <c r="D409" s="185">
        <v>9.5299999999999994</v>
      </c>
      <c r="E409" s="185">
        <v>8.99</v>
      </c>
      <c r="F409" s="188">
        <v>2022</v>
      </c>
      <c r="G409" s="188"/>
      <c r="H409" s="188"/>
      <c r="I409" s="188"/>
      <c r="J409" s="188"/>
      <c r="K409" s="188"/>
    </row>
    <row r="410" spans="1:11" ht="15" customHeight="1" x14ac:dyDescent="0.3">
      <c r="A410" s="183" t="s">
        <v>544</v>
      </c>
      <c r="B410" s="183" t="s">
        <v>23</v>
      </c>
      <c r="C410" s="184">
        <v>44714</v>
      </c>
      <c r="D410" s="185">
        <v>16.18</v>
      </c>
      <c r="E410" s="185">
        <v>13.4</v>
      </c>
      <c r="F410" s="188">
        <v>2022</v>
      </c>
      <c r="G410" s="188"/>
      <c r="H410" s="188"/>
      <c r="I410" s="188"/>
      <c r="J410" s="188"/>
      <c r="K410" s="188"/>
    </row>
    <row r="411" spans="1:11" ht="15" customHeight="1" x14ac:dyDescent="0.3">
      <c r="A411" s="183" t="s">
        <v>546</v>
      </c>
      <c r="B411" s="183" t="s">
        <v>23</v>
      </c>
      <c r="C411" s="184">
        <v>44749</v>
      </c>
      <c r="D411" s="185">
        <v>21.99</v>
      </c>
      <c r="E411" s="185">
        <v>18.7</v>
      </c>
      <c r="F411" s="188">
        <v>2022</v>
      </c>
      <c r="G411" s="188"/>
      <c r="H411" s="188"/>
      <c r="I411" s="188"/>
      <c r="J411" s="188"/>
      <c r="K411" s="188"/>
    </row>
    <row r="412" spans="1:11" ht="15" customHeight="1" x14ac:dyDescent="0.3">
      <c r="A412" s="183" t="s">
        <v>547</v>
      </c>
      <c r="B412" s="183" t="s">
        <v>23</v>
      </c>
      <c r="C412" s="184">
        <v>44760</v>
      </c>
      <c r="D412" s="185">
        <v>23.96</v>
      </c>
      <c r="E412" s="185">
        <v>19.559999999999999</v>
      </c>
      <c r="F412" s="188">
        <v>2022</v>
      </c>
      <c r="G412" s="188"/>
      <c r="H412" s="188"/>
      <c r="I412" s="188"/>
      <c r="J412" s="188"/>
      <c r="K412" s="188"/>
    </row>
    <row r="413" spans="1:11" ht="15" customHeight="1" x14ac:dyDescent="0.3">
      <c r="A413" s="183" t="s">
        <v>548</v>
      </c>
      <c r="B413" s="183" t="s">
        <v>23</v>
      </c>
      <c r="C413" s="184">
        <v>44774</v>
      </c>
      <c r="D413" s="185">
        <v>24.2</v>
      </c>
      <c r="E413" s="185">
        <v>21.71</v>
      </c>
      <c r="F413" s="188">
        <v>2022</v>
      </c>
      <c r="G413" s="188"/>
      <c r="H413" s="188"/>
      <c r="I413" s="188"/>
      <c r="J413" s="188"/>
      <c r="K413" s="188"/>
    </row>
    <row r="414" spans="1:11" ht="15" customHeight="1" x14ac:dyDescent="0.3">
      <c r="A414" s="183" t="s">
        <v>549</v>
      </c>
      <c r="B414" s="183" t="s">
        <v>23</v>
      </c>
      <c r="C414" s="184">
        <v>44792</v>
      </c>
      <c r="D414" s="185">
        <v>23.96</v>
      </c>
      <c r="E414" s="185">
        <v>22.74</v>
      </c>
      <c r="F414" s="188">
        <v>2022</v>
      </c>
      <c r="G414" s="188"/>
      <c r="H414" s="188"/>
      <c r="I414" s="188"/>
      <c r="J414" s="188"/>
      <c r="K414" s="188"/>
    </row>
    <row r="415" spans="1:11" ht="15" customHeight="1" x14ac:dyDescent="0.3">
      <c r="A415" s="183" t="s">
        <v>550</v>
      </c>
      <c r="B415" s="183" t="s">
        <v>23</v>
      </c>
      <c r="C415" s="184">
        <v>44804</v>
      </c>
      <c r="D415" s="185">
        <v>24.93</v>
      </c>
      <c r="E415" s="185">
        <v>23.32</v>
      </c>
      <c r="F415" s="188">
        <v>2022</v>
      </c>
      <c r="G415" s="188"/>
      <c r="H415" s="188"/>
      <c r="I415" s="188"/>
      <c r="J415" s="188"/>
      <c r="K415" s="188"/>
    </row>
    <row r="416" spans="1:11" ht="15" customHeight="1" x14ac:dyDescent="0.3">
      <c r="A416" s="183" t="s">
        <v>552</v>
      </c>
      <c r="B416" s="183" t="s">
        <v>23</v>
      </c>
      <c r="C416" s="184">
        <v>44840</v>
      </c>
      <c r="D416" s="185">
        <v>19.32</v>
      </c>
      <c r="E416" s="185">
        <v>19.010000000000002</v>
      </c>
      <c r="F416" s="188">
        <v>2022</v>
      </c>
      <c r="G416" s="188"/>
      <c r="H416" s="188"/>
      <c r="I416" s="188"/>
      <c r="J416" s="188"/>
      <c r="K416" s="188"/>
    </row>
    <row r="417" spans="1:11" ht="15" customHeight="1" x14ac:dyDescent="0.3">
      <c r="A417" s="183" t="s">
        <v>553</v>
      </c>
      <c r="B417" s="183" t="s">
        <v>23</v>
      </c>
      <c r="C417" s="184">
        <v>44872</v>
      </c>
      <c r="D417" s="186"/>
      <c r="E417" s="186"/>
      <c r="F417" s="186">
        <v>2022</v>
      </c>
      <c r="G417" s="186"/>
      <c r="H417" s="186"/>
      <c r="I417" s="186"/>
      <c r="J417" s="186"/>
      <c r="K417" s="186"/>
    </row>
    <row r="418" spans="1:11" ht="15" customHeight="1" x14ac:dyDescent="0.3">
      <c r="A418" s="183" t="s">
        <v>556</v>
      </c>
      <c r="B418" s="183" t="s">
        <v>23</v>
      </c>
      <c r="C418" s="184">
        <v>44910</v>
      </c>
      <c r="D418" s="185">
        <v>8.49</v>
      </c>
      <c r="E418" s="185">
        <v>8.51</v>
      </c>
      <c r="F418" s="188">
        <v>2022</v>
      </c>
      <c r="G418" s="188"/>
      <c r="H418" s="188"/>
      <c r="I418" s="188"/>
      <c r="J418" s="188"/>
      <c r="K418" s="188"/>
    </row>
    <row r="419" spans="1:11" ht="15" customHeight="1" x14ac:dyDescent="0.3">
      <c r="A419" s="183" t="s">
        <v>557</v>
      </c>
      <c r="B419" s="183" t="s">
        <v>23</v>
      </c>
      <c r="C419" s="184">
        <v>44929</v>
      </c>
      <c r="D419" s="185">
        <v>5.52</v>
      </c>
      <c r="E419" s="185">
        <v>5.66</v>
      </c>
      <c r="F419" s="188">
        <v>2023</v>
      </c>
      <c r="G419" s="188"/>
      <c r="H419" s="188"/>
      <c r="I419" s="188"/>
      <c r="J419" s="188"/>
      <c r="K419" s="188"/>
    </row>
    <row r="420" spans="1:11" ht="15" customHeight="1" x14ac:dyDescent="0.3">
      <c r="A420" s="183" t="s">
        <v>558</v>
      </c>
      <c r="B420" s="183" t="s">
        <v>23</v>
      </c>
      <c r="C420" s="184">
        <v>44963</v>
      </c>
      <c r="D420" s="185">
        <v>4.37</v>
      </c>
      <c r="E420" s="185">
        <v>4.25</v>
      </c>
      <c r="F420" s="188">
        <v>2023</v>
      </c>
      <c r="G420" s="188"/>
      <c r="H420" s="188"/>
      <c r="I420" s="188"/>
      <c r="J420" s="188"/>
      <c r="K420" s="188"/>
    </row>
    <row r="421" spans="1:11" ht="15" customHeight="1" x14ac:dyDescent="0.3">
      <c r="A421" s="183" t="s">
        <v>559</v>
      </c>
      <c r="B421" s="183" t="s">
        <v>23</v>
      </c>
      <c r="C421" s="184">
        <v>45033</v>
      </c>
      <c r="D421" s="185">
        <v>9.77</v>
      </c>
      <c r="E421" s="185">
        <v>7.94</v>
      </c>
      <c r="F421" s="188">
        <v>2023</v>
      </c>
      <c r="G421" s="188"/>
      <c r="H421" s="188"/>
      <c r="I421" s="188"/>
      <c r="J421" s="188"/>
      <c r="K421" s="188"/>
    </row>
    <row r="422" spans="1:11" ht="15" customHeight="1" x14ac:dyDescent="0.3">
      <c r="A422" s="183" t="s">
        <v>560</v>
      </c>
      <c r="B422" s="183" t="s">
        <v>23</v>
      </c>
      <c r="C422" s="184">
        <v>45054</v>
      </c>
      <c r="D422" s="185">
        <v>11.26</v>
      </c>
      <c r="E422" s="185">
        <v>9.94</v>
      </c>
      <c r="F422" s="188">
        <v>2023</v>
      </c>
      <c r="G422" s="188"/>
      <c r="H422" s="188"/>
      <c r="I422" s="188"/>
      <c r="J422" s="188"/>
      <c r="K422" s="188"/>
    </row>
    <row r="423" spans="1:11" ht="15" customHeight="1" x14ac:dyDescent="0.3">
      <c r="A423" s="183" t="s">
        <v>561</v>
      </c>
      <c r="B423" s="183" t="s">
        <v>23</v>
      </c>
      <c r="C423" s="184">
        <v>45077</v>
      </c>
      <c r="D423" s="185">
        <v>16.29</v>
      </c>
      <c r="E423" s="185">
        <v>13.32</v>
      </c>
      <c r="F423" s="188">
        <v>2023</v>
      </c>
      <c r="G423" s="188"/>
      <c r="H423" s="188"/>
      <c r="I423" s="188"/>
      <c r="J423" s="188"/>
      <c r="K423" s="188"/>
    </row>
    <row r="424" spans="1:11" ht="15" customHeight="1" x14ac:dyDescent="0.3">
      <c r="A424" s="183" t="s">
        <v>563</v>
      </c>
      <c r="B424" s="183" t="s">
        <v>23</v>
      </c>
      <c r="C424" s="184">
        <v>45112</v>
      </c>
      <c r="D424" s="185">
        <v>23.47</v>
      </c>
      <c r="E424" s="185">
        <v>17.98</v>
      </c>
      <c r="F424" s="188">
        <v>2023</v>
      </c>
      <c r="G424" s="188"/>
      <c r="H424" s="188"/>
      <c r="I424" s="188"/>
      <c r="J424" s="188"/>
      <c r="K424" s="188"/>
    </row>
    <row r="425" spans="1:11" ht="15" customHeight="1" x14ac:dyDescent="0.3">
      <c r="A425" s="183" t="s">
        <v>564</v>
      </c>
      <c r="B425" s="183" t="s">
        <v>23</v>
      </c>
      <c r="C425" s="184">
        <v>45126</v>
      </c>
      <c r="D425" s="185">
        <v>23.11</v>
      </c>
      <c r="E425" s="185">
        <v>20.87</v>
      </c>
      <c r="F425" s="188">
        <v>2023</v>
      </c>
      <c r="G425" s="188"/>
      <c r="H425" s="188"/>
      <c r="I425" s="188"/>
      <c r="J425" s="188"/>
      <c r="K425" s="188"/>
    </row>
    <row r="426" spans="1:11" ht="15" customHeight="1" x14ac:dyDescent="0.3">
      <c r="A426" s="183" t="s">
        <v>565</v>
      </c>
      <c r="B426" s="183" t="s">
        <v>23</v>
      </c>
      <c r="C426" s="184">
        <v>45138</v>
      </c>
      <c r="D426" s="185">
        <v>24.22</v>
      </c>
      <c r="E426" s="185">
        <v>21.51</v>
      </c>
      <c r="F426" s="188">
        <v>2023</v>
      </c>
      <c r="G426" s="188"/>
      <c r="H426" s="188"/>
      <c r="I426" s="188"/>
      <c r="J426" s="188"/>
      <c r="K426" s="188"/>
    </row>
    <row r="427" spans="1:11" ht="15" customHeight="1" x14ac:dyDescent="0.3">
      <c r="A427" s="183" t="s">
        <v>567</v>
      </c>
      <c r="B427" s="183" t="s">
        <v>23</v>
      </c>
      <c r="C427" s="184">
        <v>45167</v>
      </c>
      <c r="D427" s="185">
        <v>22.51</v>
      </c>
      <c r="E427" s="185">
        <v>21.3</v>
      </c>
      <c r="F427" s="188">
        <v>2023</v>
      </c>
      <c r="G427" s="188"/>
      <c r="H427" s="188"/>
      <c r="I427" s="188"/>
      <c r="J427" s="188"/>
      <c r="K427" s="188"/>
    </row>
    <row r="428" spans="1:11" ht="15" customHeight="1" x14ac:dyDescent="0.3">
      <c r="A428" s="183" t="s">
        <v>568</v>
      </c>
      <c r="B428" s="183" t="s">
        <v>23</v>
      </c>
      <c r="C428" s="184">
        <v>45204</v>
      </c>
      <c r="D428" s="185">
        <v>19.670000000000002</v>
      </c>
      <c r="E428" s="185">
        <v>19.62</v>
      </c>
      <c r="F428" s="188">
        <v>2023</v>
      </c>
      <c r="G428" s="188"/>
      <c r="H428" s="188"/>
      <c r="I428" s="188"/>
      <c r="J428" s="188"/>
      <c r="K428" s="188"/>
    </row>
    <row r="429" spans="1:11" ht="15" customHeight="1" x14ac:dyDescent="0.3">
      <c r="A429" s="183" t="s">
        <v>569</v>
      </c>
      <c r="B429" s="183" t="s">
        <v>23</v>
      </c>
      <c r="C429" s="184">
        <v>45237</v>
      </c>
      <c r="D429" s="185">
        <v>15.39</v>
      </c>
      <c r="E429" s="185">
        <v>15.39</v>
      </c>
      <c r="F429" s="188">
        <v>2023</v>
      </c>
      <c r="G429" s="188"/>
      <c r="H429" s="188"/>
      <c r="I429" s="188"/>
      <c r="J429" s="188"/>
      <c r="K429" s="188"/>
    </row>
    <row r="430" spans="1:11" ht="15" customHeight="1" x14ac:dyDescent="0.3">
      <c r="A430" s="183" t="s">
        <v>570</v>
      </c>
      <c r="B430" s="183" t="s">
        <v>23</v>
      </c>
      <c r="C430" s="184">
        <v>45265</v>
      </c>
      <c r="D430" s="185">
        <v>10.47</v>
      </c>
      <c r="E430" s="185">
        <v>10.49</v>
      </c>
      <c r="F430" s="188">
        <v>2023</v>
      </c>
      <c r="G430" s="188"/>
      <c r="H430" s="188"/>
      <c r="I430" s="188"/>
      <c r="J430" s="188"/>
      <c r="K430" s="188"/>
    </row>
    <row r="431" spans="1:11" ht="15" customHeight="1" x14ac:dyDescent="0.3">
      <c r="A431" s="183" t="s">
        <v>571</v>
      </c>
      <c r="B431" s="183" t="s">
        <v>23</v>
      </c>
      <c r="C431" s="184">
        <v>45294</v>
      </c>
      <c r="D431" s="185">
        <v>7.59</v>
      </c>
      <c r="E431" s="185">
        <v>7.7</v>
      </c>
      <c r="F431" s="188">
        <v>2024</v>
      </c>
      <c r="G431" s="188"/>
      <c r="H431" s="188"/>
      <c r="I431" s="188"/>
      <c r="J431" s="188"/>
      <c r="K431" s="188"/>
    </row>
    <row r="432" spans="1:11" ht="15" customHeight="1" x14ac:dyDescent="0.3">
      <c r="A432" s="183" t="s">
        <v>572</v>
      </c>
      <c r="B432" s="183" t="s">
        <v>23</v>
      </c>
      <c r="C432" s="184">
        <v>45327</v>
      </c>
      <c r="D432" s="185">
        <v>4.49</v>
      </c>
      <c r="E432" s="185">
        <v>4.5</v>
      </c>
      <c r="F432" s="188">
        <v>2024</v>
      </c>
      <c r="G432" s="188"/>
      <c r="H432" s="188"/>
      <c r="I432" s="188"/>
      <c r="J432" s="188"/>
      <c r="K432" s="188"/>
    </row>
    <row r="433" spans="1:11" ht="15" customHeight="1" x14ac:dyDescent="0.3">
      <c r="A433" s="183" t="s">
        <v>574</v>
      </c>
      <c r="B433" s="183" t="s">
        <v>23</v>
      </c>
      <c r="C433" s="184">
        <v>45355</v>
      </c>
      <c r="D433" s="185">
        <v>4.66</v>
      </c>
      <c r="E433" s="185">
        <v>4.54</v>
      </c>
      <c r="F433" s="188">
        <v>2024</v>
      </c>
      <c r="G433" s="188"/>
      <c r="H433" s="188"/>
      <c r="I433" s="188"/>
      <c r="J433" s="188"/>
      <c r="K433" s="188"/>
    </row>
    <row r="434" spans="1:11" ht="15" customHeight="1" x14ac:dyDescent="0.3">
      <c r="A434" s="183" t="s">
        <v>576</v>
      </c>
      <c r="B434" s="183" t="s">
        <v>23</v>
      </c>
      <c r="C434" s="184">
        <v>45383</v>
      </c>
      <c r="D434" s="185">
        <v>6.36</v>
      </c>
      <c r="E434" s="185">
        <v>6.15</v>
      </c>
      <c r="F434" s="188">
        <v>2024</v>
      </c>
      <c r="G434" s="188"/>
      <c r="H434" s="188"/>
      <c r="I434" s="188"/>
      <c r="J434" s="188"/>
      <c r="K434" s="188"/>
    </row>
    <row r="435" spans="1:11" ht="15" customHeight="1" x14ac:dyDescent="0.3">
      <c r="A435" s="183" t="s">
        <v>577</v>
      </c>
      <c r="B435" s="183" t="s">
        <v>23</v>
      </c>
      <c r="C435" s="184">
        <v>45417</v>
      </c>
      <c r="D435" s="185">
        <v>10.44</v>
      </c>
      <c r="E435" s="185">
        <v>8.6199999999999992</v>
      </c>
      <c r="F435" s="188">
        <v>2024</v>
      </c>
      <c r="G435" s="188"/>
      <c r="H435" s="188"/>
      <c r="I435" s="188"/>
      <c r="J435" s="188"/>
      <c r="K435" s="188"/>
    </row>
    <row r="436" spans="1:11" ht="15" customHeight="1" x14ac:dyDescent="0.3">
      <c r="A436" s="183" t="s">
        <v>578</v>
      </c>
      <c r="B436" s="183" t="s">
        <v>23</v>
      </c>
      <c r="C436" s="184">
        <v>45443</v>
      </c>
      <c r="D436" s="185">
        <v>15.52</v>
      </c>
      <c r="E436" s="185">
        <v>13.36</v>
      </c>
      <c r="F436" s="188">
        <v>2024</v>
      </c>
      <c r="G436" s="188"/>
      <c r="H436" s="188"/>
      <c r="I436" s="188"/>
      <c r="J436" s="188"/>
      <c r="K436" s="188"/>
    </row>
    <row r="437" spans="1:11" ht="15" customHeight="1" x14ac:dyDescent="0.3">
      <c r="A437" s="183" t="s">
        <v>580</v>
      </c>
      <c r="B437" s="183" t="s">
        <v>23</v>
      </c>
      <c r="C437" s="184">
        <v>45470</v>
      </c>
      <c r="D437" s="185">
        <v>20.34</v>
      </c>
      <c r="E437" s="185">
        <v>17.55</v>
      </c>
      <c r="F437" s="188">
        <v>2024</v>
      </c>
      <c r="G437" s="188"/>
      <c r="H437" s="188"/>
      <c r="I437" s="188"/>
      <c r="J437" s="188"/>
      <c r="K437" s="188"/>
    </row>
    <row r="438" spans="1:11" ht="15" customHeight="1" x14ac:dyDescent="0.3">
      <c r="A438" s="183" t="s">
        <v>581</v>
      </c>
      <c r="B438" s="183" t="s">
        <v>23</v>
      </c>
      <c r="C438" s="184">
        <v>45488</v>
      </c>
      <c r="D438" s="185">
        <v>23.67</v>
      </c>
      <c r="E438" s="185">
        <v>18.989999999999998</v>
      </c>
      <c r="F438" s="188">
        <v>2024</v>
      </c>
      <c r="G438" s="188"/>
      <c r="H438" s="188"/>
      <c r="I438" s="188"/>
      <c r="J438" s="188"/>
      <c r="K438" s="188"/>
    </row>
    <row r="439" spans="1:11" ht="15" customHeight="1" x14ac:dyDescent="0.3">
      <c r="A439" s="183" t="s">
        <v>582</v>
      </c>
      <c r="B439" s="183" t="s">
        <v>23</v>
      </c>
      <c r="C439" s="184">
        <v>45502</v>
      </c>
      <c r="D439" s="185">
        <v>22.44</v>
      </c>
      <c r="E439" s="185">
        <v>20.91</v>
      </c>
      <c r="F439" s="188">
        <v>2024</v>
      </c>
      <c r="G439" s="188"/>
      <c r="H439" s="188"/>
      <c r="I439" s="188"/>
      <c r="J439" s="188"/>
      <c r="K439" s="188"/>
    </row>
    <row r="440" spans="1:11" ht="15" customHeight="1" x14ac:dyDescent="0.3">
      <c r="A440" s="183" t="s">
        <v>583</v>
      </c>
      <c r="B440" s="183" t="s">
        <v>23</v>
      </c>
      <c r="C440" s="184">
        <v>45518</v>
      </c>
      <c r="D440" s="185">
        <v>22.63</v>
      </c>
      <c r="E440" s="185">
        <v>21.76</v>
      </c>
      <c r="F440" s="188">
        <v>2024</v>
      </c>
      <c r="G440" s="188"/>
      <c r="H440" s="188"/>
      <c r="I440" s="188"/>
      <c r="J440" s="188"/>
      <c r="K440" s="188"/>
    </row>
    <row r="441" spans="1:11" ht="15" customHeight="1" x14ac:dyDescent="0.3">
      <c r="A441" s="183" t="s">
        <v>584</v>
      </c>
      <c r="B441" s="183" t="s">
        <v>23</v>
      </c>
      <c r="C441" s="184">
        <v>45530</v>
      </c>
      <c r="D441" s="185">
        <v>23</v>
      </c>
      <c r="E441" s="185">
        <v>22.09</v>
      </c>
      <c r="F441" s="188">
        <v>2024</v>
      </c>
      <c r="G441" s="188"/>
      <c r="H441" s="188"/>
      <c r="I441" s="188"/>
      <c r="J441" s="188"/>
      <c r="K441" s="188"/>
    </row>
    <row r="442" spans="1:11" ht="15" customHeight="1" x14ac:dyDescent="0.3">
      <c r="A442" s="183" t="s">
        <v>585</v>
      </c>
      <c r="B442" s="183" t="s">
        <v>23</v>
      </c>
      <c r="C442" s="184">
        <v>45567</v>
      </c>
      <c r="D442" s="185">
        <v>20.09</v>
      </c>
      <c r="E442" s="185">
        <v>20.02</v>
      </c>
      <c r="F442" s="188">
        <v>2024</v>
      </c>
      <c r="G442" s="188"/>
      <c r="H442" s="188"/>
      <c r="I442" s="188"/>
      <c r="J442" s="188"/>
      <c r="K442" s="188"/>
    </row>
    <row r="443" spans="1:11" ht="15" customHeight="1" x14ac:dyDescent="0.3">
      <c r="A443" t="s">
        <v>602</v>
      </c>
      <c r="B443" t="s">
        <v>23</v>
      </c>
      <c r="C443" s="34">
        <v>45670</v>
      </c>
      <c r="D443">
        <v>4.1500000000000004</v>
      </c>
      <c r="E443">
        <v>4.2</v>
      </c>
      <c r="F443" s="207">
        <v>2025</v>
      </c>
    </row>
    <row r="444" spans="1:11" ht="15" customHeight="1" x14ac:dyDescent="0.3">
      <c r="A444" t="s">
        <v>601</v>
      </c>
      <c r="B444" t="s">
        <v>23</v>
      </c>
      <c r="C444" s="34">
        <v>45691</v>
      </c>
      <c r="D444">
        <v>2.08</v>
      </c>
      <c r="E444">
        <v>2.34</v>
      </c>
      <c r="F444" s="207">
        <v>2025</v>
      </c>
    </row>
    <row r="445" spans="1:11" ht="15" customHeight="1" x14ac:dyDescent="0.3">
      <c r="A445" t="s">
        <v>593</v>
      </c>
      <c r="B445" t="s">
        <v>23</v>
      </c>
      <c r="C445" s="34">
        <v>45720</v>
      </c>
      <c r="D445">
        <v>1.88</v>
      </c>
      <c r="E445">
        <v>1.92</v>
      </c>
      <c r="F445" s="207">
        <v>2025</v>
      </c>
    </row>
    <row r="446" spans="1:11" ht="15" customHeight="1" x14ac:dyDescent="0.3">
      <c r="A446" t="s">
        <v>594</v>
      </c>
      <c r="B446" t="s">
        <v>23</v>
      </c>
      <c r="C446" s="34">
        <v>45751</v>
      </c>
      <c r="D446">
        <v>5.63</v>
      </c>
      <c r="E446">
        <v>5.54</v>
      </c>
      <c r="F446" s="207">
        <v>2025</v>
      </c>
    </row>
    <row r="447" spans="1:11" ht="15" customHeight="1" x14ac:dyDescent="0.3">
      <c r="A447" t="s">
        <v>595</v>
      </c>
      <c r="B447" t="s">
        <v>23</v>
      </c>
      <c r="C447" s="34">
        <v>45782</v>
      </c>
      <c r="D447">
        <v>11.15</v>
      </c>
      <c r="E447">
        <v>9.65</v>
      </c>
      <c r="F447" s="207">
        <v>2025</v>
      </c>
    </row>
    <row r="448" spans="1:11" ht="15" customHeight="1" x14ac:dyDescent="0.3">
      <c r="A448" t="s">
        <v>596</v>
      </c>
      <c r="B448" t="s">
        <v>23</v>
      </c>
      <c r="C448" s="34">
        <v>45810</v>
      </c>
      <c r="D448">
        <v>14.33</v>
      </c>
      <c r="E448">
        <v>13.57</v>
      </c>
      <c r="F448" s="207">
        <v>2025</v>
      </c>
    </row>
    <row r="449" spans="1:6" ht="15" customHeight="1" x14ac:dyDescent="0.3">
      <c r="A449" t="s">
        <v>597</v>
      </c>
      <c r="B449" t="s">
        <v>23</v>
      </c>
      <c r="C449" s="34">
        <v>45840</v>
      </c>
      <c r="D449">
        <v>22.32</v>
      </c>
      <c r="E449">
        <v>17.96</v>
      </c>
      <c r="F449" s="207">
        <v>2025</v>
      </c>
    </row>
    <row r="450" spans="1:6" ht="15" customHeight="1" x14ac:dyDescent="0.3">
      <c r="A450" t="s">
        <v>598</v>
      </c>
      <c r="B450" t="s">
        <v>23</v>
      </c>
      <c r="C450" s="34">
        <v>45854</v>
      </c>
      <c r="D450">
        <v>24.3</v>
      </c>
      <c r="E450">
        <v>18.25</v>
      </c>
      <c r="F450" s="207">
        <v>2025</v>
      </c>
    </row>
    <row r="451" spans="1:6" ht="15" customHeight="1" x14ac:dyDescent="0.3">
      <c r="A451" t="s">
        <v>599</v>
      </c>
      <c r="B451" t="s">
        <v>23</v>
      </c>
      <c r="C451" s="34">
        <v>45867</v>
      </c>
      <c r="D451">
        <v>25.17</v>
      </c>
      <c r="E451">
        <v>21.65</v>
      </c>
      <c r="F451" s="207">
        <v>2025</v>
      </c>
    </row>
    <row r="452" spans="1:6" ht="15" customHeight="1" x14ac:dyDescent="0.3">
      <c r="A452" t="s">
        <v>600</v>
      </c>
      <c r="B452" t="s">
        <v>23</v>
      </c>
      <c r="C452" s="34">
        <v>45882</v>
      </c>
      <c r="D452">
        <v>24.33</v>
      </c>
      <c r="E452">
        <v>22.01</v>
      </c>
      <c r="F452" s="207">
        <v>2025</v>
      </c>
    </row>
    <row r="453" spans="1:6" ht="15" customHeight="1" x14ac:dyDescent="0.3">
      <c r="A453" t="s">
        <v>603</v>
      </c>
      <c r="B453" t="s">
        <v>23</v>
      </c>
      <c r="C453" s="34">
        <v>45895</v>
      </c>
      <c r="D453">
        <v>22.88</v>
      </c>
      <c r="E453">
        <v>22.36</v>
      </c>
      <c r="F453" s="207">
        <v>2025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00"/>
  <sheetViews>
    <sheetView workbookViewId="0">
      <pane ySplit="1" topLeftCell="A377" activePane="bottomLeft" state="frozen"/>
      <selection pane="bottomLeft" activeCell="F391" sqref="F391:F400"/>
    </sheetView>
  </sheetViews>
  <sheetFormatPr defaultRowHeight="15" customHeight="1" x14ac:dyDescent="0.3"/>
  <cols>
    <col min="1" max="1" width="10.44140625" bestFit="1" customWidth="1"/>
    <col min="2" max="2" width="10.6640625" bestFit="1" customWidth="1"/>
    <col min="3" max="3" width="13.109375" bestFit="1" customWidth="1"/>
    <col min="4" max="4" width="7.44140625" bestFit="1" customWidth="1"/>
    <col min="5" max="5" width="7.5546875" bestFit="1" customWidth="1"/>
    <col min="8" max="8" width="12.5546875" bestFit="1" customWidth="1"/>
    <col min="9" max="9" width="16.88671875" bestFit="1" customWidth="1"/>
    <col min="10" max="10" width="17" bestFit="1" customWidth="1"/>
    <col min="11" max="11" width="20.44140625" bestFit="1" customWidth="1"/>
    <col min="14" max="14" width="17.6640625" bestFit="1" customWidth="1"/>
    <col min="15" max="15" width="17.88671875" bestFit="1" customWidth="1"/>
  </cols>
  <sheetData>
    <row r="1" spans="1:31" ht="15" customHeight="1" x14ac:dyDescent="0.3">
      <c r="A1" s="41" t="s">
        <v>1</v>
      </c>
      <c r="B1" s="41" t="s">
        <v>3</v>
      </c>
      <c r="C1" s="41" t="s">
        <v>2</v>
      </c>
      <c r="D1" s="41" t="s">
        <v>4</v>
      </c>
      <c r="E1" s="41" t="s">
        <v>5</v>
      </c>
      <c r="F1" s="48" t="s">
        <v>521</v>
      </c>
      <c r="H1" s="47" t="s">
        <v>515</v>
      </c>
      <c r="I1" t="s">
        <v>519</v>
      </c>
      <c r="J1" t="s">
        <v>518</v>
      </c>
      <c r="K1" t="s">
        <v>520</v>
      </c>
      <c r="M1" t="s">
        <v>515</v>
      </c>
      <c r="N1" t="s">
        <v>519</v>
      </c>
      <c r="O1" t="s">
        <v>518</v>
      </c>
      <c r="P1" t="s">
        <v>520</v>
      </c>
    </row>
    <row r="2" spans="1:31" ht="15" customHeight="1" x14ac:dyDescent="0.3">
      <c r="A2" s="42" t="s">
        <v>79</v>
      </c>
      <c r="B2" s="43">
        <v>34506</v>
      </c>
      <c r="C2" s="42" t="s">
        <v>22</v>
      </c>
      <c r="D2" s="44">
        <v>14.66</v>
      </c>
      <c r="E2" s="45"/>
      <c r="F2">
        <v>1994</v>
      </c>
      <c r="H2" s="9">
        <v>1994</v>
      </c>
      <c r="I2">
        <v>17.78</v>
      </c>
      <c r="K2">
        <v>2</v>
      </c>
      <c r="M2">
        <v>1995</v>
      </c>
      <c r="N2">
        <v>11.544545454545455</v>
      </c>
      <c r="O2">
        <v>11.914916666666665</v>
      </c>
      <c r="P2">
        <v>12</v>
      </c>
    </row>
    <row r="3" spans="1:31" ht="15" customHeight="1" x14ac:dyDescent="0.3">
      <c r="A3" s="42" t="s">
        <v>80</v>
      </c>
      <c r="B3" s="43">
        <v>34523</v>
      </c>
      <c r="C3" s="42" t="s">
        <v>22</v>
      </c>
      <c r="D3" s="44">
        <v>20.9</v>
      </c>
      <c r="E3" s="45"/>
      <c r="F3">
        <v>1994</v>
      </c>
      <c r="H3" s="9">
        <v>1995</v>
      </c>
      <c r="I3">
        <v>11.544545454545455</v>
      </c>
      <c r="J3">
        <v>11.914916666666665</v>
      </c>
      <c r="K3">
        <v>12</v>
      </c>
      <c r="M3">
        <v>1996</v>
      </c>
      <c r="N3">
        <v>10.576666666666666</v>
      </c>
      <c r="O3">
        <v>10.415833333333333</v>
      </c>
      <c r="P3">
        <v>12</v>
      </c>
    </row>
    <row r="4" spans="1:31" ht="15" customHeight="1" x14ac:dyDescent="0.3">
      <c r="A4" s="42" t="s">
        <v>89</v>
      </c>
      <c r="B4" s="43">
        <v>34710</v>
      </c>
      <c r="C4" s="42" t="s">
        <v>22</v>
      </c>
      <c r="D4" s="44">
        <v>4.8</v>
      </c>
      <c r="E4" s="44">
        <v>5.35</v>
      </c>
      <c r="F4">
        <v>1995</v>
      </c>
      <c r="H4" s="9">
        <v>1996</v>
      </c>
      <c r="I4">
        <v>10.576666666666666</v>
      </c>
      <c r="J4">
        <v>10.415833333333333</v>
      </c>
      <c r="K4">
        <v>12</v>
      </c>
      <c r="M4">
        <v>1997</v>
      </c>
      <c r="N4">
        <v>11.870769230769232</v>
      </c>
      <c r="O4">
        <v>11.200000000000001</v>
      </c>
      <c r="P4">
        <v>13</v>
      </c>
      <c r="AD4" s="4"/>
      <c r="AE4" s="4"/>
    </row>
    <row r="5" spans="1:31" ht="15" customHeight="1" x14ac:dyDescent="0.3">
      <c r="A5" s="42" t="s">
        <v>90</v>
      </c>
      <c r="B5" s="43">
        <v>34746</v>
      </c>
      <c r="C5" s="42" t="s">
        <v>22</v>
      </c>
      <c r="D5" s="44">
        <v>2.92</v>
      </c>
      <c r="E5" s="44">
        <v>2.81</v>
      </c>
      <c r="F5">
        <v>1995</v>
      </c>
      <c r="H5" s="9">
        <v>1997</v>
      </c>
      <c r="I5">
        <v>11.870769230769232</v>
      </c>
      <c r="J5">
        <v>11.200000000000001</v>
      </c>
      <c r="K5">
        <v>13</v>
      </c>
      <c r="M5">
        <v>1998</v>
      </c>
      <c r="N5">
        <v>14.072142857142856</v>
      </c>
      <c r="O5">
        <v>13.137926666666669</v>
      </c>
      <c r="P5">
        <v>15</v>
      </c>
    </row>
    <row r="6" spans="1:31" ht="15" customHeight="1" x14ac:dyDescent="0.3">
      <c r="A6" s="42" t="s">
        <v>91</v>
      </c>
      <c r="B6" s="43">
        <v>34764</v>
      </c>
      <c r="C6" s="42" t="s">
        <v>22</v>
      </c>
      <c r="D6" s="44">
        <v>3.27</v>
      </c>
      <c r="E6" s="46">
        <v>2.98</v>
      </c>
      <c r="F6">
        <v>1995</v>
      </c>
      <c r="H6" s="9">
        <v>1998</v>
      </c>
      <c r="I6">
        <v>14.072142857142856</v>
      </c>
      <c r="J6">
        <v>13.137926666666669</v>
      </c>
      <c r="K6">
        <v>15</v>
      </c>
      <c r="M6">
        <v>1999</v>
      </c>
      <c r="N6">
        <v>13.677333333333333</v>
      </c>
      <c r="O6">
        <v>12.070000000000002</v>
      </c>
      <c r="P6">
        <v>15</v>
      </c>
    </row>
    <row r="7" spans="1:31" ht="15" customHeight="1" x14ac:dyDescent="0.3">
      <c r="A7" s="42" t="s">
        <v>92</v>
      </c>
      <c r="B7" s="43">
        <v>34792</v>
      </c>
      <c r="C7" s="42" t="s">
        <v>22</v>
      </c>
      <c r="D7" s="44">
        <v>5.05</v>
      </c>
      <c r="E7" s="44">
        <v>5.18</v>
      </c>
      <c r="F7">
        <v>1995</v>
      </c>
      <c r="H7" s="9">
        <v>1999</v>
      </c>
      <c r="I7">
        <v>13.677333333333333</v>
      </c>
      <c r="J7">
        <v>12.070000000000002</v>
      </c>
      <c r="K7">
        <v>15</v>
      </c>
      <c r="M7">
        <v>2000</v>
      </c>
      <c r="N7">
        <v>13.011999999999999</v>
      </c>
      <c r="O7">
        <v>12.728666666666667</v>
      </c>
      <c r="P7">
        <v>15</v>
      </c>
    </row>
    <row r="8" spans="1:31" ht="15" customHeight="1" x14ac:dyDescent="0.3">
      <c r="A8" s="42" t="s">
        <v>93</v>
      </c>
      <c r="B8" s="43">
        <v>34824</v>
      </c>
      <c r="C8" s="42" t="s">
        <v>22</v>
      </c>
      <c r="D8" s="44">
        <v>8.65</v>
      </c>
      <c r="E8" s="44">
        <v>8.4700000000000006</v>
      </c>
      <c r="F8">
        <v>1995</v>
      </c>
      <c r="H8" s="9">
        <v>2000</v>
      </c>
      <c r="I8">
        <v>13.011999999999999</v>
      </c>
      <c r="J8">
        <v>12.728666666666667</v>
      </c>
      <c r="K8">
        <v>15</v>
      </c>
      <c r="M8">
        <v>2001</v>
      </c>
      <c r="N8">
        <v>14.192500000000001</v>
      </c>
      <c r="O8">
        <v>13.879166666666665</v>
      </c>
      <c r="P8">
        <v>14</v>
      </c>
    </row>
    <row r="9" spans="1:31" ht="15" customHeight="1" x14ac:dyDescent="0.3">
      <c r="A9" s="42" t="s">
        <v>94</v>
      </c>
      <c r="B9" s="43">
        <v>34852</v>
      </c>
      <c r="C9" s="42" t="s">
        <v>22</v>
      </c>
      <c r="D9" s="44">
        <v>12.84</v>
      </c>
      <c r="E9" s="44">
        <v>12.5787</v>
      </c>
      <c r="F9">
        <v>1995</v>
      </c>
      <c r="H9" s="9">
        <v>2001</v>
      </c>
      <c r="I9">
        <v>14.192500000000001</v>
      </c>
      <c r="J9">
        <v>13.879166666666665</v>
      </c>
      <c r="K9">
        <v>14</v>
      </c>
      <c r="M9">
        <v>2002</v>
      </c>
      <c r="N9">
        <v>13.022307692307692</v>
      </c>
      <c r="O9">
        <v>12.668461538461539</v>
      </c>
      <c r="P9">
        <v>13</v>
      </c>
    </row>
    <row r="10" spans="1:31" ht="15" customHeight="1" x14ac:dyDescent="0.3">
      <c r="A10" s="42" t="s">
        <v>95</v>
      </c>
      <c r="B10" s="43">
        <v>34872</v>
      </c>
      <c r="C10" s="42" t="s">
        <v>22</v>
      </c>
      <c r="D10" s="44">
        <v>16.16</v>
      </c>
      <c r="E10" s="44">
        <v>15.8</v>
      </c>
      <c r="F10">
        <v>1995</v>
      </c>
      <c r="H10" s="9">
        <v>2002</v>
      </c>
      <c r="I10">
        <v>13.022307692307692</v>
      </c>
      <c r="J10">
        <v>12.668461538461539</v>
      </c>
      <c r="K10">
        <v>13</v>
      </c>
      <c r="M10">
        <v>2003</v>
      </c>
      <c r="N10">
        <v>12.278333333333336</v>
      </c>
      <c r="O10">
        <v>11.724166666666667</v>
      </c>
      <c r="P10">
        <v>12</v>
      </c>
    </row>
    <row r="11" spans="1:31" ht="15" customHeight="1" x14ac:dyDescent="0.3">
      <c r="A11" s="42" t="s">
        <v>96</v>
      </c>
      <c r="B11" s="43">
        <v>34891</v>
      </c>
      <c r="C11" s="42" t="s">
        <v>22</v>
      </c>
      <c r="D11" s="45"/>
      <c r="E11" s="44">
        <v>18.3903</v>
      </c>
      <c r="F11">
        <v>1995</v>
      </c>
      <c r="H11" s="9">
        <v>2003</v>
      </c>
      <c r="I11">
        <v>12.278333333333336</v>
      </c>
      <c r="J11">
        <v>11.724166666666667</v>
      </c>
      <c r="K11">
        <v>12</v>
      </c>
      <c r="M11">
        <v>2004</v>
      </c>
      <c r="N11">
        <v>12.732142857142858</v>
      </c>
      <c r="O11">
        <v>12.572857142857146</v>
      </c>
      <c r="P11">
        <v>14</v>
      </c>
    </row>
    <row r="12" spans="1:31" ht="15" customHeight="1" x14ac:dyDescent="0.3">
      <c r="A12" s="42" t="s">
        <v>98</v>
      </c>
      <c r="B12" s="43">
        <v>34911</v>
      </c>
      <c r="C12" s="42" t="s">
        <v>22</v>
      </c>
      <c r="D12" s="44">
        <v>23.28</v>
      </c>
      <c r="E12" s="44">
        <v>21.39</v>
      </c>
      <c r="F12">
        <v>1995</v>
      </c>
      <c r="H12" s="9">
        <v>2004</v>
      </c>
      <c r="I12">
        <v>12.732142857142858</v>
      </c>
      <c r="J12">
        <v>12.572857142857146</v>
      </c>
      <c r="K12">
        <v>14</v>
      </c>
      <c r="M12">
        <v>2005</v>
      </c>
      <c r="N12">
        <v>12.990714285714285</v>
      </c>
      <c r="O12">
        <v>12.420714285714286</v>
      </c>
      <c r="P12">
        <v>14</v>
      </c>
    </row>
    <row r="13" spans="1:31" ht="15" customHeight="1" x14ac:dyDescent="0.3">
      <c r="A13" s="42" t="s">
        <v>100</v>
      </c>
      <c r="B13" s="43">
        <v>34954</v>
      </c>
      <c r="C13" s="42" t="s">
        <v>22</v>
      </c>
      <c r="D13" s="44">
        <v>21.19</v>
      </c>
      <c r="E13" s="44">
        <v>21.18</v>
      </c>
      <c r="F13">
        <v>1995</v>
      </c>
      <c r="H13" s="9">
        <v>2005</v>
      </c>
      <c r="I13">
        <v>12.990714285714285</v>
      </c>
      <c r="J13">
        <v>12.420714285714286</v>
      </c>
      <c r="K13">
        <v>14</v>
      </c>
      <c r="M13">
        <v>2006</v>
      </c>
      <c r="N13">
        <v>15.08</v>
      </c>
      <c r="O13">
        <v>14.356666666666667</v>
      </c>
      <c r="P13">
        <v>9</v>
      </c>
    </row>
    <row r="14" spans="1:31" ht="15" customHeight="1" x14ac:dyDescent="0.3">
      <c r="A14" s="42" t="s">
        <v>101</v>
      </c>
      <c r="B14" s="43">
        <v>34974</v>
      </c>
      <c r="C14" s="42" t="s">
        <v>22</v>
      </c>
      <c r="D14" s="44">
        <v>19.03</v>
      </c>
      <c r="E14" s="44">
        <v>19</v>
      </c>
      <c r="F14">
        <v>1995</v>
      </c>
      <c r="H14" s="9">
        <v>2006</v>
      </c>
      <c r="I14">
        <v>15.08</v>
      </c>
      <c r="J14">
        <v>14.356666666666667</v>
      </c>
      <c r="K14">
        <v>9</v>
      </c>
      <c r="M14">
        <v>2007</v>
      </c>
      <c r="N14">
        <v>13.265714285714285</v>
      </c>
      <c r="O14">
        <v>13.102857142857143</v>
      </c>
      <c r="P14">
        <v>14</v>
      </c>
    </row>
    <row r="15" spans="1:31" ht="15" customHeight="1" x14ac:dyDescent="0.3">
      <c r="A15" s="42" t="s">
        <v>103</v>
      </c>
      <c r="B15" s="43">
        <v>35038</v>
      </c>
      <c r="C15" s="42" t="s">
        <v>22</v>
      </c>
      <c r="D15" s="44">
        <v>9.8000000000000007</v>
      </c>
      <c r="E15" s="44">
        <v>9.85</v>
      </c>
      <c r="F15">
        <v>1995</v>
      </c>
      <c r="H15" s="9">
        <v>2007</v>
      </c>
      <c r="I15">
        <v>13.265714285714285</v>
      </c>
      <c r="J15">
        <v>13.102857142857143</v>
      </c>
      <c r="K15">
        <v>14</v>
      </c>
      <c r="M15">
        <v>2008</v>
      </c>
      <c r="N15">
        <v>12.129166666666668</v>
      </c>
      <c r="O15">
        <v>11.504166666666665</v>
      </c>
      <c r="P15">
        <v>12</v>
      </c>
    </row>
    <row r="16" spans="1:31" ht="15" customHeight="1" x14ac:dyDescent="0.3">
      <c r="A16" s="42" t="s">
        <v>495</v>
      </c>
      <c r="B16" s="43">
        <v>35074</v>
      </c>
      <c r="C16" s="42" t="s">
        <v>22</v>
      </c>
      <c r="D16" s="44">
        <v>1.53</v>
      </c>
      <c r="E16" s="44">
        <v>1.96</v>
      </c>
      <c r="F16">
        <v>1996</v>
      </c>
      <c r="H16" s="9">
        <v>2008</v>
      </c>
      <c r="I16">
        <v>12.129166666666668</v>
      </c>
      <c r="J16">
        <v>11.504166666666665</v>
      </c>
      <c r="K16">
        <v>12</v>
      </c>
      <c r="M16">
        <v>2009</v>
      </c>
      <c r="N16">
        <v>11.983076923076924</v>
      </c>
      <c r="O16">
        <v>11.758461538461539</v>
      </c>
      <c r="P16">
        <v>13</v>
      </c>
    </row>
    <row r="17" spans="1:17" ht="15" customHeight="1" x14ac:dyDescent="0.3">
      <c r="A17" s="42" t="s">
        <v>104</v>
      </c>
      <c r="B17" s="43">
        <v>35102</v>
      </c>
      <c r="C17" s="42" t="s">
        <v>22</v>
      </c>
      <c r="D17" s="44">
        <v>1.44</v>
      </c>
      <c r="E17" s="44">
        <v>1.43</v>
      </c>
      <c r="F17">
        <v>1996</v>
      </c>
      <c r="H17" s="9">
        <v>2009</v>
      </c>
      <c r="I17">
        <v>11.983076923076924</v>
      </c>
      <c r="J17">
        <v>11.758461538461539</v>
      </c>
      <c r="K17">
        <v>13</v>
      </c>
      <c r="M17">
        <v>2010</v>
      </c>
      <c r="Q17" t="s">
        <v>536</v>
      </c>
    </row>
    <row r="18" spans="1:17" ht="15" customHeight="1" x14ac:dyDescent="0.3">
      <c r="A18" s="42" t="s">
        <v>105</v>
      </c>
      <c r="B18" s="43">
        <v>35131</v>
      </c>
      <c r="C18" s="42" t="s">
        <v>22</v>
      </c>
      <c r="D18" s="44">
        <v>1.52</v>
      </c>
      <c r="E18" s="44">
        <v>1.52</v>
      </c>
      <c r="F18">
        <v>1996</v>
      </c>
      <c r="H18" s="9">
        <v>2010</v>
      </c>
      <c r="I18">
        <v>8.6987500000000004</v>
      </c>
      <c r="J18">
        <v>8.5500000000000007</v>
      </c>
      <c r="K18">
        <v>8</v>
      </c>
      <c r="M18">
        <v>2011</v>
      </c>
      <c r="N18">
        <v>13.682307692307692</v>
      </c>
      <c r="O18">
        <v>13.490769230769228</v>
      </c>
      <c r="P18">
        <v>13</v>
      </c>
    </row>
    <row r="19" spans="1:17" ht="15" customHeight="1" x14ac:dyDescent="0.3">
      <c r="A19" s="42" t="s">
        <v>106</v>
      </c>
      <c r="B19" s="43">
        <v>35158</v>
      </c>
      <c r="C19" s="42" t="s">
        <v>22</v>
      </c>
      <c r="D19" s="44">
        <v>3.38</v>
      </c>
      <c r="E19" s="44">
        <v>3.37</v>
      </c>
      <c r="F19">
        <v>1996</v>
      </c>
      <c r="H19" s="9">
        <v>2011</v>
      </c>
      <c r="I19">
        <v>13.682307692307692</v>
      </c>
      <c r="J19">
        <v>13.490769230769228</v>
      </c>
      <c r="K19">
        <v>13</v>
      </c>
      <c r="M19">
        <v>2012</v>
      </c>
      <c r="N19">
        <v>14.472142857142856</v>
      </c>
      <c r="O19">
        <v>14.220714285714289</v>
      </c>
      <c r="P19">
        <v>14</v>
      </c>
    </row>
    <row r="20" spans="1:17" ht="15" customHeight="1" x14ac:dyDescent="0.3">
      <c r="A20" s="42" t="s">
        <v>107</v>
      </c>
      <c r="B20" s="43">
        <v>35195</v>
      </c>
      <c r="C20" s="42" t="s">
        <v>22</v>
      </c>
      <c r="D20" s="44">
        <v>7.85</v>
      </c>
      <c r="E20" s="44">
        <v>7.53</v>
      </c>
      <c r="F20">
        <v>1996</v>
      </c>
      <c r="H20" s="9">
        <v>2012</v>
      </c>
      <c r="I20">
        <v>14.472142857142856</v>
      </c>
      <c r="J20">
        <v>14.220714285714289</v>
      </c>
      <c r="K20">
        <v>14</v>
      </c>
      <c r="M20">
        <v>2013</v>
      </c>
      <c r="N20">
        <v>13.544285714285715</v>
      </c>
      <c r="O20">
        <v>13.043571428571427</v>
      </c>
      <c r="P20">
        <v>14</v>
      </c>
    </row>
    <row r="21" spans="1:17" ht="15" customHeight="1" x14ac:dyDescent="0.3">
      <c r="A21" s="42" t="s">
        <v>108</v>
      </c>
      <c r="B21" s="43">
        <v>35221</v>
      </c>
      <c r="C21" s="42" t="s">
        <v>22</v>
      </c>
      <c r="D21" s="44">
        <v>11.9</v>
      </c>
      <c r="E21" s="44">
        <v>11.89</v>
      </c>
      <c r="F21">
        <v>1996</v>
      </c>
      <c r="H21" s="9">
        <v>2013</v>
      </c>
      <c r="I21">
        <v>13.544285714285715</v>
      </c>
      <c r="J21">
        <v>13.043571428571427</v>
      </c>
      <c r="K21">
        <v>14</v>
      </c>
      <c r="M21">
        <v>2014</v>
      </c>
      <c r="N21">
        <v>12.294615384615385</v>
      </c>
      <c r="O21">
        <v>11.865384615384615</v>
      </c>
      <c r="P21">
        <v>13</v>
      </c>
    </row>
    <row r="22" spans="1:17" ht="15" customHeight="1" x14ac:dyDescent="0.3">
      <c r="A22" s="42" t="s">
        <v>110</v>
      </c>
      <c r="B22" s="43">
        <v>35256</v>
      </c>
      <c r="C22" s="42" t="s">
        <v>22</v>
      </c>
      <c r="D22" s="44">
        <v>18.41</v>
      </c>
      <c r="E22" s="44">
        <v>17.5</v>
      </c>
      <c r="F22">
        <v>1996</v>
      </c>
      <c r="H22" s="9">
        <v>2014</v>
      </c>
      <c r="I22">
        <v>12.294615384615385</v>
      </c>
      <c r="J22">
        <v>11.865384615384615</v>
      </c>
      <c r="K22">
        <v>13</v>
      </c>
      <c r="M22">
        <v>2015</v>
      </c>
      <c r="N22">
        <v>11.500833333333333</v>
      </c>
      <c r="O22">
        <v>11.282500000000001</v>
      </c>
      <c r="P22">
        <v>12</v>
      </c>
    </row>
    <row r="23" spans="1:17" ht="15" customHeight="1" x14ac:dyDescent="0.3">
      <c r="A23" s="42" t="s">
        <v>112</v>
      </c>
      <c r="B23" s="43">
        <v>35283</v>
      </c>
      <c r="C23" s="42" t="s">
        <v>22</v>
      </c>
      <c r="D23" s="44">
        <v>18.5</v>
      </c>
      <c r="E23" s="46">
        <v>18.22</v>
      </c>
      <c r="F23">
        <v>1996</v>
      </c>
      <c r="H23" s="9">
        <v>2015</v>
      </c>
      <c r="I23">
        <v>11.500833333333333</v>
      </c>
      <c r="J23">
        <v>11.282500000000001</v>
      </c>
      <c r="K23">
        <v>12</v>
      </c>
      <c r="M23">
        <v>2016</v>
      </c>
      <c r="N23">
        <v>13.80153846153846</v>
      </c>
      <c r="O23">
        <v>13.778461538461539</v>
      </c>
      <c r="P23">
        <v>14</v>
      </c>
    </row>
    <row r="24" spans="1:17" ht="15" customHeight="1" x14ac:dyDescent="0.3">
      <c r="A24" s="42" t="s">
        <v>114</v>
      </c>
      <c r="B24" s="43">
        <v>35312</v>
      </c>
      <c r="C24" s="42" t="s">
        <v>22</v>
      </c>
      <c r="D24" s="44">
        <v>20.56</v>
      </c>
      <c r="E24" s="44">
        <v>19.91</v>
      </c>
      <c r="F24">
        <v>1996</v>
      </c>
      <c r="H24" s="9">
        <v>2016</v>
      </c>
      <c r="I24">
        <v>13.80153846153846</v>
      </c>
      <c r="J24">
        <v>13.778461538461539</v>
      </c>
      <c r="K24">
        <v>14</v>
      </c>
      <c r="M24">
        <v>2017</v>
      </c>
      <c r="N24">
        <v>13.46</v>
      </c>
      <c r="O24">
        <v>13.137692307692308</v>
      </c>
      <c r="P24">
        <v>14</v>
      </c>
    </row>
    <row r="25" spans="1:17" ht="15" customHeight="1" x14ac:dyDescent="0.3">
      <c r="A25" s="42" t="s">
        <v>115</v>
      </c>
      <c r="B25" s="43">
        <v>35340</v>
      </c>
      <c r="C25" s="42" t="s">
        <v>22</v>
      </c>
      <c r="D25" s="44">
        <v>19.02</v>
      </c>
      <c r="E25" s="44">
        <v>18.850000000000001</v>
      </c>
      <c r="F25">
        <v>1996</v>
      </c>
      <c r="H25" s="9">
        <v>2017</v>
      </c>
      <c r="I25">
        <v>13.46</v>
      </c>
      <c r="J25">
        <v>13.137692307692308</v>
      </c>
      <c r="K25">
        <v>14</v>
      </c>
      <c r="M25">
        <v>2018</v>
      </c>
      <c r="N25">
        <v>14.001538461538461</v>
      </c>
      <c r="O25">
        <v>13.618461538461538</v>
      </c>
      <c r="P25">
        <v>14</v>
      </c>
    </row>
    <row r="26" spans="1:17" ht="15" customHeight="1" x14ac:dyDescent="0.3">
      <c r="A26" s="42" t="s">
        <v>116</v>
      </c>
      <c r="B26" s="43">
        <v>35376</v>
      </c>
      <c r="C26" s="42" t="s">
        <v>22</v>
      </c>
      <c r="D26" s="44">
        <v>13.76</v>
      </c>
      <c r="E26" s="44">
        <v>13.52</v>
      </c>
      <c r="F26">
        <v>1996</v>
      </c>
      <c r="H26" s="9">
        <v>2018</v>
      </c>
      <c r="I26">
        <v>14.001538461538461</v>
      </c>
      <c r="J26">
        <v>13.618461538461538</v>
      </c>
      <c r="K26">
        <v>14</v>
      </c>
      <c r="M26">
        <v>2019</v>
      </c>
      <c r="N26">
        <v>13.635714285714284</v>
      </c>
      <c r="O26">
        <v>13.211428571428572</v>
      </c>
      <c r="P26">
        <v>14</v>
      </c>
    </row>
    <row r="27" spans="1:17" ht="15" customHeight="1" x14ac:dyDescent="0.3">
      <c r="A27" s="42" t="s">
        <v>117</v>
      </c>
      <c r="B27" s="43">
        <v>35402</v>
      </c>
      <c r="C27" s="42" t="s">
        <v>22</v>
      </c>
      <c r="D27" s="44">
        <v>9.0500000000000007</v>
      </c>
      <c r="E27" s="44">
        <v>9.2899999999999991</v>
      </c>
      <c r="F27">
        <v>1996</v>
      </c>
      <c r="H27" s="9">
        <v>2019</v>
      </c>
      <c r="I27">
        <v>13.635714285714284</v>
      </c>
      <c r="J27">
        <v>13.211428571428572</v>
      </c>
      <c r="K27">
        <v>14</v>
      </c>
      <c r="M27">
        <v>2020</v>
      </c>
      <c r="N27">
        <v>16.68888888888889</v>
      </c>
      <c r="O27">
        <v>16.217777777777776</v>
      </c>
      <c r="P27">
        <v>10</v>
      </c>
    </row>
    <row r="28" spans="1:17" ht="15" customHeight="1" x14ac:dyDescent="0.3">
      <c r="A28" s="42" t="s">
        <v>496</v>
      </c>
      <c r="B28" s="43">
        <v>35444</v>
      </c>
      <c r="C28" s="42" t="s">
        <v>22</v>
      </c>
      <c r="D28" s="44">
        <v>4.5599999999999996</v>
      </c>
      <c r="E28" s="44">
        <v>4.7</v>
      </c>
      <c r="F28">
        <v>1997</v>
      </c>
      <c r="H28" s="9">
        <v>2020</v>
      </c>
      <c r="I28">
        <v>16.68888888888889</v>
      </c>
      <c r="J28">
        <v>16.217777777777776</v>
      </c>
      <c r="K28">
        <v>10</v>
      </c>
      <c r="M28">
        <v>2021</v>
      </c>
      <c r="N28">
        <v>15.515833333333333</v>
      </c>
      <c r="O28">
        <v>15.106666666666667</v>
      </c>
      <c r="P28">
        <v>12</v>
      </c>
    </row>
    <row r="29" spans="1:17" ht="15" customHeight="1" x14ac:dyDescent="0.3">
      <c r="A29" s="42" t="s">
        <v>118</v>
      </c>
      <c r="B29" s="43">
        <v>35467</v>
      </c>
      <c r="C29" s="42" t="s">
        <v>22</v>
      </c>
      <c r="D29" s="44">
        <v>3.41</v>
      </c>
      <c r="E29" s="44">
        <v>3.42</v>
      </c>
      <c r="F29">
        <v>1997</v>
      </c>
      <c r="H29" s="9">
        <v>2021</v>
      </c>
      <c r="I29">
        <v>15.515833333333333</v>
      </c>
      <c r="J29">
        <v>15.106666666666667</v>
      </c>
      <c r="K29">
        <v>12</v>
      </c>
      <c r="M29">
        <v>2022</v>
      </c>
      <c r="N29">
        <v>14.504166666666668</v>
      </c>
      <c r="O29">
        <v>14.188333333333334</v>
      </c>
      <c r="P29">
        <v>13</v>
      </c>
    </row>
    <row r="30" spans="1:17" ht="15" customHeight="1" x14ac:dyDescent="0.3">
      <c r="A30" s="42" t="s">
        <v>119</v>
      </c>
      <c r="B30" s="43">
        <v>35494</v>
      </c>
      <c r="C30" s="42" t="s">
        <v>22</v>
      </c>
      <c r="D30" s="44">
        <v>3.72</v>
      </c>
      <c r="E30" s="44">
        <v>3.85</v>
      </c>
      <c r="F30">
        <v>1997</v>
      </c>
      <c r="H30" s="9">
        <v>2022</v>
      </c>
      <c r="I30">
        <v>14.504166666666668</v>
      </c>
      <c r="J30">
        <v>14.188333333333334</v>
      </c>
      <c r="K30">
        <v>13</v>
      </c>
      <c r="M30" s="9">
        <v>2023</v>
      </c>
      <c r="N30">
        <v>14.495833333333332</v>
      </c>
      <c r="O30">
        <v>14.010833333333336</v>
      </c>
      <c r="P30">
        <v>12</v>
      </c>
    </row>
    <row r="31" spans="1:17" ht="15" customHeight="1" thickBot="1" x14ac:dyDescent="0.35">
      <c r="A31" s="42" t="s">
        <v>120</v>
      </c>
      <c r="B31" s="43">
        <v>35524</v>
      </c>
      <c r="C31" s="42" t="s">
        <v>22</v>
      </c>
      <c r="D31" s="44">
        <v>5.13</v>
      </c>
      <c r="E31" s="44">
        <v>5.0199999999999996</v>
      </c>
      <c r="F31">
        <v>1997</v>
      </c>
      <c r="H31" s="9">
        <v>2023</v>
      </c>
      <c r="I31">
        <v>14.495833333333332</v>
      </c>
      <c r="J31">
        <v>14.010833333333336</v>
      </c>
      <c r="K31">
        <v>12</v>
      </c>
      <c r="M31" s="122">
        <v>2024</v>
      </c>
      <c r="N31" s="115">
        <v>14.485833333333334</v>
      </c>
      <c r="O31" s="115">
        <v>13.558333333333332</v>
      </c>
      <c r="P31" s="115">
        <v>12</v>
      </c>
    </row>
    <row r="32" spans="1:17" ht="15" customHeight="1" x14ac:dyDescent="0.3">
      <c r="A32" s="42" t="s">
        <v>121</v>
      </c>
      <c r="B32" s="43">
        <v>35555</v>
      </c>
      <c r="C32" s="42" t="s">
        <v>22</v>
      </c>
      <c r="D32" s="44">
        <v>8.3800000000000008</v>
      </c>
      <c r="E32" s="44">
        <v>8.0399999999999991</v>
      </c>
      <c r="F32">
        <v>1997</v>
      </c>
      <c r="H32" s="9">
        <v>2024</v>
      </c>
      <c r="I32">
        <v>14.485833333333334</v>
      </c>
      <c r="J32">
        <v>13.558333333333332</v>
      </c>
      <c r="K32">
        <v>12</v>
      </c>
      <c r="M32" t="s">
        <v>517</v>
      </c>
      <c r="N32">
        <v>13.282427440633249</v>
      </c>
      <c r="O32">
        <v>12.842581066666675</v>
      </c>
      <c r="P32">
        <v>388</v>
      </c>
    </row>
    <row r="33" spans="1:11" ht="15" customHeight="1" x14ac:dyDescent="0.3">
      <c r="A33" s="42" t="s">
        <v>122</v>
      </c>
      <c r="B33" s="43">
        <v>35584</v>
      </c>
      <c r="C33" s="42" t="s">
        <v>22</v>
      </c>
      <c r="D33" s="44">
        <v>11.8</v>
      </c>
      <c r="E33" s="44">
        <v>11.05</v>
      </c>
      <c r="F33">
        <v>1997</v>
      </c>
      <c r="H33" s="9" t="s">
        <v>517</v>
      </c>
      <c r="I33">
        <v>13.282427440633249</v>
      </c>
      <c r="J33">
        <v>12.842581066666675</v>
      </c>
      <c r="K33">
        <v>388</v>
      </c>
    </row>
    <row r="34" spans="1:11" ht="15" customHeight="1" x14ac:dyDescent="0.3">
      <c r="A34" s="42" t="s">
        <v>123</v>
      </c>
      <c r="B34" s="43">
        <v>35611</v>
      </c>
      <c r="C34" s="42" t="s">
        <v>22</v>
      </c>
      <c r="D34" s="44">
        <v>17.7</v>
      </c>
      <c r="E34" s="45"/>
      <c r="F34">
        <v>1997</v>
      </c>
    </row>
    <row r="35" spans="1:11" ht="15" customHeight="1" x14ac:dyDescent="0.3">
      <c r="A35" s="42" t="s">
        <v>491</v>
      </c>
      <c r="B35" s="43">
        <v>35619</v>
      </c>
      <c r="C35" s="42" t="s">
        <v>22</v>
      </c>
      <c r="D35" s="44">
        <v>17.07</v>
      </c>
      <c r="E35" s="44">
        <v>17</v>
      </c>
      <c r="F35">
        <v>1997</v>
      </c>
    </row>
    <row r="36" spans="1:11" ht="15" customHeight="1" x14ac:dyDescent="0.3">
      <c r="A36" s="42" t="s">
        <v>125</v>
      </c>
      <c r="B36" s="43">
        <v>35649</v>
      </c>
      <c r="C36" s="42" t="s">
        <v>22</v>
      </c>
      <c r="D36" s="44">
        <v>20.36</v>
      </c>
      <c r="E36" s="44">
        <v>19.89</v>
      </c>
      <c r="F36">
        <v>1997</v>
      </c>
    </row>
    <row r="37" spans="1:11" ht="15" customHeight="1" x14ac:dyDescent="0.3">
      <c r="A37" s="42" t="s">
        <v>127</v>
      </c>
      <c r="B37" s="43">
        <v>35676</v>
      </c>
      <c r="C37" s="42" t="s">
        <v>22</v>
      </c>
      <c r="D37" s="44">
        <v>21.34</v>
      </c>
      <c r="E37" s="44">
        <v>20.48</v>
      </c>
      <c r="F37">
        <v>1997</v>
      </c>
    </row>
    <row r="38" spans="1:11" ht="15" customHeight="1" x14ac:dyDescent="0.3">
      <c r="A38" s="42" t="s">
        <v>128</v>
      </c>
      <c r="B38" s="43">
        <v>35709</v>
      </c>
      <c r="C38" s="42" t="s">
        <v>22</v>
      </c>
      <c r="D38" s="44">
        <v>17.75</v>
      </c>
      <c r="E38" s="46">
        <v>17.739999999999998</v>
      </c>
      <c r="F38">
        <v>1997</v>
      </c>
    </row>
    <row r="39" spans="1:11" ht="15" customHeight="1" x14ac:dyDescent="0.3">
      <c r="A39" s="42" t="s">
        <v>129</v>
      </c>
      <c r="B39" s="43">
        <v>35739</v>
      </c>
      <c r="C39" s="42" t="s">
        <v>22</v>
      </c>
      <c r="D39" s="44">
        <v>14.47</v>
      </c>
      <c r="E39" s="44">
        <v>14.56</v>
      </c>
      <c r="F39">
        <v>1997</v>
      </c>
    </row>
    <row r="40" spans="1:11" ht="15" customHeight="1" x14ac:dyDescent="0.3">
      <c r="A40" s="42" t="s">
        <v>130</v>
      </c>
      <c r="B40" s="43">
        <v>35769</v>
      </c>
      <c r="C40" s="42" t="s">
        <v>22</v>
      </c>
      <c r="D40" s="44">
        <v>8.6300000000000008</v>
      </c>
      <c r="E40" s="46">
        <v>8.65</v>
      </c>
      <c r="F40">
        <v>1997</v>
      </c>
    </row>
    <row r="41" spans="1:11" ht="15" customHeight="1" x14ac:dyDescent="0.3">
      <c r="A41" s="42" t="s">
        <v>131</v>
      </c>
      <c r="B41" s="43">
        <v>35802</v>
      </c>
      <c r="C41" s="42" t="s">
        <v>22</v>
      </c>
      <c r="D41" s="44">
        <v>5.41</v>
      </c>
      <c r="E41" s="44">
        <v>5.48</v>
      </c>
      <c r="F41">
        <v>1998</v>
      </c>
    </row>
    <row r="42" spans="1:11" ht="15" customHeight="1" x14ac:dyDescent="0.3">
      <c r="A42" s="42" t="s">
        <v>132</v>
      </c>
      <c r="B42" s="43">
        <v>35829</v>
      </c>
      <c r="C42" s="42" t="s">
        <v>22</v>
      </c>
      <c r="D42" s="44">
        <v>4.1500000000000004</v>
      </c>
      <c r="E42" s="44">
        <v>4.1500000000000004</v>
      </c>
      <c r="F42">
        <v>1998</v>
      </c>
    </row>
    <row r="43" spans="1:11" ht="15" customHeight="1" x14ac:dyDescent="0.3">
      <c r="A43" s="42" t="s">
        <v>134</v>
      </c>
      <c r="B43" s="43">
        <v>35853</v>
      </c>
      <c r="C43" s="42" t="s">
        <v>22</v>
      </c>
      <c r="D43" s="44">
        <v>4.28</v>
      </c>
      <c r="E43" s="44">
        <v>4.18</v>
      </c>
      <c r="F43">
        <v>1998</v>
      </c>
    </row>
    <row r="44" spans="1:11" ht="15" customHeight="1" x14ac:dyDescent="0.3">
      <c r="A44" s="42" t="s">
        <v>136</v>
      </c>
      <c r="B44" s="43">
        <v>35899</v>
      </c>
      <c r="C44" s="42" t="s">
        <v>22</v>
      </c>
      <c r="D44" s="44">
        <v>7.11</v>
      </c>
      <c r="E44" s="44">
        <v>6.32</v>
      </c>
      <c r="F44">
        <v>1998</v>
      </c>
    </row>
    <row r="45" spans="1:11" ht="15" customHeight="1" x14ac:dyDescent="0.3">
      <c r="A45" s="42" t="s">
        <v>137</v>
      </c>
      <c r="B45" s="43">
        <v>35923</v>
      </c>
      <c r="C45" s="42" t="s">
        <v>22</v>
      </c>
      <c r="D45" s="45"/>
      <c r="E45" s="44">
        <v>9.4389000000000003</v>
      </c>
      <c r="F45">
        <v>1998</v>
      </c>
    </row>
    <row r="46" spans="1:11" ht="15" customHeight="1" x14ac:dyDescent="0.3">
      <c r="A46" s="42" t="s">
        <v>138</v>
      </c>
      <c r="B46" s="43">
        <v>35954</v>
      </c>
      <c r="C46" s="42" t="s">
        <v>22</v>
      </c>
      <c r="D46" s="44">
        <v>13.58</v>
      </c>
      <c r="E46" s="46">
        <v>13.47</v>
      </c>
      <c r="F46">
        <v>1998</v>
      </c>
    </row>
    <row r="47" spans="1:11" ht="15" customHeight="1" x14ac:dyDescent="0.3">
      <c r="A47" s="42" t="s">
        <v>139</v>
      </c>
      <c r="B47" s="43">
        <v>35970</v>
      </c>
      <c r="C47" s="42" t="s">
        <v>22</v>
      </c>
      <c r="D47" s="44">
        <v>15.59</v>
      </c>
      <c r="E47" s="44">
        <v>15.55</v>
      </c>
      <c r="F47">
        <v>1998</v>
      </c>
    </row>
    <row r="48" spans="1:11" ht="15" customHeight="1" x14ac:dyDescent="0.3">
      <c r="A48" s="42" t="s">
        <v>140</v>
      </c>
      <c r="B48" s="43">
        <v>35983</v>
      </c>
      <c r="C48" s="42" t="s">
        <v>22</v>
      </c>
      <c r="D48" s="44">
        <v>19.34</v>
      </c>
      <c r="E48" s="44">
        <v>17.16</v>
      </c>
      <c r="F48">
        <v>1998</v>
      </c>
    </row>
    <row r="49" spans="1:6" ht="15" customHeight="1" x14ac:dyDescent="0.3">
      <c r="A49" s="42" t="s">
        <v>141</v>
      </c>
      <c r="B49" s="43">
        <v>35997</v>
      </c>
      <c r="C49" s="42" t="s">
        <v>22</v>
      </c>
      <c r="D49" s="44">
        <v>18.04</v>
      </c>
      <c r="E49" s="44">
        <v>18.03</v>
      </c>
      <c r="F49">
        <v>1998</v>
      </c>
    </row>
    <row r="50" spans="1:6" ht="15" customHeight="1" x14ac:dyDescent="0.3">
      <c r="A50" s="42" t="s">
        <v>142</v>
      </c>
      <c r="B50" s="43">
        <v>36012</v>
      </c>
      <c r="C50" s="42" t="s">
        <v>22</v>
      </c>
      <c r="D50" s="44">
        <v>24.15</v>
      </c>
      <c r="E50" s="44">
        <v>19.559999999999999</v>
      </c>
      <c r="F50">
        <v>1998</v>
      </c>
    </row>
    <row r="51" spans="1:6" ht="15" customHeight="1" x14ac:dyDescent="0.3">
      <c r="A51" s="42" t="s">
        <v>143</v>
      </c>
      <c r="B51" s="43">
        <v>36028</v>
      </c>
      <c r="C51" s="42" t="s">
        <v>22</v>
      </c>
      <c r="D51" s="44">
        <v>20.78</v>
      </c>
      <c r="E51" s="44">
        <v>20.2</v>
      </c>
      <c r="F51">
        <v>1998</v>
      </c>
    </row>
    <row r="52" spans="1:6" ht="15" customHeight="1" x14ac:dyDescent="0.3">
      <c r="A52" s="42" t="s">
        <v>144</v>
      </c>
      <c r="B52" s="43">
        <v>36039</v>
      </c>
      <c r="C52" s="42" t="s">
        <v>22</v>
      </c>
      <c r="D52" s="44">
        <v>21.59</v>
      </c>
      <c r="E52" s="44">
        <v>20.6</v>
      </c>
      <c r="F52">
        <v>1998</v>
      </c>
    </row>
    <row r="53" spans="1:6" ht="15" customHeight="1" x14ac:dyDescent="0.3">
      <c r="A53" s="42" t="s">
        <v>146</v>
      </c>
      <c r="B53" s="43">
        <v>36073</v>
      </c>
      <c r="C53" s="42" t="s">
        <v>22</v>
      </c>
      <c r="D53" s="44">
        <v>18.63</v>
      </c>
      <c r="E53" s="44">
        <v>18.55</v>
      </c>
      <c r="F53">
        <v>1998</v>
      </c>
    </row>
    <row r="54" spans="1:6" ht="15" customHeight="1" x14ac:dyDescent="0.3">
      <c r="A54" s="42" t="s">
        <v>147</v>
      </c>
      <c r="B54" s="43">
        <v>36103</v>
      </c>
      <c r="C54" s="42" t="s">
        <v>22</v>
      </c>
      <c r="D54" s="44">
        <v>13.75</v>
      </c>
      <c r="E54" s="44">
        <v>13.77</v>
      </c>
      <c r="F54">
        <v>1998</v>
      </c>
    </row>
    <row r="55" spans="1:6" ht="15" customHeight="1" x14ac:dyDescent="0.3">
      <c r="A55" s="42" t="s">
        <v>148</v>
      </c>
      <c r="B55" s="43">
        <v>36129</v>
      </c>
      <c r="C55" s="42" t="s">
        <v>22</v>
      </c>
      <c r="D55" s="44">
        <v>10.61</v>
      </c>
      <c r="E55" s="44">
        <v>10.61</v>
      </c>
      <c r="F55">
        <v>1998</v>
      </c>
    </row>
    <row r="56" spans="1:6" ht="15" customHeight="1" x14ac:dyDescent="0.3">
      <c r="A56" s="42" t="s">
        <v>149</v>
      </c>
      <c r="B56" s="43">
        <v>36166</v>
      </c>
      <c r="C56" s="42" t="s">
        <v>22</v>
      </c>
      <c r="D56" s="44">
        <v>5.46</v>
      </c>
      <c r="E56" s="44">
        <v>5.54</v>
      </c>
      <c r="F56">
        <v>1999</v>
      </c>
    </row>
    <row r="57" spans="1:6" ht="15" customHeight="1" x14ac:dyDescent="0.3">
      <c r="A57" s="42" t="s">
        <v>150</v>
      </c>
      <c r="B57" s="43">
        <v>36193</v>
      </c>
      <c r="C57" s="42" t="s">
        <v>22</v>
      </c>
      <c r="D57" s="44">
        <v>3.66</v>
      </c>
      <c r="E57" s="44">
        <v>3.66</v>
      </c>
      <c r="F57">
        <v>1999</v>
      </c>
    </row>
    <row r="58" spans="1:6" ht="15" customHeight="1" x14ac:dyDescent="0.3">
      <c r="A58" s="42" t="s">
        <v>152</v>
      </c>
      <c r="B58" s="43">
        <v>36224</v>
      </c>
      <c r="C58" s="42" t="s">
        <v>22</v>
      </c>
      <c r="D58" s="44">
        <v>3.31</v>
      </c>
      <c r="E58" s="44">
        <v>3.72</v>
      </c>
      <c r="F58">
        <v>1999</v>
      </c>
    </row>
    <row r="59" spans="1:6" ht="15" customHeight="1" x14ac:dyDescent="0.3">
      <c r="A59" s="42" t="s">
        <v>154</v>
      </c>
      <c r="B59" s="43">
        <v>36256</v>
      </c>
      <c r="C59" s="42" t="s">
        <v>22</v>
      </c>
      <c r="D59" s="44">
        <v>5.39</v>
      </c>
      <c r="E59" s="44">
        <v>5.44</v>
      </c>
      <c r="F59">
        <v>1999</v>
      </c>
    </row>
    <row r="60" spans="1:6" ht="15" customHeight="1" x14ac:dyDescent="0.3">
      <c r="A60" s="42" t="s">
        <v>155</v>
      </c>
      <c r="B60" s="43">
        <v>36285</v>
      </c>
      <c r="C60" s="42" t="s">
        <v>22</v>
      </c>
      <c r="D60" s="44">
        <v>9.11</v>
      </c>
      <c r="E60" s="44">
        <v>9.0399999999999991</v>
      </c>
      <c r="F60">
        <v>1999</v>
      </c>
    </row>
    <row r="61" spans="1:6" ht="15" customHeight="1" x14ac:dyDescent="0.3">
      <c r="A61" s="42" t="s">
        <v>156</v>
      </c>
      <c r="B61" s="43">
        <v>36313</v>
      </c>
      <c r="C61" s="42" t="s">
        <v>22</v>
      </c>
      <c r="D61" s="44">
        <v>14.33</v>
      </c>
      <c r="E61" s="44">
        <v>13.64</v>
      </c>
      <c r="F61">
        <v>1999</v>
      </c>
    </row>
    <row r="62" spans="1:6" ht="15" customHeight="1" x14ac:dyDescent="0.3">
      <c r="A62" s="42" t="s">
        <v>157</v>
      </c>
      <c r="B62" s="43">
        <v>36333</v>
      </c>
      <c r="C62" s="42" t="s">
        <v>22</v>
      </c>
      <c r="D62" s="44">
        <v>16.760000000000002</v>
      </c>
      <c r="E62" s="45"/>
      <c r="F62">
        <v>1999</v>
      </c>
    </row>
    <row r="63" spans="1:6" ht="15" customHeight="1" x14ac:dyDescent="0.3">
      <c r="A63" s="42" t="s">
        <v>158</v>
      </c>
      <c r="B63" s="43">
        <v>36347</v>
      </c>
      <c r="C63" s="42" t="s">
        <v>22</v>
      </c>
      <c r="D63" s="44">
        <v>20.23</v>
      </c>
      <c r="E63" s="44">
        <v>18.61</v>
      </c>
      <c r="F63">
        <v>1999</v>
      </c>
    </row>
    <row r="64" spans="1:6" ht="15" customHeight="1" x14ac:dyDescent="0.3">
      <c r="A64" s="42" t="s">
        <v>159</v>
      </c>
      <c r="B64" s="43">
        <v>36361</v>
      </c>
      <c r="C64" s="42" t="s">
        <v>22</v>
      </c>
      <c r="D64" s="44">
        <v>19.149999999999999</v>
      </c>
      <c r="E64" s="45"/>
      <c r="F64">
        <v>1999</v>
      </c>
    </row>
    <row r="65" spans="1:6" ht="15" customHeight="1" x14ac:dyDescent="0.3">
      <c r="A65" s="42" t="s">
        <v>160</v>
      </c>
      <c r="B65" s="43">
        <v>36375</v>
      </c>
      <c r="C65" s="42" t="s">
        <v>22</v>
      </c>
      <c r="D65" s="44">
        <v>21.22</v>
      </c>
      <c r="E65" s="44">
        <v>20.27</v>
      </c>
      <c r="F65">
        <v>1999</v>
      </c>
    </row>
    <row r="66" spans="1:6" ht="15" customHeight="1" x14ac:dyDescent="0.3">
      <c r="A66" s="42" t="s">
        <v>161</v>
      </c>
      <c r="B66" s="43">
        <v>36389</v>
      </c>
      <c r="C66" s="42" t="s">
        <v>22</v>
      </c>
      <c r="D66" s="44">
        <v>21.9</v>
      </c>
      <c r="E66" s="45"/>
      <c r="F66">
        <v>1999</v>
      </c>
    </row>
    <row r="67" spans="1:6" ht="15" customHeight="1" x14ac:dyDescent="0.3">
      <c r="A67" s="42" t="s">
        <v>162</v>
      </c>
      <c r="B67" s="43">
        <v>36405</v>
      </c>
      <c r="C67" s="42" t="s">
        <v>22</v>
      </c>
      <c r="D67" s="44">
        <v>21.01</v>
      </c>
      <c r="E67" s="44">
        <v>21.01</v>
      </c>
      <c r="F67">
        <v>1999</v>
      </c>
    </row>
    <row r="68" spans="1:6" ht="15" customHeight="1" x14ac:dyDescent="0.3">
      <c r="A68" s="42" t="s">
        <v>163</v>
      </c>
      <c r="B68" s="43">
        <v>36438</v>
      </c>
      <c r="C68" s="42" t="s">
        <v>22</v>
      </c>
      <c r="D68" s="44">
        <v>19.170000000000002</v>
      </c>
      <c r="E68" s="44">
        <v>19.18</v>
      </c>
      <c r="F68">
        <v>1999</v>
      </c>
    </row>
    <row r="69" spans="1:6" ht="15" customHeight="1" x14ac:dyDescent="0.3">
      <c r="A69" s="42" t="s">
        <v>164</v>
      </c>
      <c r="B69" s="43">
        <v>36472</v>
      </c>
      <c r="C69" s="42" t="s">
        <v>22</v>
      </c>
      <c r="D69" s="44">
        <v>14.09</v>
      </c>
      <c r="E69" s="44">
        <v>14.3</v>
      </c>
      <c r="F69">
        <v>1999</v>
      </c>
    </row>
    <row r="70" spans="1:6" ht="15" customHeight="1" x14ac:dyDescent="0.3">
      <c r="A70" s="42" t="s">
        <v>165</v>
      </c>
      <c r="B70" s="43">
        <v>36502</v>
      </c>
      <c r="C70" s="42" t="s">
        <v>22</v>
      </c>
      <c r="D70" s="44">
        <v>10.37</v>
      </c>
      <c r="E70" s="44">
        <v>10.43</v>
      </c>
      <c r="F70">
        <v>1999</v>
      </c>
    </row>
    <row r="71" spans="1:6" ht="15" customHeight="1" x14ac:dyDescent="0.3">
      <c r="A71" s="42" t="s">
        <v>166</v>
      </c>
      <c r="B71" s="43">
        <v>36538</v>
      </c>
      <c r="C71" s="42" t="s">
        <v>22</v>
      </c>
      <c r="D71" s="44">
        <v>6.22</v>
      </c>
      <c r="E71" s="44">
        <v>6.4</v>
      </c>
      <c r="F71">
        <v>2000</v>
      </c>
    </row>
    <row r="72" spans="1:6" ht="15" customHeight="1" x14ac:dyDescent="0.3">
      <c r="A72" s="42" t="s">
        <v>167</v>
      </c>
      <c r="B72" s="43">
        <v>36559</v>
      </c>
      <c r="C72" s="42" t="s">
        <v>22</v>
      </c>
      <c r="D72" s="44">
        <v>1.95</v>
      </c>
      <c r="E72" s="44">
        <v>2.06</v>
      </c>
      <c r="F72">
        <v>2000</v>
      </c>
    </row>
    <row r="73" spans="1:6" ht="15" customHeight="1" x14ac:dyDescent="0.3">
      <c r="A73" s="42" t="s">
        <v>169</v>
      </c>
      <c r="B73" s="43">
        <v>36586</v>
      </c>
      <c r="C73" s="42" t="s">
        <v>22</v>
      </c>
      <c r="D73" s="44">
        <v>2.74</v>
      </c>
      <c r="E73" s="44">
        <v>2.73</v>
      </c>
      <c r="F73">
        <v>2000</v>
      </c>
    </row>
    <row r="74" spans="1:6" ht="15" customHeight="1" x14ac:dyDescent="0.3">
      <c r="A74" s="42" t="s">
        <v>171</v>
      </c>
      <c r="B74" s="43">
        <v>36621</v>
      </c>
      <c r="C74" s="42" t="s">
        <v>22</v>
      </c>
      <c r="D74" s="44">
        <v>5.48</v>
      </c>
      <c r="E74" s="44">
        <v>5.47</v>
      </c>
      <c r="F74">
        <v>2000</v>
      </c>
    </row>
    <row r="75" spans="1:6" ht="15" customHeight="1" x14ac:dyDescent="0.3">
      <c r="A75" s="42" t="s">
        <v>172</v>
      </c>
      <c r="B75" s="43">
        <v>36647</v>
      </c>
      <c r="C75" s="42" t="s">
        <v>22</v>
      </c>
      <c r="D75" s="44">
        <v>8.23</v>
      </c>
      <c r="E75" s="44">
        <v>7.61</v>
      </c>
      <c r="F75">
        <v>2000</v>
      </c>
    </row>
    <row r="76" spans="1:6" ht="15" customHeight="1" x14ac:dyDescent="0.3">
      <c r="A76" s="42" t="s">
        <v>173</v>
      </c>
      <c r="B76" s="43">
        <v>36678</v>
      </c>
      <c r="C76" s="42" t="s">
        <v>22</v>
      </c>
      <c r="D76" s="44">
        <v>12.32</v>
      </c>
      <c r="E76" s="44">
        <v>12.13</v>
      </c>
      <c r="F76">
        <v>2000</v>
      </c>
    </row>
    <row r="77" spans="1:6" ht="15" customHeight="1" x14ac:dyDescent="0.3">
      <c r="A77" s="42" t="s">
        <v>174</v>
      </c>
      <c r="B77" s="43">
        <v>36699</v>
      </c>
      <c r="C77" s="42" t="s">
        <v>22</v>
      </c>
      <c r="D77" s="44">
        <v>16.97</v>
      </c>
      <c r="E77" s="44">
        <v>15.44</v>
      </c>
      <c r="F77">
        <v>2000</v>
      </c>
    </row>
    <row r="78" spans="1:6" ht="15" customHeight="1" x14ac:dyDescent="0.3">
      <c r="A78" s="42" t="s">
        <v>175</v>
      </c>
      <c r="B78" s="43">
        <v>36713</v>
      </c>
      <c r="C78" s="42" t="s">
        <v>22</v>
      </c>
      <c r="D78" s="44">
        <v>18.53</v>
      </c>
      <c r="E78" s="44">
        <v>18.190000000000001</v>
      </c>
      <c r="F78">
        <v>2000</v>
      </c>
    </row>
    <row r="79" spans="1:6" ht="15" customHeight="1" x14ac:dyDescent="0.3">
      <c r="A79" s="42" t="s">
        <v>176</v>
      </c>
      <c r="B79" s="43">
        <v>36725</v>
      </c>
      <c r="C79" s="42" t="s">
        <v>22</v>
      </c>
      <c r="D79" s="44">
        <v>21.13</v>
      </c>
      <c r="E79" s="44">
        <v>19.489999999999998</v>
      </c>
      <c r="F79">
        <v>2000</v>
      </c>
    </row>
    <row r="80" spans="1:6" ht="15" customHeight="1" x14ac:dyDescent="0.3">
      <c r="A80" s="42" t="s">
        <v>177</v>
      </c>
      <c r="B80" s="43">
        <v>36738</v>
      </c>
      <c r="C80" s="42" t="s">
        <v>22</v>
      </c>
      <c r="D80" s="44">
        <v>19.670000000000002</v>
      </c>
      <c r="E80" s="44">
        <v>19.54</v>
      </c>
      <c r="F80">
        <v>2000</v>
      </c>
    </row>
    <row r="81" spans="1:6" ht="15" customHeight="1" x14ac:dyDescent="0.3">
      <c r="A81" s="42" t="s">
        <v>178</v>
      </c>
      <c r="B81" s="43">
        <v>36753</v>
      </c>
      <c r="C81" s="42" t="s">
        <v>22</v>
      </c>
      <c r="D81" s="44">
        <v>20.59</v>
      </c>
      <c r="E81" s="44">
        <v>20.52</v>
      </c>
      <c r="F81">
        <v>2000</v>
      </c>
    </row>
    <row r="82" spans="1:6" ht="15" customHeight="1" x14ac:dyDescent="0.3">
      <c r="A82" s="42" t="s">
        <v>179</v>
      </c>
      <c r="B82" s="43">
        <v>36767</v>
      </c>
      <c r="C82" s="42" t="s">
        <v>22</v>
      </c>
      <c r="D82" s="44">
        <v>20.74</v>
      </c>
      <c r="E82" s="44">
        <v>20.51</v>
      </c>
      <c r="F82">
        <v>2000</v>
      </c>
    </row>
    <row r="83" spans="1:6" ht="15" customHeight="1" x14ac:dyDescent="0.3">
      <c r="A83" s="42" t="s">
        <v>180</v>
      </c>
      <c r="B83" s="43">
        <v>36803</v>
      </c>
      <c r="C83" s="42" t="s">
        <v>22</v>
      </c>
      <c r="D83" s="44">
        <v>18.600000000000001</v>
      </c>
      <c r="E83" s="44">
        <v>18.489999999999998</v>
      </c>
      <c r="F83">
        <v>2000</v>
      </c>
    </row>
    <row r="84" spans="1:6" ht="15" customHeight="1" x14ac:dyDescent="0.3">
      <c r="A84" s="42" t="s">
        <v>181</v>
      </c>
      <c r="B84" s="43">
        <v>36838</v>
      </c>
      <c r="C84" s="42" t="s">
        <v>22</v>
      </c>
      <c r="D84" s="44">
        <v>13.41</v>
      </c>
      <c r="E84" s="44">
        <v>13.46</v>
      </c>
      <c r="F84">
        <v>2000</v>
      </c>
    </row>
    <row r="85" spans="1:6" ht="15" customHeight="1" x14ac:dyDescent="0.3">
      <c r="A85" s="42" t="s">
        <v>182</v>
      </c>
      <c r="B85" s="43">
        <v>36866</v>
      </c>
      <c r="C85" s="42" t="s">
        <v>22</v>
      </c>
      <c r="D85" s="44">
        <v>8.6</v>
      </c>
      <c r="E85" s="44">
        <v>8.89</v>
      </c>
      <c r="F85">
        <v>2000</v>
      </c>
    </row>
    <row r="86" spans="1:6" ht="15" customHeight="1" x14ac:dyDescent="0.3">
      <c r="A86" s="42" t="s">
        <v>183</v>
      </c>
      <c r="B86" s="43">
        <v>36899</v>
      </c>
      <c r="C86" s="42" t="s">
        <v>22</v>
      </c>
      <c r="D86" s="45"/>
      <c r="E86" s="45"/>
      <c r="F86">
        <v>2001</v>
      </c>
    </row>
    <row r="87" spans="1:6" ht="15" customHeight="1" x14ac:dyDescent="0.3">
      <c r="A87" s="42" t="s">
        <v>184</v>
      </c>
      <c r="B87" s="43">
        <v>36924</v>
      </c>
      <c r="C87" s="42" t="s">
        <v>22</v>
      </c>
      <c r="D87" s="44">
        <v>2.63</v>
      </c>
      <c r="E87" s="44">
        <v>2.91</v>
      </c>
      <c r="F87">
        <v>2001</v>
      </c>
    </row>
    <row r="88" spans="1:6" ht="15" customHeight="1" x14ac:dyDescent="0.3">
      <c r="A88" s="42" t="s">
        <v>186</v>
      </c>
      <c r="B88" s="43">
        <v>36951</v>
      </c>
      <c r="C88" s="42" t="s">
        <v>22</v>
      </c>
      <c r="D88" s="44">
        <v>2.46</v>
      </c>
      <c r="E88" s="44">
        <v>2.44</v>
      </c>
      <c r="F88">
        <v>2001</v>
      </c>
    </row>
    <row r="89" spans="1:6" ht="15" customHeight="1" x14ac:dyDescent="0.3">
      <c r="A89" s="42" t="s">
        <v>187</v>
      </c>
      <c r="B89" s="43">
        <v>36984</v>
      </c>
      <c r="C89" s="42" t="s">
        <v>22</v>
      </c>
      <c r="D89" s="44">
        <v>3.86</v>
      </c>
      <c r="E89" s="44">
        <v>3.81</v>
      </c>
      <c r="F89">
        <v>2001</v>
      </c>
    </row>
    <row r="90" spans="1:6" ht="15" customHeight="1" x14ac:dyDescent="0.3">
      <c r="A90" s="42" t="s">
        <v>188</v>
      </c>
      <c r="B90" s="43">
        <v>37011</v>
      </c>
      <c r="C90" s="42" t="s">
        <v>22</v>
      </c>
      <c r="D90" s="45"/>
      <c r="E90" s="45"/>
      <c r="F90">
        <v>2001</v>
      </c>
    </row>
    <row r="91" spans="1:6" ht="15" customHeight="1" x14ac:dyDescent="0.3">
      <c r="A91" s="42" t="s">
        <v>189</v>
      </c>
      <c r="B91" s="43">
        <v>37046</v>
      </c>
      <c r="C91" s="42" t="s">
        <v>22</v>
      </c>
      <c r="D91" s="44">
        <v>12.83</v>
      </c>
      <c r="E91" s="44">
        <v>12.5</v>
      </c>
      <c r="F91">
        <v>2001</v>
      </c>
    </row>
    <row r="92" spans="1:6" ht="15" customHeight="1" x14ac:dyDescent="0.3">
      <c r="A92" s="42" t="s">
        <v>191</v>
      </c>
      <c r="B92" s="43">
        <v>37081</v>
      </c>
      <c r="C92" s="42" t="s">
        <v>22</v>
      </c>
      <c r="D92" s="44">
        <v>18.87</v>
      </c>
      <c r="E92" s="44">
        <v>18.09</v>
      </c>
      <c r="F92">
        <v>2001</v>
      </c>
    </row>
    <row r="93" spans="1:6" ht="15" customHeight="1" x14ac:dyDescent="0.3">
      <c r="A93" s="42" t="s">
        <v>192</v>
      </c>
      <c r="B93" s="43">
        <v>37096</v>
      </c>
      <c r="C93" s="42" t="s">
        <v>22</v>
      </c>
      <c r="D93" s="46">
        <v>19.87</v>
      </c>
      <c r="E93" s="44">
        <v>19.440000000000001</v>
      </c>
      <c r="F93">
        <v>2001</v>
      </c>
    </row>
    <row r="94" spans="1:6" ht="15" customHeight="1" x14ac:dyDescent="0.3">
      <c r="A94" s="42" t="s">
        <v>193</v>
      </c>
      <c r="B94" s="43">
        <v>37111</v>
      </c>
      <c r="C94" s="42" t="s">
        <v>22</v>
      </c>
      <c r="D94" s="44">
        <v>21.63</v>
      </c>
      <c r="E94" s="46">
        <v>20.18</v>
      </c>
      <c r="F94">
        <v>2001</v>
      </c>
    </row>
    <row r="95" spans="1:6" ht="15" customHeight="1" x14ac:dyDescent="0.3">
      <c r="A95" s="42" t="s">
        <v>194</v>
      </c>
      <c r="B95" s="43">
        <v>37125</v>
      </c>
      <c r="C95" s="42" t="s">
        <v>22</v>
      </c>
      <c r="D95" s="44">
        <v>21.33</v>
      </c>
      <c r="E95" s="44">
        <v>20.71</v>
      </c>
      <c r="F95">
        <v>2001</v>
      </c>
    </row>
    <row r="96" spans="1:6" ht="15" customHeight="1" x14ac:dyDescent="0.3">
      <c r="A96" s="42" t="s">
        <v>196</v>
      </c>
      <c r="B96" s="43">
        <v>37141</v>
      </c>
      <c r="C96" s="42" t="s">
        <v>22</v>
      </c>
      <c r="D96" s="44">
        <v>21.76</v>
      </c>
      <c r="E96" s="44">
        <v>21.52</v>
      </c>
      <c r="F96">
        <v>2001</v>
      </c>
    </row>
    <row r="97" spans="1:6" ht="15" customHeight="1" x14ac:dyDescent="0.3">
      <c r="A97" s="42" t="s">
        <v>198</v>
      </c>
      <c r="B97" s="43">
        <v>37166</v>
      </c>
      <c r="C97" s="42" t="s">
        <v>22</v>
      </c>
      <c r="D97" s="44">
        <v>19.010000000000002</v>
      </c>
      <c r="E97" s="44">
        <v>18.93</v>
      </c>
      <c r="F97">
        <v>2001</v>
      </c>
    </row>
    <row r="98" spans="1:6" ht="15" customHeight="1" x14ac:dyDescent="0.3">
      <c r="A98" s="42" t="s">
        <v>199</v>
      </c>
      <c r="B98" s="43">
        <v>37203</v>
      </c>
      <c r="C98" s="42" t="s">
        <v>22</v>
      </c>
      <c r="D98" s="44">
        <v>14.15</v>
      </c>
      <c r="E98" s="44">
        <v>14.11</v>
      </c>
      <c r="F98">
        <v>2001</v>
      </c>
    </row>
    <row r="99" spans="1:6" ht="15" customHeight="1" x14ac:dyDescent="0.3">
      <c r="A99" s="42" t="s">
        <v>200</v>
      </c>
      <c r="B99" s="43">
        <v>37229</v>
      </c>
      <c r="C99" s="42" t="s">
        <v>22</v>
      </c>
      <c r="D99" s="44">
        <v>11.91</v>
      </c>
      <c r="E99" s="44">
        <v>11.91</v>
      </c>
      <c r="F99">
        <v>2001</v>
      </c>
    </row>
    <row r="100" spans="1:6" ht="15" customHeight="1" x14ac:dyDescent="0.3">
      <c r="A100" s="42" t="s">
        <v>201</v>
      </c>
      <c r="B100" s="43">
        <v>37267</v>
      </c>
      <c r="C100" s="42" t="s">
        <v>22</v>
      </c>
      <c r="D100" s="44">
        <v>6.07</v>
      </c>
      <c r="E100" s="44">
        <v>6.26</v>
      </c>
      <c r="F100">
        <v>2002</v>
      </c>
    </row>
    <row r="101" spans="1:6" ht="15" customHeight="1" x14ac:dyDescent="0.3">
      <c r="A101" s="42" t="s">
        <v>202</v>
      </c>
      <c r="B101" s="43">
        <v>37291</v>
      </c>
      <c r="C101" s="42" t="s">
        <v>22</v>
      </c>
      <c r="D101" s="44">
        <v>4.9800000000000004</v>
      </c>
      <c r="E101" s="44">
        <v>4.9400000000000004</v>
      </c>
      <c r="F101">
        <v>2002</v>
      </c>
    </row>
    <row r="102" spans="1:6" ht="15" customHeight="1" x14ac:dyDescent="0.3">
      <c r="A102" s="42" t="s">
        <v>204</v>
      </c>
      <c r="B102" s="43">
        <v>37320</v>
      </c>
      <c r="C102" s="42" t="s">
        <v>22</v>
      </c>
      <c r="D102" s="44">
        <v>4.71</v>
      </c>
      <c r="E102" s="44">
        <v>4.6500000000000004</v>
      </c>
      <c r="F102">
        <v>2002</v>
      </c>
    </row>
    <row r="103" spans="1:6" ht="15" customHeight="1" x14ac:dyDescent="0.3">
      <c r="A103" s="42" t="s">
        <v>206</v>
      </c>
      <c r="B103" s="43">
        <v>37348</v>
      </c>
      <c r="C103" s="42" t="s">
        <v>22</v>
      </c>
      <c r="D103" s="44">
        <v>5.87</v>
      </c>
      <c r="E103" s="44">
        <v>5.66</v>
      </c>
      <c r="F103">
        <v>2002</v>
      </c>
    </row>
    <row r="104" spans="1:6" ht="15" customHeight="1" x14ac:dyDescent="0.3">
      <c r="A104" s="42" t="s">
        <v>207</v>
      </c>
      <c r="B104" s="43">
        <v>37382</v>
      </c>
      <c r="C104" s="42" t="s">
        <v>22</v>
      </c>
      <c r="D104" s="44">
        <v>9.57</v>
      </c>
      <c r="E104" s="44">
        <v>9.35</v>
      </c>
      <c r="F104">
        <v>2002</v>
      </c>
    </row>
    <row r="105" spans="1:6" ht="15" customHeight="1" x14ac:dyDescent="0.3">
      <c r="A105" s="42" t="s">
        <v>208</v>
      </c>
      <c r="B105" s="43">
        <v>37411</v>
      </c>
      <c r="C105" s="42" t="s">
        <v>22</v>
      </c>
      <c r="D105" s="44">
        <v>13.19</v>
      </c>
      <c r="E105" s="44">
        <v>12.5</v>
      </c>
      <c r="F105">
        <v>2002</v>
      </c>
    </row>
    <row r="106" spans="1:6" ht="15" customHeight="1" x14ac:dyDescent="0.3">
      <c r="A106" s="42" t="s">
        <v>210</v>
      </c>
      <c r="B106" s="43">
        <v>37445</v>
      </c>
      <c r="C106" s="42" t="s">
        <v>22</v>
      </c>
      <c r="D106" s="44">
        <v>20.88</v>
      </c>
      <c r="E106" s="44">
        <v>18.47</v>
      </c>
      <c r="F106">
        <v>2002</v>
      </c>
    </row>
    <row r="107" spans="1:6" ht="15" customHeight="1" x14ac:dyDescent="0.3">
      <c r="A107" s="42" t="s">
        <v>211</v>
      </c>
      <c r="B107" s="43">
        <v>37462</v>
      </c>
      <c r="C107" s="42" t="s">
        <v>22</v>
      </c>
      <c r="D107" s="44">
        <v>20.04</v>
      </c>
      <c r="E107" s="44">
        <v>19.57</v>
      </c>
      <c r="F107">
        <v>2002</v>
      </c>
    </row>
    <row r="108" spans="1:6" ht="15" customHeight="1" x14ac:dyDescent="0.3">
      <c r="A108" s="42" t="s">
        <v>212</v>
      </c>
      <c r="B108" s="43">
        <v>37473</v>
      </c>
      <c r="C108" s="42" t="s">
        <v>22</v>
      </c>
      <c r="D108" s="44">
        <v>22.22</v>
      </c>
      <c r="E108" s="44">
        <v>21.01</v>
      </c>
      <c r="F108">
        <v>2002</v>
      </c>
    </row>
    <row r="109" spans="1:6" ht="15" customHeight="1" x14ac:dyDescent="0.3">
      <c r="A109" s="42" t="s">
        <v>214</v>
      </c>
      <c r="B109" s="43">
        <v>37508</v>
      </c>
      <c r="C109" s="42" t="s">
        <v>22</v>
      </c>
      <c r="D109" s="44">
        <v>21.24</v>
      </c>
      <c r="E109" s="44">
        <v>21.23</v>
      </c>
      <c r="F109">
        <v>2002</v>
      </c>
    </row>
    <row r="110" spans="1:6" ht="15" customHeight="1" x14ac:dyDescent="0.3">
      <c r="A110" s="42" t="s">
        <v>215</v>
      </c>
      <c r="B110" s="43">
        <v>37537</v>
      </c>
      <c r="C110" s="42" t="s">
        <v>22</v>
      </c>
      <c r="D110" s="44">
        <v>19.73</v>
      </c>
      <c r="E110" s="44">
        <v>19.73</v>
      </c>
      <c r="F110">
        <v>2002</v>
      </c>
    </row>
    <row r="111" spans="1:6" ht="15" customHeight="1" x14ac:dyDescent="0.3">
      <c r="A111" s="42" t="s">
        <v>216</v>
      </c>
      <c r="B111" s="43">
        <v>37565</v>
      </c>
      <c r="C111" s="42" t="s">
        <v>22</v>
      </c>
      <c r="D111" s="44">
        <v>13.98</v>
      </c>
      <c r="E111" s="44">
        <v>13.95</v>
      </c>
      <c r="F111">
        <v>2002</v>
      </c>
    </row>
    <row r="112" spans="1:6" ht="15" customHeight="1" x14ac:dyDescent="0.3">
      <c r="A112" s="42" t="s">
        <v>217</v>
      </c>
      <c r="B112" s="43">
        <v>37599</v>
      </c>
      <c r="C112" s="42" t="s">
        <v>22</v>
      </c>
      <c r="D112" s="44">
        <v>6.81</v>
      </c>
      <c r="E112" s="44">
        <v>7.37</v>
      </c>
      <c r="F112">
        <v>2002</v>
      </c>
    </row>
    <row r="113" spans="1:6" ht="15" customHeight="1" x14ac:dyDescent="0.3">
      <c r="A113" s="42" t="s">
        <v>218</v>
      </c>
      <c r="B113" s="43">
        <v>37649</v>
      </c>
      <c r="C113" s="42" t="s">
        <v>22</v>
      </c>
      <c r="D113" s="44">
        <v>1.1200000000000001</v>
      </c>
      <c r="E113" s="44">
        <v>1.1399999999999999</v>
      </c>
      <c r="F113">
        <v>2003</v>
      </c>
    </row>
    <row r="114" spans="1:6" ht="15" customHeight="1" x14ac:dyDescent="0.3">
      <c r="A114" s="42" t="s">
        <v>219</v>
      </c>
      <c r="B114" s="43">
        <v>37684</v>
      </c>
      <c r="C114" s="42" t="s">
        <v>22</v>
      </c>
      <c r="D114" s="44">
        <v>1.02</v>
      </c>
      <c r="E114" s="44">
        <v>1</v>
      </c>
      <c r="F114">
        <v>2003</v>
      </c>
    </row>
    <row r="115" spans="1:6" ht="15" customHeight="1" x14ac:dyDescent="0.3">
      <c r="A115" s="42" t="s">
        <v>221</v>
      </c>
      <c r="B115" s="43">
        <v>37714</v>
      </c>
      <c r="C115" s="42" t="s">
        <v>22</v>
      </c>
      <c r="D115" s="44">
        <v>4.0999999999999996</v>
      </c>
      <c r="E115" s="44">
        <v>3.66</v>
      </c>
      <c r="F115">
        <v>2003</v>
      </c>
    </row>
    <row r="116" spans="1:6" ht="15" customHeight="1" x14ac:dyDescent="0.3">
      <c r="A116" s="42" t="s">
        <v>222</v>
      </c>
      <c r="B116" s="43">
        <v>37746</v>
      </c>
      <c r="C116" s="42" t="s">
        <v>22</v>
      </c>
      <c r="D116" s="44">
        <v>7.29</v>
      </c>
      <c r="E116" s="44">
        <v>6.89</v>
      </c>
      <c r="F116">
        <v>2003</v>
      </c>
    </row>
    <row r="117" spans="1:6" ht="15" customHeight="1" x14ac:dyDescent="0.3">
      <c r="A117" s="42" t="s">
        <v>223</v>
      </c>
      <c r="B117" s="43">
        <v>37775</v>
      </c>
      <c r="C117" s="42" t="s">
        <v>22</v>
      </c>
      <c r="D117" s="44">
        <v>11.28</v>
      </c>
      <c r="E117" s="44">
        <v>11.19</v>
      </c>
      <c r="F117">
        <v>2003</v>
      </c>
    </row>
    <row r="118" spans="1:6" ht="15" customHeight="1" x14ac:dyDescent="0.3">
      <c r="A118" s="42" t="s">
        <v>225</v>
      </c>
      <c r="B118" s="43">
        <v>37809</v>
      </c>
      <c r="C118" s="42" t="s">
        <v>22</v>
      </c>
      <c r="D118" s="46">
        <v>18.260000000000002</v>
      </c>
      <c r="E118" s="44">
        <v>17.13</v>
      </c>
      <c r="F118">
        <v>2003</v>
      </c>
    </row>
    <row r="119" spans="1:6" ht="15" customHeight="1" x14ac:dyDescent="0.3">
      <c r="A119" s="42" t="s">
        <v>226</v>
      </c>
      <c r="B119" s="43">
        <v>37826</v>
      </c>
      <c r="C119" s="42" t="s">
        <v>22</v>
      </c>
      <c r="D119" s="44">
        <v>19.98</v>
      </c>
      <c r="E119" s="44">
        <v>17.98</v>
      </c>
      <c r="F119">
        <v>2003</v>
      </c>
    </row>
    <row r="120" spans="1:6" ht="15" customHeight="1" x14ac:dyDescent="0.3">
      <c r="A120" s="42" t="s">
        <v>227</v>
      </c>
      <c r="B120" s="43">
        <v>37837</v>
      </c>
      <c r="C120" s="42" t="s">
        <v>22</v>
      </c>
      <c r="D120" s="44">
        <v>21.63</v>
      </c>
      <c r="E120" s="44">
        <v>19.420000000000002</v>
      </c>
      <c r="F120">
        <v>2003</v>
      </c>
    </row>
    <row r="121" spans="1:6" ht="15" customHeight="1" x14ac:dyDescent="0.3">
      <c r="A121" s="42" t="s">
        <v>228</v>
      </c>
      <c r="B121" s="43">
        <v>37852</v>
      </c>
      <c r="C121" s="42" t="s">
        <v>22</v>
      </c>
      <c r="D121" s="44">
        <v>20.51</v>
      </c>
      <c r="E121" s="44">
        <v>20.23</v>
      </c>
      <c r="F121">
        <v>2003</v>
      </c>
    </row>
    <row r="122" spans="1:6" ht="15" customHeight="1" x14ac:dyDescent="0.3">
      <c r="A122" s="42" t="s">
        <v>229</v>
      </c>
      <c r="B122" s="43">
        <v>37873</v>
      </c>
      <c r="C122" s="42" t="s">
        <v>22</v>
      </c>
      <c r="D122" s="44">
        <v>19.309999999999999</v>
      </c>
      <c r="E122" s="44">
        <v>19.22</v>
      </c>
      <c r="F122">
        <v>2003</v>
      </c>
    </row>
    <row r="123" spans="1:6" ht="15" customHeight="1" x14ac:dyDescent="0.3">
      <c r="A123" s="42" t="s">
        <v>231</v>
      </c>
      <c r="B123" s="43">
        <v>37928</v>
      </c>
      <c r="C123" s="42" t="s">
        <v>22</v>
      </c>
      <c r="D123" s="44">
        <v>14.91</v>
      </c>
      <c r="E123" s="44">
        <v>14.74</v>
      </c>
      <c r="F123">
        <v>2003</v>
      </c>
    </row>
    <row r="124" spans="1:6" ht="15" customHeight="1" x14ac:dyDescent="0.3">
      <c r="A124" s="42" t="s">
        <v>232</v>
      </c>
      <c r="B124" s="43">
        <v>37963</v>
      </c>
      <c r="C124" s="42" t="s">
        <v>22</v>
      </c>
      <c r="D124" s="44">
        <v>7.93</v>
      </c>
      <c r="E124" s="44">
        <v>8.09</v>
      </c>
      <c r="F124">
        <v>2003</v>
      </c>
    </row>
    <row r="125" spans="1:6" ht="15" customHeight="1" x14ac:dyDescent="0.3">
      <c r="A125" s="42" t="s">
        <v>497</v>
      </c>
      <c r="B125" s="43">
        <v>37991</v>
      </c>
      <c r="C125" s="42" t="s">
        <v>22</v>
      </c>
      <c r="D125" s="44">
        <v>5.81</v>
      </c>
      <c r="E125" s="44">
        <v>6.13</v>
      </c>
      <c r="F125">
        <v>2004</v>
      </c>
    </row>
    <row r="126" spans="1:6" ht="15" customHeight="1" x14ac:dyDescent="0.3">
      <c r="A126" s="42" t="s">
        <v>233</v>
      </c>
      <c r="B126" s="43">
        <v>38022</v>
      </c>
      <c r="C126" s="42" t="s">
        <v>22</v>
      </c>
      <c r="D126" s="44">
        <v>0.91</v>
      </c>
      <c r="E126" s="44">
        <v>0.99</v>
      </c>
      <c r="F126">
        <v>2004</v>
      </c>
    </row>
    <row r="127" spans="1:6" ht="15" customHeight="1" x14ac:dyDescent="0.3">
      <c r="A127" s="42" t="s">
        <v>235</v>
      </c>
      <c r="B127" s="43">
        <v>38050</v>
      </c>
      <c r="C127" s="42" t="s">
        <v>22</v>
      </c>
      <c r="D127" s="44">
        <v>2.0099999999999998</v>
      </c>
      <c r="E127" s="44">
        <v>2.2000000000000002</v>
      </c>
      <c r="F127">
        <v>2004</v>
      </c>
    </row>
    <row r="128" spans="1:6" ht="15" customHeight="1" x14ac:dyDescent="0.3">
      <c r="A128" s="42" t="s">
        <v>237</v>
      </c>
      <c r="B128" s="43">
        <v>38084</v>
      </c>
      <c r="C128" s="42" t="s">
        <v>22</v>
      </c>
      <c r="D128" s="44">
        <v>3.86</v>
      </c>
      <c r="E128" s="44">
        <v>3.83</v>
      </c>
      <c r="F128">
        <v>2004</v>
      </c>
    </row>
    <row r="129" spans="1:6" ht="15" customHeight="1" x14ac:dyDescent="0.3">
      <c r="A129" s="42" t="s">
        <v>238</v>
      </c>
      <c r="B129" s="43">
        <v>38112</v>
      </c>
      <c r="C129" s="42" t="s">
        <v>22</v>
      </c>
      <c r="D129" s="44">
        <v>7.64</v>
      </c>
      <c r="E129" s="44">
        <v>7.61</v>
      </c>
      <c r="F129">
        <v>2004</v>
      </c>
    </row>
    <row r="130" spans="1:6" ht="15" customHeight="1" x14ac:dyDescent="0.3">
      <c r="A130" s="42" t="s">
        <v>239</v>
      </c>
      <c r="B130" s="43">
        <v>38139</v>
      </c>
      <c r="C130" s="42" t="s">
        <v>22</v>
      </c>
      <c r="D130" s="44">
        <v>12.24</v>
      </c>
      <c r="E130" s="44">
        <v>12.02</v>
      </c>
      <c r="F130">
        <v>2004</v>
      </c>
    </row>
    <row r="131" spans="1:6" ht="15" customHeight="1" x14ac:dyDescent="0.3">
      <c r="A131" s="42" t="s">
        <v>240</v>
      </c>
      <c r="B131" s="43">
        <v>38166</v>
      </c>
      <c r="C131" s="42" t="s">
        <v>22</v>
      </c>
      <c r="D131" s="44">
        <v>16.48</v>
      </c>
      <c r="E131" s="44">
        <v>15.86</v>
      </c>
      <c r="F131">
        <v>2004</v>
      </c>
    </row>
    <row r="132" spans="1:6" ht="15" customHeight="1" x14ac:dyDescent="0.3">
      <c r="A132" s="42" t="s">
        <v>241</v>
      </c>
      <c r="B132" s="43">
        <v>38176</v>
      </c>
      <c r="C132" s="42" t="s">
        <v>22</v>
      </c>
      <c r="D132" s="44">
        <v>18.559999999999999</v>
      </c>
      <c r="E132" s="44">
        <v>18.07</v>
      </c>
      <c r="F132">
        <v>2004</v>
      </c>
    </row>
    <row r="133" spans="1:6" ht="15" customHeight="1" x14ac:dyDescent="0.3">
      <c r="A133" s="42" t="s">
        <v>242</v>
      </c>
      <c r="B133" s="43">
        <v>38187</v>
      </c>
      <c r="C133" s="42" t="s">
        <v>22</v>
      </c>
      <c r="D133" s="44">
        <v>18.57</v>
      </c>
      <c r="E133" s="44">
        <v>18.45</v>
      </c>
      <c r="F133">
        <v>2004</v>
      </c>
    </row>
    <row r="134" spans="1:6" ht="15" customHeight="1" x14ac:dyDescent="0.3">
      <c r="A134" s="42" t="s">
        <v>243</v>
      </c>
      <c r="B134" s="43">
        <v>38201</v>
      </c>
      <c r="C134" s="42" t="s">
        <v>22</v>
      </c>
      <c r="D134" s="44">
        <v>20.11</v>
      </c>
      <c r="E134" s="44">
        <v>20.09</v>
      </c>
      <c r="F134">
        <v>2004</v>
      </c>
    </row>
    <row r="135" spans="1:6" ht="15" customHeight="1" x14ac:dyDescent="0.3">
      <c r="A135" s="42" t="s">
        <v>244</v>
      </c>
      <c r="B135" s="43">
        <v>38218</v>
      </c>
      <c r="C135" s="42" t="s">
        <v>22</v>
      </c>
      <c r="D135" s="44">
        <v>21.37</v>
      </c>
      <c r="E135" s="44">
        <v>20.29</v>
      </c>
      <c r="F135">
        <v>2004</v>
      </c>
    </row>
    <row r="136" spans="1:6" ht="15" customHeight="1" x14ac:dyDescent="0.3">
      <c r="A136" s="42" t="s">
        <v>245</v>
      </c>
      <c r="B136" s="43">
        <v>38230</v>
      </c>
      <c r="C136" s="42" t="s">
        <v>22</v>
      </c>
      <c r="D136" s="44">
        <v>20.420000000000002</v>
      </c>
      <c r="E136" s="44">
        <v>20.420000000000002</v>
      </c>
      <c r="F136">
        <v>2004</v>
      </c>
    </row>
    <row r="137" spans="1:6" ht="15" customHeight="1" x14ac:dyDescent="0.3">
      <c r="A137" s="42" t="s">
        <v>246</v>
      </c>
      <c r="B137" s="43">
        <v>38266</v>
      </c>
      <c r="C137" s="42" t="s">
        <v>22</v>
      </c>
      <c r="D137" s="44">
        <v>19.48</v>
      </c>
      <c r="E137" s="44">
        <v>19.260000000000002</v>
      </c>
      <c r="F137">
        <v>2004</v>
      </c>
    </row>
    <row r="138" spans="1:6" ht="15" customHeight="1" x14ac:dyDescent="0.3">
      <c r="A138" s="42" t="s">
        <v>247</v>
      </c>
      <c r="B138" s="43">
        <v>38320</v>
      </c>
      <c r="C138" s="42" t="s">
        <v>22</v>
      </c>
      <c r="D138" s="44">
        <v>10.79</v>
      </c>
      <c r="E138" s="44">
        <v>10.8</v>
      </c>
      <c r="F138">
        <v>2004</v>
      </c>
    </row>
    <row r="139" spans="1:6" ht="15" customHeight="1" x14ac:dyDescent="0.3">
      <c r="A139" s="42" t="s">
        <v>248</v>
      </c>
      <c r="B139" s="43">
        <v>38362</v>
      </c>
      <c r="C139" s="42" t="s">
        <v>22</v>
      </c>
      <c r="D139" s="44">
        <v>5.74</v>
      </c>
      <c r="E139" s="44">
        <v>5.74</v>
      </c>
      <c r="F139">
        <v>2005</v>
      </c>
    </row>
    <row r="140" spans="1:6" ht="15" customHeight="1" x14ac:dyDescent="0.3">
      <c r="A140" s="42" t="s">
        <v>249</v>
      </c>
      <c r="B140" s="43">
        <v>38385</v>
      </c>
      <c r="C140" s="42" t="s">
        <v>22</v>
      </c>
      <c r="D140" s="44">
        <v>1.79</v>
      </c>
      <c r="E140" s="44">
        <v>2.16</v>
      </c>
      <c r="F140">
        <v>2005</v>
      </c>
    </row>
    <row r="141" spans="1:6" ht="15" customHeight="1" x14ac:dyDescent="0.3">
      <c r="A141" s="42" t="s">
        <v>250</v>
      </c>
      <c r="B141" s="43">
        <v>38418</v>
      </c>
      <c r="C141" s="42" t="s">
        <v>22</v>
      </c>
      <c r="D141" s="44">
        <v>1.94</v>
      </c>
      <c r="E141" s="44">
        <v>1.89</v>
      </c>
      <c r="F141">
        <v>2005</v>
      </c>
    </row>
    <row r="142" spans="1:6" ht="15" customHeight="1" x14ac:dyDescent="0.3">
      <c r="A142" s="42" t="s">
        <v>251</v>
      </c>
      <c r="B142" s="43">
        <v>38447</v>
      </c>
      <c r="C142" s="42" t="s">
        <v>22</v>
      </c>
      <c r="D142" s="44">
        <v>3.66</v>
      </c>
      <c r="E142" s="44">
        <v>3.48</v>
      </c>
      <c r="F142">
        <v>2005</v>
      </c>
    </row>
    <row r="143" spans="1:6" ht="15" customHeight="1" x14ac:dyDescent="0.3">
      <c r="A143" s="42" t="s">
        <v>252</v>
      </c>
      <c r="B143" s="43">
        <v>38477</v>
      </c>
      <c r="C143" s="42" t="s">
        <v>22</v>
      </c>
      <c r="D143" s="44">
        <v>9.15</v>
      </c>
      <c r="E143" s="44">
        <v>7.93</v>
      </c>
      <c r="F143">
        <v>2005</v>
      </c>
    </row>
    <row r="144" spans="1:6" ht="15" customHeight="1" x14ac:dyDescent="0.3">
      <c r="A144" s="42" t="s">
        <v>253</v>
      </c>
      <c r="B144" s="43">
        <v>38509</v>
      </c>
      <c r="C144" s="42" t="s">
        <v>22</v>
      </c>
      <c r="D144" s="46">
        <v>13.87</v>
      </c>
      <c r="E144" s="46">
        <v>12.9</v>
      </c>
      <c r="F144">
        <v>2005</v>
      </c>
    </row>
    <row r="145" spans="1:6" ht="15" customHeight="1" x14ac:dyDescent="0.3">
      <c r="A145" s="42" t="s">
        <v>255</v>
      </c>
      <c r="B145" s="43">
        <v>38540</v>
      </c>
      <c r="C145" s="42" t="s">
        <v>22</v>
      </c>
      <c r="D145" s="44">
        <v>16.73</v>
      </c>
      <c r="E145" s="44">
        <v>16.690000000000001</v>
      </c>
      <c r="F145">
        <v>2005</v>
      </c>
    </row>
    <row r="146" spans="1:6" ht="15" customHeight="1" x14ac:dyDescent="0.3">
      <c r="A146" s="42" t="s">
        <v>256</v>
      </c>
      <c r="B146" s="43">
        <v>38551</v>
      </c>
      <c r="C146" s="42" t="s">
        <v>22</v>
      </c>
      <c r="D146" s="44">
        <v>19.690000000000001</v>
      </c>
      <c r="E146" s="44">
        <v>17.55</v>
      </c>
      <c r="F146">
        <v>2005</v>
      </c>
    </row>
    <row r="147" spans="1:6" ht="15" customHeight="1" x14ac:dyDescent="0.3">
      <c r="A147" s="42" t="s">
        <v>257</v>
      </c>
      <c r="B147" s="43">
        <v>38566</v>
      </c>
      <c r="C147" s="42" t="s">
        <v>22</v>
      </c>
      <c r="D147" s="44">
        <v>21.18</v>
      </c>
      <c r="E147" s="44">
        <v>19.690000000000001</v>
      </c>
      <c r="F147">
        <v>2005</v>
      </c>
    </row>
    <row r="148" spans="1:6" ht="15" customHeight="1" x14ac:dyDescent="0.3">
      <c r="A148" s="42" t="s">
        <v>258</v>
      </c>
      <c r="B148" s="43">
        <v>38580</v>
      </c>
      <c r="C148" s="42" t="s">
        <v>22</v>
      </c>
      <c r="D148" s="44">
        <v>22.3</v>
      </c>
      <c r="E148" s="44">
        <v>20.55</v>
      </c>
      <c r="F148">
        <v>2005</v>
      </c>
    </row>
    <row r="149" spans="1:6" ht="15" customHeight="1" x14ac:dyDescent="0.3">
      <c r="A149" s="42" t="s">
        <v>259</v>
      </c>
      <c r="B149" s="43">
        <v>38593</v>
      </c>
      <c r="C149" s="42" t="s">
        <v>22</v>
      </c>
      <c r="D149" s="44">
        <v>22.35</v>
      </c>
      <c r="E149" s="44">
        <v>21.26</v>
      </c>
      <c r="F149">
        <v>2005</v>
      </c>
    </row>
    <row r="150" spans="1:6" ht="15" customHeight="1" x14ac:dyDescent="0.3">
      <c r="A150" s="42" t="s">
        <v>261</v>
      </c>
      <c r="B150" s="43">
        <v>38631</v>
      </c>
      <c r="C150" s="42" t="s">
        <v>22</v>
      </c>
      <c r="D150" s="44">
        <v>20.11</v>
      </c>
      <c r="E150" s="44">
        <v>20.05</v>
      </c>
      <c r="F150">
        <v>2005</v>
      </c>
    </row>
    <row r="151" spans="1:6" ht="15" customHeight="1" x14ac:dyDescent="0.3">
      <c r="A151" s="42" t="s">
        <v>262</v>
      </c>
      <c r="B151" s="43">
        <v>38670</v>
      </c>
      <c r="C151" s="42" t="s">
        <v>22</v>
      </c>
      <c r="D151" s="44">
        <v>13.54</v>
      </c>
      <c r="E151" s="44">
        <v>13.53</v>
      </c>
      <c r="F151">
        <v>2005</v>
      </c>
    </row>
    <row r="152" spans="1:6" ht="15" customHeight="1" x14ac:dyDescent="0.3">
      <c r="A152" s="42" t="s">
        <v>263</v>
      </c>
      <c r="B152" s="43">
        <v>38691</v>
      </c>
      <c r="C152" s="42" t="s">
        <v>22</v>
      </c>
      <c r="D152" s="44">
        <v>9.82</v>
      </c>
      <c r="E152" s="44">
        <v>10.47</v>
      </c>
      <c r="F152">
        <v>2005</v>
      </c>
    </row>
    <row r="153" spans="1:6" ht="15" customHeight="1" x14ac:dyDescent="0.3">
      <c r="A153" s="42" t="s">
        <v>498</v>
      </c>
      <c r="B153" s="43">
        <v>38818</v>
      </c>
      <c r="C153" s="42" t="s">
        <v>22</v>
      </c>
      <c r="D153" s="44">
        <v>6.65</v>
      </c>
      <c r="E153" s="44">
        <v>6.16</v>
      </c>
      <c r="F153">
        <v>2006</v>
      </c>
    </row>
    <row r="154" spans="1:6" ht="15" customHeight="1" x14ac:dyDescent="0.3">
      <c r="A154" s="42" t="s">
        <v>265</v>
      </c>
      <c r="B154" s="43">
        <v>38839</v>
      </c>
      <c r="C154" s="42" t="s">
        <v>22</v>
      </c>
      <c r="D154" s="44">
        <v>8.9600000000000009</v>
      </c>
      <c r="E154" s="44">
        <v>8.93</v>
      </c>
      <c r="F154">
        <v>2006</v>
      </c>
    </row>
    <row r="155" spans="1:6" ht="15" customHeight="1" x14ac:dyDescent="0.3">
      <c r="A155" s="42" t="s">
        <v>266</v>
      </c>
      <c r="B155" s="43">
        <v>38874</v>
      </c>
      <c r="C155" s="42" t="s">
        <v>22</v>
      </c>
      <c r="D155" s="44">
        <v>13.92</v>
      </c>
      <c r="E155" s="44">
        <v>12.82</v>
      </c>
      <c r="F155">
        <v>2006</v>
      </c>
    </row>
    <row r="156" spans="1:6" ht="15" customHeight="1" x14ac:dyDescent="0.3">
      <c r="A156" s="42" t="s">
        <v>268</v>
      </c>
      <c r="B156" s="43">
        <v>38904</v>
      </c>
      <c r="C156" s="42" t="s">
        <v>22</v>
      </c>
      <c r="D156" s="44">
        <v>20.5</v>
      </c>
      <c r="E156" s="44">
        <v>18.260000000000002</v>
      </c>
      <c r="F156">
        <v>2006</v>
      </c>
    </row>
    <row r="157" spans="1:6" ht="15" customHeight="1" x14ac:dyDescent="0.3">
      <c r="A157" s="42" t="s">
        <v>270</v>
      </c>
      <c r="B157" s="43">
        <v>38930</v>
      </c>
      <c r="C157" s="42" t="s">
        <v>22</v>
      </c>
      <c r="D157" s="44">
        <v>23.31</v>
      </c>
      <c r="E157" s="44">
        <v>20.57</v>
      </c>
      <c r="F157">
        <v>2006</v>
      </c>
    </row>
    <row r="158" spans="1:6" ht="15" customHeight="1" x14ac:dyDescent="0.3">
      <c r="A158" s="42" t="s">
        <v>272</v>
      </c>
      <c r="B158" s="43">
        <v>38958</v>
      </c>
      <c r="C158" s="42" t="s">
        <v>22</v>
      </c>
      <c r="D158" s="44">
        <v>20.98</v>
      </c>
      <c r="E158" s="44">
        <v>20.48</v>
      </c>
      <c r="F158">
        <v>2006</v>
      </c>
    </row>
    <row r="159" spans="1:6" ht="15" customHeight="1" x14ac:dyDescent="0.3">
      <c r="A159" s="42" t="s">
        <v>273</v>
      </c>
      <c r="B159" s="43">
        <v>38993</v>
      </c>
      <c r="C159" s="42" t="s">
        <v>22</v>
      </c>
      <c r="D159" s="44">
        <v>18.98</v>
      </c>
      <c r="E159" s="44">
        <v>18.940000000000001</v>
      </c>
      <c r="F159">
        <v>2006</v>
      </c>
    </row>
    <row r="160" spans="1:6" ht="15" customHeight="1" x14ac:dyDescent="0.3">
      <c r="A160" s="42" t="s">
        <v>274</v>
      </c>
      <c r="B160" s="43">
        <v>39028</v>
      </c>
      <c r="C160" s="42" t="s">
        <v>22</v>
      </c>
      <c r="D160" s="46">
        <v>13.33</v>
      </c>
      <c r="E160" s="44">
        <v>13.34</v>
      </c>
      <c r="F160">
        <v>2006</v>
      </c>
    </row>
    <row r="161" spans="1:6" ht="15" customHeight="1" x14ac:dyDescent="0.3">
      <c r="A161" s="42" t="s">
        <v>275</v>
      </c>
      <c r="B161" s="43">
        <v>39063</v>
      </c>
      <c r="C161" s="42" t="s">
        <v>22</v>
      </c>
      <c r="D161" s="44">
        <v>9.09</v>
      </c>
      <c r="E161" s="44">
        <v>9.7100000000000009</v>
      </c>
      <c r="F161">
        <v>2006</v>
      </c>
    </row>
    <row r="162" spans="1:6" ht="15" customHeight="1" x14ac:dyDescent="0.3">
      <c r="A162" s="42" t="s">
        <v>276</v>
      </c>
      <c r="B162" s="43">
        <v>39093</v>
      </c>
      <c r="C162" s="42" t="s">
        <v>22</v>
      </c>
      <c r="D162" s="44">
        <v>7.77</v>
      </c>
      <c r="E162" s="44">
        <v>7.86</v>
      </c>
      <c r="F162">
        <v>2007</v>
      </c>
    </row>
    <row r="163" spans="1:6" ht="15" customHeight="1" x14ac:dyDescent="0.3">
      <c r="A163" s="42" t="s">
        <v>277</v>
      </c>
      <c r="B163" s="43">
        <v>39114</v>
      </c>
      <c r="C163" s="42" t="s">
        <v>22</v>
      </c>
      <c r="D163" s="44">
        <v>4.93</v>
      </c>
      <c r="E163" s="44">
        <v>5.38</v>
      </c>
      <c r="F163">
        <v>2007</v>
      </c>
    </row>
    <row r="164" spans="1:6" ht="15" customHeight="1" x14ac:dyDescent="0.3">
      <c r="A164" s="42" t="s">
        <v>278</v>
      </c>
      <c r="B164" s="43">
        <v>39142</v>
      </c>
      <c r="C164" s="42" t="s">
        <v>22</v>
      </c>
      <c r="D164" s="44">
        <v>2.04</v>
      </c>
      <c r="E164" s="44">
        <v>2.16</v>
      </c>
      <c r="F164">
        <v>2007</v>
      </c>
    </row>
    <row r="165" spans="1:6" ht="15" customHeight="1" x14ac:dyDescent="0.3">
      <c r="A165" s="42" t="s">
        <v>280</v>
      </c>
      <c r="B165" s="43">
        <v>39174</v>
      </c>
      <c r="C165" s="42" t="s">
        <v>22</v>
      </c>
      <c r="D165" s="44">
        <v>4.26</v>
      </c>
      <c r="E165" s="44">
        <v>4.1500000000000004</v>
      </c>
      <c r="F165">
        <v>2007</v>
      </c>
    </row>
    <row r="166" spans="1:6" ht="15" customHeight="1" x14ac:dyDescent="0.3">
      <c r="A166" s="42" t="s">
        <v>281</v>
      </c>
      <c r="B166" s="43">
        <v>39209</v>
      </c>
      <c r="C166" s="42" t="s">
        <v>22</v>
      </c>
      <c r="D166" s="44">
        <v>8.34</v>
      </c>
      <c r="E166" s="44">
        <v>8.0299999999999994</v>
      </c>
      <c r="F166">
        <v>2007</v>
      </c>
    </row>
    <row r="167" spans="1:6" ht="15" customHeight="1" x14ac:dyDescent="0.3">
      <c r="A167" s="42" t="s">
        <v>282</v>
      </c>
      <c r="B167" s="43">
        <v>39238</v>
      </c>
      <c r="C167" s="42" t="s">
        <v>22</v>
      </c>
      <c r="D167" s="44">
        <v>13.95</v>
      </c>
      <c r="E167" s="44">
        <v>13.38</v>
      </c>
      <c r="F167">
        <v>2007</v>
      </c>
    </row>
    <row r="168" spans="1:6" ht="15" customHeight="1" x14ac:dyDescent="0.3">
      <c r="A168" s="42" t="s">
        <v>284</v>
      </c>
      <c r="B168" s="43">
        <v>39272</v>
      </c>
      <c r="C168" s="42" t="s">
        <v>22</v>
      </c>
      <c r="D168" s="44">
        <v>18.27</v>
      </c>
      <c r="E168" s="44">
        <v>17.62</v>
      </c>
      <c r="F168">
        <v>2007</v>
      </c>
    </row>
    <row r="169" spans="1:6" ht="15" customHeight="1" x14ac:dyDescent="0.3">
      <c r="A169" s="42" t="s">
        <v>285</v>
      </c>
      <c r="B169" s="43">
        <v>39282</v>
      </c>
      <c r="C169" s="42" t="s">
        <v>22</v>
      </c>
      <c r="D169" s="44">
        <v>19.5</v>
      </c>
      <c r="E169" s="44">
        <v>18.920000000000002</v>
      </c>
      <c r="F169">
        <v>2007</v>
      </c>
    </row>
    <row r="170" spans="1:6" ht="15" customHeight="1" x14ac:dyDescent="0.3">
      <c r="A170" s="42" t="s">
        <v>286</v>
      </c>
      <c r="B170" s="43">
        <v>39293</v>
      </c>
      <c r="C170" s="42" t="s">
        <v>22</v>
      </c>
      <c r="D170" s="44">
        <v>19.559999999999999</v>
      </c>
      <c r="E170" s="44">
        <v>19.46</v>
      </c>
      <c r="F170">
        <v>2007</v>
      </c>
    </row>
    <row r="171" spans="1:6" ht="15" customHeight="1" x14ac:dyDescent="0.3">
      <c r="A171" s="42" t="s">
        <v>287</v>
      </c>
      <c r="B171" s="43">
        <v>39307</v>
      </c>
      <c r="C171" s="42" t="s">
        <v>22</v>
      </c>
      <c r="D171" s="44">
        <v>21.84</v>
      </c>
      <c r="E171" s="44">
        <v>21.38</v>
      </c>
      <c r="F171">
        <v>2007</v>
      </c>
    </row>
    <row r="172" spans="1:6" ht="15" customHeight="1" x14ac:dyDescent="0.3">
      <c r="A172" s="42" t="s">
        <v>288</v>
      </c>
      <c r="B172" s="43">
        <v>39322</v>
      </c>
      <c r="C172" s="42" t="s">
        <v>22</v>
      </c>
      <c r="D172" s="44">
        <v>20.85</v>
      </c>
      <c r="E172" s="44">
        <v>20.81</v>
      </c>
      <c r="F172">
        <v>2007</v>
      </c>
    </row>
    <row r="173" spans="1:6" ht="15" customHeight="1" x14ac:dyDescent="0.3">
      <c r="A173" s="42" t="s">
        <v>290</v>
      </c>
      <c r="B173" s="43">
        <v>39357</v>
      </c>
      <c r="C173" s="42" t="s">
        <v>22</v>
      </c>
      <c r="D173" s="44">
        <v>20.350000000000001</v>
      </c>
      <c r="E173" s="44">
        <v>20.07</v>
      </c>
      <c r="F173">
        <v>2007</v>
      </c>
    </row>
    <row r="174" spans="1:6" ht="15" customHeight="1" x14ac:dyDescent="0.3">
      <c r="A174" s="42" t="s">
        <v>291</v>
      </c>
      <c r="B174" s="43">
        <v>39394</v>
      </c>
      <c r="C174" s="42" t="s">
        <v>22</v>
      </c>
      <c r="D174" s="44">
        <v>14.84</v>
      </c>
      <c r="E174" s="44">
        <v>14.95</v>
      </c>
      <c r="F174">
        <v>2007</v>
      </c>
    </row>
    <row r="175" spans="1:6" ht="15" customHeight="1" x14ac:dyDescent="0.3">
      <c r="A175" s="42" t="s">
        <v>292</v>
      </c>
      <c r="B175" s="43">
        <v>39421</v>
      </c>
      <c r="C175" s="42" t="s">
        <v>22</v>
      </c>
      <c r="D175" s="44">
        <v>9.2200000000000006</v>
      </c>
      <c r="E175" s="44">
        <v>9.27</v>
      </c>
      <c r="F175">
        <v>2007</v>
      </c>
    </row>
    <row r="176" spans="1:6" ht="15" customHeight="1" x14ac:dyDescent="0.3">
      <c r="A176" s="42" t="s">
        <v>293</v>
      </c>
      <c r="B176" s="43">
        <v>39454</v>
      </c>
      <c r="C176" s="42" t="s">
        <v>22</v>
      </c>
      <c r="D176" s="44">
        <v>5.45</v>
      </c>
      <c r="E176" s="44">
        <v>5.45</v>
      </c>
      <c r="F176">
        <v>2008</v>
      </c>
    </row>
    <row r="177" spans="1:6" ht="15" customHeight="1" x14ac:dyDescent="0.3">
      <c r="A177" s="42" t="s">
        <v>294</v>
      </c>
      <c r="B177" s="43">
        <v>39482</v>
      </c>
      <c r="C177" s="42" t="s">
        <v>22</v>
      </c>
      <c r="D177" s="44">
        <v>3.75</v>
      </c>
      <c r="E177" s="44">
        <v>3.9</v>
      </c>
      <c r="F177">
        <v>2008</v>
      </c>
    </row>
    <row r="178" spans="1:6" ht="15" customHeight="1" x14ac:dyDescent="0.3">
      <c r="A178" s="42" t="s">
        <v>296</v>
      </c>
      <c r="B178" s="43">
        <v>39514</v>
      </c>
      <c r="C178" s="42" t="s">
        <v>22</v>
      </c>
      <c r="D178" s="44">
        <v>4.0599999999999996</v>
      </c>
      <c r="E178" s="44">
        <v>4.05</v>
      </c>
      <c r="F178">
        <v>2008</v>
      </c>
    </row>
    <row r="179" spans="1:6" ht="15" customHeight="1" x14ac:dyDescent="0.3">
      <c r="A179" s="42" t="s">
        <v>298</v>
      </c>
      <c r="B179" s="43">
        <v>39541</v>
      </c>
      <c r="C179" s="42" t="s">
        <v>22</v>
      </c>
      <c r="D179" s="44">
        <v>5.56</v>
      </c>
      <c r="E179" s="44">
        <v>5.15</v>
      </c>
      <c r="F179">
        <v>2008</v>
      </c>
    </row>
    <row r="180" spans="1:6" ht="15" customHeight="1" x14ac:dyDescent="0.3">
      <c r="A180" s="42" t="s">
        <v>299</v>
      </c>
      <c r="B180" s="43">
        <v>39573</v>
      </c>
      <c r="C180" s="42" t="s">
        <v>22</v>
      </c>
      <c r="D180" s="44">
        <v>9.68</v>
      </c>
      <c r="E180" s="44">
        <v>8.69</v>
      </c>
      <c r="F180">
        <v>2008</v>
      </c>
    </row>
    <row r="181" spans="1:6" ht="15" customHeight="1" x14ac:dyDescent="0.3">
      <c r="A181" s="42" t="s">
        <v>300</v>
      </c>
      <c r="B181" s="43">
        <v>39601</v>
      </c>
      <c r="C181" s="42" t="s">
        <v>22</v>
      </c>
      <c r="D181" s="44">
        <v>13.36</v>
      </c>
      <c r="E181" s="44">
        <v>11.65</v>
      </c>
      <c r="F181">
        <v>2008</v>
      </c>
    </row>
    <row r="182" spans="1:6" ht="15" customHeight="1" x14ac:dyDescent="0.3">
      <c r="A182" s="42" t="s">
        <v>302</v>
      </c>
      <c r="B182" s="43">
        <v>39629</v>
      </c>
      <c r="C182" s="42" t="s">
        <v>22</v>
      </c>
      <c r="D182" s="44">
        <v>20.43</v>
      </c>
      <c r="E182" s="44">
        <v>17.21</v>
      </c>
      <c r="F182">
        <v>2008</v>
      </c>
    </row>
    <row r="183" spans="1:6" ht="15" customHeight="1" x14ac:dyDescent="0.3">
      <c r="A183" s="42" t="s">
        <v>304</v>
      </c>
      <c r="B183" s="43">
        <v>39667</v>
      </c>
      <c r="C183" s="42" t="s">
        <v>22</v>
      </c>
      <c r="D183" s="44">
        <v>21.28</v>
      </c>
      <c r="E183" s="44">
        <v>20.51</v>
      </c>
      <c r="F183">
        <v>2008</v>
      </c>
    </row>
    <row r="184" spans="1:6" ht="15" customHeight="1" x14ac:dyDescent="0.3">
      <c r="A184" s="42" t="s">
        <v>306</v>
      </c>
      <c r="B184" s="43">
        <v>39696</v>
      </c>
      <c r="C184" s="42" t="s">
        <v>22</v>
      </c>
      <c r="D184" s="44">
        <v>21.11</v>
      </c>
      <c r="E184" s="44">
        <v>20.41</v>
      </c>
      <c r="F184">
        <v>2008</v>
      </c>
    </row>
    <row r="185" spans="1:6" ht="15" customHeight="1" x14ac:dyDescent="0.3">
      <c r="A185" s="42" t="s">
        <v>308</v>
      </c>
      <c r="B185" s="43">
        <v>39727</v>
      </c>
      <c r="C185" s="42" t="s">
        <v>22</v>
      </c>
      <c r="D185" s="44">
        <v>18.48</v>
      </c>
      <c r="E185" s="44">
        <v>18.48</v>
      </c>
      <c r="F185">
        <v>2008</v>
      </c>
    </row>
    <row r="186" spans="1:6" ht="15" customHeight="1" x14ac:dyDescent="0.3">
      <c r="A186" s="42" t="s">
        <v>309</v>
      </c>
      <c r="B186" s="43">
        <v>39757</v>
      </c>
      <c r="C186" s="42" t="s">
        <v>22</v>
      </c>
      <c r="D186" s="44">
        <v>14.52</v>
      </c>
      <c r="E186" s="44">
        <v>14.67</v>
      </c>
      <c r="F186">
        <v>2008</v>
      </c>
    </row>
    <row r="187" spans="1:6" ht="15" customHeight="1" x14ac:dyDescent="0.3">
      <c r="A187" s="42" t="s">
        <v>310</v>
      </c>
      <c r="B187" s="43">
        <v>39798</v>
      </c>
      <c r="C187" s="42" t="s">
        <v>22</v>
      </c>
      <c r="D187" s="44">
        <v>7.87</v>
      </c>
      <c r="E187" s="44">
        <v>7.88</v>
      </c>
      <c r="F187">
        <v>2008</v>
      </c>
    </row>
    <row r="188" spans="1:6" ht="15" customHeight="1" x14ac:dyDescent="0.3">
      <c r="A188" s="42" t="s">
        <v>311</v>
      </c>
      <c r="B188" s="43">
        <v>39829</v>
      </c>
      <c r="C188" s="42" t="s">
        <v>22</v>
      </c>
      <c r="D188" s="44">
        <v>3.21</v>
      </c>
      <c r="E188" s="44">
        <v>3.59</v>
      </c>
      <c r="F188">
        <v>2009</v>
      </c>
    </row>
    <row r="189" spans="1:6" ht="15" customHeight="1" x14ac:dyDescent="0.3">
      <c r="A189" s="42" t="s">
        <v>312</v>
      </c>
      <c r="B189" s="43">
        <v>39846</v>
      </c>
      <c r="C189" s="42" t="s">
        <v>22</v>
      </c>
      <c r="D189" s="44">
        <v>2.2400000000000002</v>
      </c>
      <c r="E189" s="44">
        <v>2.61</v>
      </c>
      <c r="F189">
        <v>2009</v>
      </c>
    </row>
    <row r="190" spans="1:6" ht="15" customHeight="1" x14ac:dyDescent="0.3">
      <c r="A190" s="42" t="s">
        <v>314</v>
      </c>
      <c r="B190" s="43">
        <v>39876</v>
      </c>
      <c r="C190" s="42" t="s">
        <v>22</v>
      </c>
      <c r="D190" s="44">
        <v>2.0299999999999998</v>
      </c>
      <c r="E190" s="44">
        <v>1.97</v>
      </c>
      <c r="F190">
        <v>2009</v>
      </c>
    </row>
    <row r="191" spans="1:6" ht="15" customHeight="1" x14ac:dyDescent="0.3">
      <c r="A191" s="42" t="s">
        <v>316</v>
      </c>
      <c r="B191" s="43">
        <v>39903</v>
      </c>
      <c r="C191" s="42" t="s">
        <v>22</v>
      </c>
      <c r="D191" s="44">
        <v>4.2699999999999996</v>
      </c>
      <c r="E191" s="44">
        <v>4.07</v>
      </c>
      <c r="F191">
        <v>2009</v>
      </c>
    </row>
    <row r="192" spans="1:6" ht="15" customHeight="1" x14ac:dyDescent="0.3">
      <c r="A192" s="42" t="s">
        <v>317</v>
      </c>
      <c r="B192" s="43">
        <v>39932</v>
      </c>
      <c r="C192" s="42" t="s">
        <v>22</v>
      </c>
      <c r="D192" s="44">
        <v>7.73</v>
      </c>
      <c r="E192" s="46">
        <v>7.55</v>
      </c>
      <c r="F192">
        <v>2009</v>
      </c>
    </row>
    <row r="193" spans="1:6" ht="15" customHeight="1" x14ac:dyDescent="0.3">
      <c r="A193" s="42" t="s">
        <v>318</v>
      </c>
      <c r="B193" s="43">
        <v>39968</v>
      </c>
      <c r="C193" s="42" t="s">
        <v>22</v>
      </c>
      <c r="D193" s="46">
        <v>12.86</v>
      </c>
      <c r="E193" s="46">
        <v>12.06</v>
      </c>
      <c r="F193">
        <v>2009</v>
      </c>
    </row>
    <row r="194" spans="1:6" ht="15" customHeight="1" x14ac:dyDescent="0.3">
      <c r="A194" s="42" t="s">
        <v>320</v>
      </c>
      <c r="B194" s="43">
        <v>40001</v>
      </c>
      <c r="C194" s="42" t="s">
        <v>22</v>
      </c>
      <c r="D194" s="44">
        <v>18.34</v>
      </c>
      <c r="E194" s="44">
        <v>17.55</v>
      </c>
      <c r="F194">
        <v>2009</v>
      </c>
    </row>
    <row r="195" spans="1:6" ht="15" customHeight="1" x14ac:dyDescent="0.3">
      <c r="A195" s="42" t="s">
        <v>321</v>
      </c>
      <c r="B195" s="43">
        <v>40014</v>
      </c>
      <c r="C195" s="42" t="s">
        <v>22</v>
      </c>
      <c r="D195" s="44">
        <v>18.2</v>
      </c>
      <c r="E195" s="44">
        <v>18.18</v>
      </c>
      <c r="F195">
        <v>2009</v>
      </c>
    </row>
    <row r="196" spans="1:6" ht="15" customHeight="1" x14ac:dyDescent="0.3">
      <c r="A196" s="42" t="s">
        <v>322</v>
      </c>
      <c r="B196" s="43">
        <v>40028</v>
      </c>
      <c r="C196" s="42" t="s">
        <v>22</v>
      </c>
      <c r="D196" s="44">
        <v>21.5</v>
      </c>
      <c r="E196" s="44">
        <v>19.93</v>
      </c>
      <c r="F196">
        <v>2009</v>
      </c>
    </row>
    <row r="197" spans="1:6" ht="15" customHeight="1" x14ac:dyDescent="0.3">
      <c r="A197" s="42" t="s">
        <v>324</v>
      </c>
      <c r="B197" s="43">
        <v>40064</v>
      </c>
      <c r="C197" s="42" t="s">
        <v>22</v>
      </c>
      <c r="D197" s="44">
        <v>20.94</v>
      </c>
      <c r="E197" s="44">
        <v>20.91</v>
      </c>
      <c r="F197">
        <v>2009</v>
      </c>
    </row>
    <row r="198" spans="1:6" ht="15" customHeight="1" x14ac:dyDescent="0.3">
      <c r="A198" s="42" t="s">
        <v>325</v>
      </c>
      <c r="B198" s="43">
        <v>40091</v>
      </c>
      <c r="C198" s="42" t="s">
        <v>22</v>
      </c>
      <c r="D198" s="44">
        <v>18.670000000000002</v>
      </c>
      <c r="E198" s="44">
        <v>18.63</v>
      </c>
      <c r="F198">
        <v>2009</v>
      </c>
    </row>
    <row r="199" spans="1:6" ht="15" customHeight="1" x14ac:dyDescent="0.3">
      <c r="A199" s="42" t="s">
        <v>326</v>
      </c>
      <c r="B199" s="43">
        <v>40120</v>
      </c>
      <c r="C199" s="42" t="s">
        <v>22</v>
      </c>
      <c r="D199" s="44">
        <v>14.23</v>
      </c>
      <c r="E199" s="44">
        <v>14.22</v>
      </c>
      <c r="F199">
        <v>2009</v>
      </c>
    </row>
    <row r="200" spans="1:6" ht="15" customHeight="1" x14ac:dyDescent="0.3">
      <c r="A200" s="42" t="s">
        <v>327</v>
      </c>
      <c r="B200" s="43">
        <v>40148</v>
      </c>
      <c r="C200" s="42" t="s">
        <v>22</v>
      </c>
      <c r="D200" s="44">
        <v>11.56</v>
      </c>
      <c r="E200" s="44">
        <v>11.59</v>
      </c>
      <c r="F200">
        <v>2009</v>
      </c>
    </row>
    <row r="201" spans="1:6" ht="15" customHeight="1" x14ac:dyDescent="0.3">
      <c r="A201" s="42" t="s">
        <v>328</v>
      </c>
      <c r="B201" s="43">
        <v>40183</v>
      </c>
      <c r="C201" s="42" t="s">
        <v>22</v>
      </c>
      <c r="D201" s="44">
        <v>4.59</v>
      </c>
      <c r="E201" s="44">
        <v>4.6500000000000004</v>
      </c>
      <c r="F201">
        <v>2010</v>
      </c>
    </row>
    <row r="202" spans="1:6" ht="15" customHeight="1" x14ac:dyDescent="0.3">
      <c r="A202" s="42" t="s">
        <v>329</v>
      </c>
      <c r="B202" s="43">
        <v>40214</v>
      </c>
      <c r="C202" s="42" t="s">
        <v>22</v>
      </c>
      <c r="D202" s="44">
        <v>2.33</v>
      </c>
      <c r="E202" s="44">
        <v>2.38</v>
      </c>
      <c r="F202">
        <v>2010</v>
      </c>
    </row>
    <row r="203" spans="1:6" ht="15" customHeight="1" x14ac:dyDescent="0.3">
      <c r="A203" s="42" t="s">
        <v>330</v>
      </c>
      <c r="B203" s="43">
        <v>40245</v>
      </c>
      <c r="C203" s="42" t="s">
        <v>22</v>
      </c>
      <c r="D203" s="44">
        <v>2.69</v>
      </c>
      <c r="E203" s="44">
        <v>2.69</v>
      </c>
      <c r="F203">
        <v>2010</v>
      </c>
    </row>
    <row r="204" spans="1:6" ht="15" customHeight="1" x14ac:dyDescent="0.3">
      <c r="A204" s="42" t="s">
        <v>332</v>
      </c>
      <c r="B204" s="43">
        <v>40274</v>
      </c>
      <c r="C204" s="42" t="s">
        <v>22</v>
      </c>
      <c r="D204" s="44">
        <v>5.82</v>
      </c>
      <c r="E204" s="44">
        <v>5.54</v>
      </c>
      <c r="F204">
        <v>2010</v>
      </c>
    </row>
    <row r="205" spans="1:6" ht="15" customHeight="1" x14ac:dyDescent="0.3">
      <c r="A205" s="42" t="s">
        <v>333</v>
      </c>
      <c r="B205" s="43">
        <v>40301</v>
      </c>
      <c r="C205" s="42" t="s">
        <v>22</v>
      </c>
      <c r="D205" s="44">
        <v>10.14</v>
      </c>
      <c r="E205" s="44">
        <v>9.19</v>
      </c>
      <c r="F205">
        <v>2010</v>
      </c>
    </row>
    <row r="206" spans="1:6" ht="15" customHeight="1" x14ac:dyDescent="0.3">
      <c r="A206" s="42" t="s">
        <v>341</v>
      </c>
      <c r="B206" s="43">
        <v>40457</v>
      </c>
      <c r="C206" s="42" t="s">
        <v>22</v>
      </c>
      <c r="D206" s="44">
        <v>19.09</v>
      </c>
      <c r="E206" s="44">
        <v>19.100000000000001</v>
      </c>
      <c r="F206">
        <v>2010</v>
      </c>
    </row>
    <row r="207" spans="1:6" ht="15" customHeight="1" x14ac:dyDescent="0.3">
      <c r="A207" s="42" t="s">
        <v>342</v>
      </c>
      <c r="B207" s="43">
        <v>40485</v>
      </c>
      <c r="C207" s="42" t="s">
        <v>22</v>
      </c>
      <c r="D207" s="44">
        <v>14.23</v>
      </c>
      <c r="E207" s="44">
        <v>14.22</v>
      </c>
      <c r="F207">
        <v>2010</v>
      </c>
    </row>
    <row r="208" spans="1:6" ht="15" customHeight="1" x14ac:dyDescent="0.3">
      <c r="A208" s="42" t="s">
        <v>343</v>
      </c>
      <c r="B208" s="43">
        <v>40511</v>
      </c>
      <c r="C208" s="42" t="s">
        <v>22</v>
      </c>
      <c r="D208" s="44">
        <v>10.7</v>
      </c>
      <c r="E208" s="44">
        <v>10.63</v>
      </c>
      <c r="F208">
        <v>2010</v>
      </c>
    </row>
    <row r="209" spans="1:6" ht="15" customHeight="1" x14ac:dyDescent="0.3">
      <c r="A209" s="42" t="s">
        <v>344</v>
      </c>
      <c r="B209" s="43">
        <v>40549</v>
      </c>
      <c r="C209" s="42" t="s">
        <v>22</v>
      </c>
      <c r="D209" s="44">
        <v>4.62</v>
      </c>
      <c r="E209" s="44">
        <v>4.59</v>
      </c>
      <c r="F209">
        <v>2011</v>
      </c>
    </row>
    <row r="210" spans="1:6" ht="15" customHeight="1" x14ac:dyDescent="0.3">
      <c r="A210" s="42" t="s">
        <v>345</v>
      </c>
      <c r="B210" s="43">
        <v>40574</v>
      </c>
      <c r="C210" s="42" t="s">
        <v>22</v>
      </c>
      <c r="D210" s="44">
        <v>2.21</v>
      </c>
      <c r="E210" s="44">
        <v>2.33</v>
      </c>
      <c r="F210">
        <v>2011</v>
      </c>
    </row>
    <row r="211" spans="1:6" ht="15" customHeight="1" x14ac:dyDescent="0.3">
      <c r="A211" s="42" t="s">
        <v>347</v>
      </c>
      <c r="B211" s="43">
        <v>40616</v>
      </c>
      <c r="C211" s="42" t="s">
        <v>22</v>
      </c>
      <c r="D211" s="44">
        <v>3.01</v>
      </c>
      <c r="E211" s="44">
        <v>2.72</v>
      </c>
      <c r="F211">
        <v>2011</v>
      </c>
    </row>
    <row r="212" spans="1:6" ht="15" customHeight="1" x14ac:dyDescent="0.3">
      <c r="A212" s="42" t="s">
        <v>349</v>
      </c>
      <c r="B212" s="43">
        <v>40665</v>
      </c>
      <c r="C212" s="42" t="s">
        <v>22</v>
      </c>
      <c r="D212" s="46">
        <v>8.43</v>
      </c>
      <c r="E212" s="44">
        <v>7.97</v>
      </c>
      <c r="F212">
        <v>2011</v>
      </c>
    </row>
    <row r="213" spans="1:6" ht="15" customHeight="1" x14ac:dyDescent="0.3">
      <c r="A213" s="42" t="s">
        <v>350</v>
      </c>
      <c r="B213" s="43">
        <v>40694</v>
      </c>
      <c r="C213" s="42" t="s">
        <v>22</v>
      </c>
      <c r="D213" s="44">
        <v>14.16</v>
      </c>
      <c r="E213" s="44">
        <v>12.36</v>
      </c>
      <c r="F213">
        <v>2011</v>
      </c>
    </row>
    <row r="214" spans="1:6" ht="15" customHeight="1" x14ac:dyDescent="0.3">
      <c r="A214" s="42" t="s">
        <v>352</v>
      </c>
      <c r="B214" s="43">
        <v>40729</v>
      </c>
      <c r="C214" s="42" t="s">
        <v>22</v>
      </c>
      <c r="D214" s="44">
        <v>19.28</v>
      </c>
      <c r="E214" s="44">
        <v>18.23</v>
      </c>
      <c r="F214">
        <v>2011</v>
      </c>
    </row>
    <row r="215" spans="1:6" ht="15" customHeight="1" x14ac:dyDescent="0.3">
      <c r="A215" s="42" t="s">
        <v>353</v>
      </c>
      <c r="B215" s="43">
        <v>40744</v>
      </c>
      <c r="C215" s="42" t="s">
        <v>22</v>
      </c>
      <c r="D215" s="44">
        <v>19.989999999999998</v>
      </c>
      <c r="E215" s="44">
        <v>19.739999999999998</v>
      </c>
      <c r="F215">
        <v>2011</v>
      </c>
    </row>
    <row r="216" spans="1:6" ht="15" customHeight="1" x14ac:dyDescent="0.3">
      <c r="A216" s="42" t="s">
        <v>354</v>
      </c>
      <c r="B216" s="43">
        <v>40756</v>
      </c>
      <c r="C216" s="42" t="s">
        <v>22</v>
      </c>
      <c r="D216" s="44">
        <v>19.59</v>
      </c>
      <c r="E216" s="44">
        <v>19.600000000000001</v>
      </c>
      <c r="F216">
        <v>2011</v>
      </c>
    </row>
    <row r="217" spans="1:6" ht="15" customHeight="1" x14ac:dyDescent="0.3">
      <c r="A217" s="42" t="s">
        <v>355</v>
      </c>
      <c r="B217" s="43">
        <v>40772</v>
      </c>
      <c r="C217" s="42" t="s">
        <v>22</v>
      </c>
      <c r="D217" s="44">
        <v>21.08</v>
      </c>
      <c r="E217" s="44">
        <v>21.02</v>
      </c>
      <c r="F217">
        <v>2011</v>
      </c>
    </row>
    <row r="218" spans="1:6" ht="15" customHeight="1" x14ac:dyDescent="0.3">
      <c r="A218" s="42" t="s">
        <v>356</v>
      </c>
      <c r="B218" s="43">
        <v>40785</v>
      </c>
      <c r="C218" s="42" t="s">
        <v>22</v>
      </c>
      <c r="D218" s="44">
        <v>20.92</v>
      </c>
      <c r="E218" s="44">
        <v>20.86</v>
      </c>
      <c r="F218">
        <v>2011</v>
      </c>
    </row>
    <row r="219" spans="1:6" ht="15" customHeight="1" x14ac:dyDescent="0.3">
      <c r="A219" s="42" t="s">
        <v>357</v>
      </c>
      <c r="B219" s="43">
        <v>40820</v>
      </c>
      <c r="C219" s="42" t="s">
        <v>22</v>
      </c>
      <c r="D219" s="44">
        <v>19.260000000000002</v>
      </c>
      <c r="E219" s="44">
        <v>19.850000000000001</v>
      </c>
      <c r="F219">
        <v>2011</v>
      </c>
    </row>
    <row r="220" spans="1:6" ht="15" customHeight="1" x14ac:dyDescent="0.3">
      <c r="A220" s="42" t="s">
        <v>358</v>
      </c>
      <c r="B220" s="43">
        <v>40855</v>
      </c>
      <c r="C220" s="42" t="s">
        <v>22</v>
      </c>
      <c r="D220" s="44">
        <v>12.96</v>
      </c>
      <c r="E220" s="44">
        <v>13.76</v>
      </c>
      <c r="F220">
        <v>2011</v>
      </c>
    </row>
    <row r="221" spans="1:6" ht="15" customHeight="1" x14ac:dyDescent="0.3">
      <c r="A221" s="42" t="s">
        <v>359</v>
      </c>
      <c r="B221" s="43">
        <v>40875</v>
      </c>
      <c r="C221" s="42" t="s">
        <v>22</v>
      </c>
      <c r="D221" s="44">
        <v>12.36</v>
      </c>
      <c r="E221" s="44">
        <v>12.35</v>
      </c>
      <c r="F221">
        <v>2011</v>
      </c>
    </row>
    <row r="222" spans="1:6" ht="15" customHeight="1" x14ac:dyDescent="0.3">
      <c r="A222" s="42" t="s">
        <v>360</v>
      </c>
      <c r="B222" s="43">
        <v>40913</v>
      </c>
      <c r="C222" s="42" t="s">
        <v>22</v>
      </c>
      <c r="D222" s="44">
        <v>8.02</v>
      </c>
      <c r="E222" s="44">
        <v>8.8800000000000008</v>
      </c>
      <c r="F222">
        <v>2012</v>
      </c>
    </row>
    <row r="223" spans="1:6" ht="15" customHeight="1" x14ac:dyDescent="0.3">
      <c r="A223" s="42" t="s">
        <v>361</v>
      </c>
      <c r="B223" s="43">
        <v>40940</v>
      </c>
      <c r="C223" s="42" t="s">
        <v>22</v>
      </c>
      <c r="D223" s="44">
        <v>5.5</v>
      </c>
      <c r="E223" s="44">
        <v>6</v>
      </c>
      <c r="F223">
        <v>2012</v>
      </c>
    </row>
    <row r="224" spans="1:6" ht="15" customHeight="1" x14ac:dyDescent="0.3">
      <c r="A224" s="42" t="s">
        <v>363</v>
      </c>
      <c r="B224" s="43">
        <v>40970</v>
      </c>
      <c r="C224" s="42" t="s">
        <v>22</v>
      </c>
      <c r="D224" s="44">
        <v>5.41</v>
      </c>
      <c r="E224" s="44">
        <v>5.62</v>
      </c>
      <c r="F224">
        <v>2012</v>
      </c>
    </row>
    <row r="225" spans="1:6" ht="15" customHeight="1" x14ac:dyDescent="0.3">
      <c r="A225" s="42" t="s">
        <v>365</v>
      </c>
      <c r="B225" s="43">
        <v>41002</v>
      </c>
      <c r="C225" s="42" t="s">
        <v>22</v>
      </c>
      <c r="D225" s="44">
        <v>7.95</v>
      </c>
      <c r="E225" s="44">
        <v>7.91</v>
      </c>
      <c r="F225">
        <v>2012</v>
      </c>
    </row>
    <row r="226" spans="1:6" ht="15" customHeight="1" x14ac:dyDescent="0.3">
      <c r="A226" s="42" t="s">
        <v>366</v>
      </c>
      <c r="B226" s="43">
        <v>41030</v>
      </c>
      <c r="C226" s="42" t="s">
        <v>22</v>
      </c>
      <c r="D226" s="44">
        <v>10.73</v>
      </c>
      <c r="E226" s="44">
        <v>10.64</v>
      </c>
      <c r="F226">
        <v>2012</v>
      </c>
    </row>
    <row r="227" spans="1:6" ht="15" customHeight="1" x14ac:dyDescent="0.3">
      <c r="A227" s="42" t="s">
        <v>367</v>
      </c>
      <c r="B227" s="43">
        <v>41058</v>
      </c>
      <c r="C227" s="42" t="s">
        <v>22</v>
      </c>
      <c r="D227" s="44">
        <v>13.92</v>
      </c>
      <c r="E227" s="44">
        <v>13.71</v>
      </c>
      <c r="F227">
        <v>2012</v>
      </c>
    </row>
    <row r="228" spans="1:6" ht="15" customHeight="1" x14ac:dyDescent="0.3">
      <c r="A228" s="42" t="s">
        <v>369</v>
      </c>
      <c r="B228" s="43">
        <v>41086</v>
      </c>
      <c r="C228" s="42" t="s">
        <v>22</v>
      </c>
      <c r="D228" s="44">
        <v>18.25</v>
      </c>
      <c r="E228" s="44">
        <v>18.13</v>
      </c>
      <c r="F228">
        <v>2012</v>
      </c>
    </row>
    <row r="229" spans="1:6" ht="15" customHeight="1" x14ac:dyDescent="0.3">
      <c r="A229" s="42" t="s">
        <v>370</v>
      </c>
      <c r="B229" s="43">
        <v>41108</v>
      </c>
      <c r="C229" s="42" t="s">
        <v>22</v>
      </c>
      <c r="D229" s="44">
        <v>24.35</v>
      </c>
      <c r="E229" s="44">
        <v>21.12</v>
      </c>
      <c r="F229">
        <v>2012</v>
      </c>
    </row>
    <row r="230" spans="1:6" ht="15" customHeight="1" x14ac:dyDescent="0.3">
      <c r="A230" s="42" t="s">
        <v>371</v>
      </c>
      <c r="B230" s="43">
        <v>41120</v>
      </c>
      <c r="C230" s="42" t="s">
        <v>22</v>
      </c>
      <c r="D230" s="44">
        <v>21.22</v>
      </c>
      <c r="E230" s="44">
        <v>20.82</v>
      </c>
      <c r="F230">
        <v>2012</v>
      </c>
    </row>
    <row r="231" spans="1:6" ht="15" customHeight="1" x14ac:dyDescent="0.3">
      <c r="A231" s="42" t="s">
        <v>372</v>
      </c>
      <c r="B231" s="43">
        <v>41135</v>
      </c>
      <c r="C231" s="42" t="s">
        <v>22</v>
      </c>
      <c r="D231" s="44">
        <v>22.96</v>
      </c>
      <c r="E231" s="44">
        <v>22.22</v>
      </c>
      <c r="F231">
        <v>2012</v>
      </c>
    </row>
    <row r="232" spans="1:6" ht="15" customHeight="1" x14ac:dyDescent="0.3">
      <c r="A232" s="42" t="s">
        <v>373</v>
      </c>
      <c r="B232" s="43">
        <v>41148</v>
      </c>
      <c r="C232" s="42" t="s">
        <v>22</v>
      </c>
      <c r="D232" s="44">
        <v>22.58</v>
      </c>
      <c r="E232" s="44">
        <v>22.28</v>
      </c>
      <c r="F232">
        <v>2012</v>
      </c>
    </row>
    <row r="233" spans="1:6" ht="15" customHeight="1" x14ac:dyDescent="0.3">
      <c r="A233" s="42" t="s">
        <v>375</v>
      </c>
      <c r="B233" s="43">
        <v>41192</v>
      </c>
      <c r="C233" s="42" t="s">
        <v>22</v>
      </c>
      <c r="D233" s="44">
        <v>18.73</v>
      </c>
      <c r="E233" s="44">
        <v>18.72</v>
      </c>
      <c r="F233">
        <v>2012</v>
      </c>
    </row>
    <row r="234" spans="1:6" ht="15" customHeight="1" x14ac:dyDescent="0.3">
      <c r="A234" s="42" t="s">
        <v>376</v>
      </c>
      <c r="B234" s="43">
        <v>41226</v>
      </c>
      <c r="C234" s="42" t="s">
        <v>22</v>
      </c>
      <c r="D234" s="44">
        <v>13.34</v>
      </c>
      <c r="E234" s="44">
        <v>13.4</v>
      </c>
      <c r="F234">
        <v>2012</v>
      </c>
    </row>
    <row r="235" spans="1:6" ht="15" customHeight="1" x14ac:dyDescent="0.3">
      <c r="A235" s="42" t="s">
        <v>377</v>
      </c>
      <c r="B235" s="43">
        <v>41246</v>
      </c>
      <c r="C235" s="42" t="s">
        <v>22</v>
      </c>
      <c r="D235" s="44">
        <v>9.65</v>
      </c>
      <c r="E235" s="44">
        <v>9.64</v>
      </c>
      <c r="F235">
        <v>2012</v>
      </c>
    </row>
    <row r="236" spans="1:6" ht="15" customHeight="1" x14ac:dyDescent="0.3">
      <c r="A236" s="42" t="s">
        <v>378</v>
      </c>
      <c r="B236" s="43">
        <v>41283</v>
      </c>
      <c r="C236" s="42" t="s">
        <v>22</v>
      </c>
      <c r="D236" s="44">
        <v>5.72</v>
      </c>
      <c r="E236" s="44">
        <v>5.76</v>
      </c>
      <c r="F236">
        <v>2013</v>
      </c>
    </row>
    <row r="237" spans="1:6" ht="15" customHeight="1" x14ac:dyDescent="0.3">
      <c r="A237" s="42" t="s">
        <v>379</v>
      </c>
      <c r="B237" s="43">
        <v>41302</v>
      </c>
      <c r="C237" s="42" t="s">
        <v>22</v>
      </c>
      <c r="D237" s="44">
        <v>4.63</v>
      </c>
      <c r="E237" s="46">
        <v>4.6399999999999997</v>
      </c>
      <c r="F237">
        <v>2013</v>
      </c>
    </row>
    <row r="238" spans="1:6" ht="15" customHeight="1" x14ac:dyDescent="0.3">
      <c r="A238" s="42" t="s">
        <v>381</v>
      </c>
      <c r="B238" s="43">
        <v>41338</v>
      </c>
      <c r="C238" s="42" t="s">
        <v>22</v>
      </c>
      <c r="D238" s="44">
        <v>3.22</v>
      </c>
      <c r="E238" s="44">
        <v>3.15</v>
      </c>
      <c r="F238">
        <v>2013</v>
      </c>
    </row>
    <row r="239" spans="1:6" ht="15" customHeight="1" x14ac:dyDescent="0.3">
      <c r="A239" s="42" t="s">
        <v>382</v>
      </c>
      <c r="B239" s="43">
        <v>41365</v>
      </c>
      <c r="C239" s="42" t="s">
        <v>22</v>
      </c>
      <c r="D239" s="44">
        <v>4.28</v>
      </c>
      <c r="E239" s="44">
        <v>4.17</v>
      </c>
      <c r="F239">
        <v>2013</v>
      </c>
    </row>
    <row r="240" spans="1:6" ht="15" customHeight="1" x14ac:dyDescent="0.3">
      <c r="A240" s="42" t="s">
        <v>383</v>
      </c>
      <c r="B240" s="43">
        <v>41393</v>
      </c>
      <c r="C240" s="42" t="s">
        <v>22</v>
      </c>
      <c r="D240" s="44">
        <v>7.63</v>
      </c>
      <c r="E240" s="44">
        <v>7.61</v>
      </c>
      <c r="F240">
        <v>2013</v>
      </c>
    </row>
    <row r="241" spans="1:6" ht="15" customHeight="1" x14ac:dyDescent="0.3">
      <c r="A241" s="42" t="s">
        <v>384</v>
      </c>
      <c r="B241" s="43">
        <v>41428</v>
      </c>
      <c r="C241" s="42" t="s">
        <v>22</v>
      </c>
      <c r="D241" s="44">
        <v>14.14</v>
      </c>
      <c r="E241" s="44">
        <v>13.33</v>
      </c>
      <c r="F241">
        <v>2013</v>
      </c>
    </row>
    <row r="242" spans="1:6" ht="15" customHeight="1" x14ac:dyDescent="0.3">
      <c r="A242" s="42" t="s">
        <v>386</v>
      </c>
      <c r="B242" s="43">
        <v>41456</v>
      </c>
      <c r="C242" s="42" t="s">
        <v>22</v>
      </c>
      <c r="D242" s="44">
        <v>19.78</v>
      </c>
      <c r="E242" s="44">
        <v>18.16</v>
      </c>
      <c r="F242">
        <v>2013</v>
      </c>
    </row>
    <row r="243" spans="1:6" ht="15" customHeight="1" x14ac:dyDescent="0.3">
      <c r="A243" s="42" t="s">
        <v>387</v>
      </c>
      <c r="B243" s="43">
        <v>41472</v>
      </c>
      <c r="C243" s="42" t="s">
        <v>22</v>
      </c>
      <c r="D243" s="46">
        <v>21.5</v>
      </c>
      <c r="E243" s="46">
        <v>19.3</v>
      </c>
      <c r="F243">
        <v>2013</v>
      </c>
    </row>
    <row r="244" spans="1:6" ht="15" customHeight="1" x14ac:dyDescent="0.3">
      <c r="A244" s="42" t="s">
        <v>388</v>
      </c>
      <c r="B244" s="43">
        <v>41484</v>
      </c>
      <c r="C244" s="42" t="s">
        <v>22</v>
      </c>
      <c r="D244" s="46">
        <v>22.22</v>
      </c>
      <c r="E244" s="46">
        <v>20.82</v>
      </c>
      <c r="F244">
        <v>2013</v>
      </c>
    </row>
    <row r="245" spans="1:6" ht="15" customHeight="1" x14ac:dyDescent="0.3">
      <c r="A245" s="42" t="s">
        <v>389</v>
      </c>
      <c r="B245" s="43">
        <v>41500</v>
      </c>
      <c r="C245" s="42" t="s">
        <v>22</v>
      </c>
      <c r="D245" s="44">
        <v>21.15</v>
      </c>
      <c r="E245" s="44">
        <v>21.11</v>
      </c>
      <c r="F245">
        <v>2013</v>
      </c>
    </row>
    <row r="246" spans="1:6" ht="15" customHeight="1" x14ac:dyDescent="0.3">
      <c r="A246" s="42" t="s">
        <v>390</v>
      </c>
      <c r="B246" s="43">
        <v>41513</v>
      </c>
      <c r="C246" s="42" t="s">
        <v>22</v>
      </c>
      <c r="D246" s="44">
        <v>21.59</v>
      </c>
      <c r="E246" s="44">
        <v>21.05</v>
      </c>
      <c r="F246">
        <v>2013</v>
      </c>
    </row>
    <row r="247" spans="1:6" ht="15" customHeight="1" x14ac:dyDescent="0.3">
      <c r="A247" s="42" t="s">
        <v>392</v>
      </c>
      <c r="B247" s="43">
        <v>41548</v>
      </c>
      <c r="C247" s="42" t="s">
        <v>22</v>
      </c>
      <c r="D247" s="44">
        <v>18.739999999999998</v>
      </c>
      <c r="E247" s="44">
        <v>18.489999999999998</v>
      </c>
      <c r="F247">
        <v>2013</v>
      </c>
    </row>
    <row r="248" spans="1:6" ht="15" customHeight="1" x14ac:dyDescent="0.3">
      <c r="A248" s="42" t="s">
        <v>393</v>
      </c>
      <c r="B248" s="43">
        <v>41582</v>
      </c>
      <c r="C248" s="42" t="s">
        <v>22</v>
      </c>
      <c r="D248" s="44">
        <v>15.07</v>
      </c>
      <c r="E248" s="44">
        <v>15.07</v>
      </c>
      <c r="F248">
        <v>2013</v>
      </c>
    </row>
    <row r="249" spans="1:6" ht="15" customHeight="1" x14ac:dyDescent="0.3">
      <c r="A249" s="42" t="s">
        <v>394</v>
      </c>
      <c r="B249" s="43">
        <v>41610</v>
      </c>
      <c r="C249" s="42" t="s">
        <v>22</v>
      </c>
      <c r="D249" s="44">
        <v>9.9499999999999993</v>
      </c>
      <c r="E249" s="44">
        <v>9.9499999999999993</v>
      </c>
      <c r="F249">
        <v>2013</v>
      </c>
    </row>
    <row r="250" spans="1:6" ht="15" customHeight="1" x14ac:dyDescent="0.3">
      <c r="A250" s="42" t="s">
        <v>395</v>
      </c>
      <c r="B250" s="43">
        <v>41652</v>
      </c>
      <c r="C250" s="42" t="s">
        <v>22</v>
      </c>
      <c r="D250" s="44">
        <v>3.64</v>
      </c>
      <c r="E250" s="44">
        <v>3.97</v>
      </c>
      <c r="F250">
        <v>2014</v>
      </c>
    </row>
    <row r="251" spans="1:6" ht="15" customHeight="1" x14ac:dyDescent="0.3">
      <c r="A251" s="42" t="s">
        <v>396</v>
      </c>
      <c r="B251" s="43">
        <v>41673</v>
      </c>
      <c r="C251" s="42" t="s">
        <v>22</v>
      </c>
      <c r="D251" s="44">
        <v>2.1</v>
      </c>
      <c r="E251" s="44">
        <v>2.13</v>
      </c>
      <c r="F251">
        <v>2014</v>
      </c>
    </row>
    <row r="252" spans="1:6" ht="15" customHeight="1" x14ac:dyDescent="0.3">
      <c r="A252" s="42" t="s">
        <v>398</v>
      </c>
      <c r="B252" s="43">
        <v>41705</v>
      </c>
      <c r="C252" s="42" t="s">
        <v>22</v>
      </c>
      <c r="D252" s="44">
        <v>1.1200000000000001</v>
      </c>
      <c r="E252" s="44">
        <v>1.39</v>
      </c>
      <c r="F252">
        <v>2014</v>
      </c>
    </row>
    <row r="253" spans="1:6" ht="15" customHeight="1" x14ac:dyDescent="0.3">
      <c r="A253" s="42" t="s">
        <v>399</v>
      </c>
      <c r="B253" s="43">
        <v>41736</v>
      </c>
      <c r="C253" s="42" t="s">
        <v>22</v>
      </c>
      <c r="D253" s="44">
        <v>3.35</v>
      </c>
      <c r="E253" s="44">
        <v>3.41</v>
      </c>
      <c r="F253">
        <v>2014</v>
      </c>
    </row>
    <row r="254" spans="1:6" ht="15" customHeight="1" x14ac:dyDescent="0.3">
      <c r="A254" s="42" t="s">
        <v>400</v>
      </c>
      <c r="B254" s="43">
        <v>41765</v>
      </c>
      <c r="C254" s="42" t="s">
        <v>22</v>
      </c>
      <c r="D254" s="44">
        <v>8.0399999999999991</v>
      </c>
      <c r="E254" s="44">
        <v>7.5</v>
      </c>
      <c r="F254">
        <v>2014</v>
      </c>
    </row>
    <row r="255" spans="1:6" ht="15" customHeight="1" x14ac:dyDescent="0.3">
      <c r="A255" s="42" t="s">
        <v>401</v>
      </c>
      <c r="B255" s="43">
        <v>41792</v>
      </c>
      <c r="C255" s="42" t="s">
        <v>22</v>
      </c>
      <c r="D255" s="44">
        <v>12.45</v>
      </c>
      <c r="E255" s="44">
        <v>12.09</v>
      </c>
      <c r="F255">
        <v>2014</v>
      </c>
    </row>
    <row r="256" spans="1:6" ht="15" customHeight="1" x14ac:dyDescent="0.3">
      <c r="A256" s="42" t="s">
        <v>403</v>
      </c>
      <c r="B256" s="43">
        <v>41820</v>
      </c>
      <c r="C256" s="42" t="s">
        <v>22</v>
      </c>
      <c r="D256" s="44">
        <v>18.920000000000002</v>
      </c>
      <c r="E256" s="44">
        <v>18.09</v>
      </c>
      <c r="F256">
        <v>2014</v>
      </c>
    </row>
    <row r="257" spans="1:6" ht="15" customHeight="1" x14ac:dyDescent="0.3">
      <c r="A257" s="42" t="s">
        <v>405</v>
      </c>
      <c r="B257" s="43">
        <v>41855</v>
      </c>
      <c r="C257" s="42" t="s">
        <v>22</v>
      </c>
      <c r="D257" s="46">
        <v>21.21</v>
      </c>
      <c r="E257" s="44">
        <v>20.39</v>
      </c>
      <c r="F257">
        <v>2014</v>
      </c>
    </row>
    <row r="258" spans="1:6" ht="15" customHeight="1" x14ac:dyDescent="0.3">
      <c r="A258" s="42" t="s">
        <v>406</v>
      </c>
      <c r="B258" s="43">
        <v>41871</v>
      </c>
      <c r="C258" s="42" t="s">
        <v>22</v>
      </c>
      <c r="D258" s="44">
        <v>21.75</v>
      </c>
      <c r="E258" s="44">
        <v>20.86</v>
      </c>
      <c r="F258">
        <v>2014</v>
      </c>
    </row>
    <row r="259" spans="1:6" ht="15" customHeight="1" x14ac:dyDescent="0.3">
      <c r="A259" s="42" t="s">
        <v>407</v>
      </c>
      <c r="B259" s="43">
        <v>41886</v>
      </c>
      <c r="C259" s="42" t="s">
        <v>22</v>
      </c>
      <c r="D259" s="44">
        <v>24.45</v>
      </c>
      <c r="E259" s="44">
        <v>21.47</v>
      </c>
      <c r="F259">
        <v>2014</v>
      </c>
    </row>
    <row r="260" spans="1:6" ht="15" customHeight="1" x14ac:dyDescent="0.3">
      <c r="A260" s="42" t="s">
        <v>409</v>
      </c>
      <c r="B260" s="43">
        <v>41912</v>
      </c>
      <c r="C260" s="42" t="s">
        <v>22</v>
      </c>
      <c r="D260" s="44">
        <v>19.95</v>
      </c>
      <c r="E260" s="44">
        <v>19.96</v>
      </c>
      <c r="F260">
        <v>2014</v>
      </c>
    </row>
    <row r="261" spans="1:6" ht="15" customHeight="1" x14ac:dyDescent="0.3">
      <c r="A261" s="42" t="s">
        <v>410</v>
      </c>
      <c r="B261" s="43">
        <v>41949</v>
      </c>
      <c r="C261" s="42" t="s">
        <v>22</v>
      </c>
      <c r="D261" s="44">
        <v>14.96</v>
      </c>
      <c r="E261" s="46">
        <v>15.02</v>
      </c>
      <c r="F261">
        <v>2014</v>
      </c>
    </row>
    <row r="262" spans="1:6" ht="15" customHeight="1" x14ac:dyDescent="0.3">
      <c r="A262" s="42" t="s">
        <v>411</v>
      </c>
      <c r="B262" s="43">
        <v>41988</v>
      </c>
      <c r="C262" s="42" t="s">
        <v>22</v>
      </c>
      <c r="D262" s="44">
        <v>7.89</v>
      </c>
      <c r="E262" s="44">
        <v>7.97</v>
      </c>
      <c r="F262">
        <v>2014</v>
      </c>
    </row>
    <row r="263" spans="1:6" ht="15" customHeight="1" x14ac:dyDescent="0.3">
      <c r="A263" s="42" t="s">
        <v>412</v>
      </c>
      <c r="B263" s="43">
        <v>42016</v>
      </c>
      <c r="C263" s="42" t="s">
        <v>22</v>
      </c>
      <c r="D263" s="44">
        <v>3.96</v>
      </c>
      <c r="E263" s="44">
        <v>4.74</v>
      </c>
      <c r="F263">
        <v>2015</v>
      </c>
    </row>
    <row r="264" spans="1:6" ht="15" customHeight="1" x14ac:dyDescent="0.3">
      <c r="A264" s="42" t="s">
        <v>413</v>
      </c>
      <c r="B264" s="43">
        <v>42039</v>
      </c>
      <c r="C264" s="42" t="s">
        <v>22</v>
      </c>
      <c r="D264" s="44">
        <v>2.38</v>
      </c>
      <c r="E264" s="44">
        <v>2.76</v>
      </c>
      <c r="F264">
        <v>2015</v>
      </c>
    </row>
    <row r="265" spans="1:6" ht="15" customHeight="1" x14ac:dyDescent="0.3">
      <c r="A265" s="42" t="s">
        <v>414</v>
      </c>
      <c r="B265" s="43">
        <v>42074</v>
      </c>
      <c r="C265" s="42" t="s">
        <v>22</v>
      </c>
      <c r="D265" s="44">
        <v>0.21</v>
      </c>
      <c r="E265" s="44">
        <v>0.17</v>
      </c>
      <c r="F265">
        <v>2015</v>
      </c>
    </row>
    <row r="266" spans="1:6" ht="15" customHeight="1" x14ac:dyDescent="0.3">
      <c r="A266" s="42" t="s">
        <v>416</v>
      </c>
      <c r="B266" s="43">
        <v>42096</v>
      </c>
      <c r="C266" s="42" t="s">
        <v>22</v>
      </c>
      <c r="D266" s="44">
        <v>2.14</v>
      </c>
      <c r="E266" s="44">
        <v>1.2</v>
      </c>
      <c r="F266">
        <v>2015</v>
      </c>
    </row>
    <row r="267" spans="1:6" ht="15" customHeight="1" x14ac:dyDescent="0.3">
      <c r="A267" s="42" t="s">
        <v>417</v>
      </c>
      <c r="B267" s="43">
        <v>42124</v>
      </c>
      <c r="C267" s="42" t="s">
        <v>22</v>
      </c>
      <c r="D267" s="44">
        <v>6.87</v>
      </c>
      <c r="E267" s="44">
        <v>6.09</v>
      </c>
      <c r="F267">
        <v>2015</v>
      </c>
    </row>
    <row r="268" spans="1:6" ht="15" customHeight="1" x14ac:dyDescent="0.3">
      <c r="A268" s="42" t="s">
        <v>418</v>
      </c>
      <c r="B268" s="43">
        <v>42152</v>
      </c>
      <c r="C268" s="42" t="s">
        <v>22</v>
      </c>
      <c r="D268" s="44">
        <v>14.16</v>
      </c>
      <c r="E268" s="44">
        <v>12.35</v>
      </c>
      <c r="F268">
        <v>2015</v>
      </c>
    </row>
    <row r="269" spans="1:6" ht="15" customHeight="1" x14ac:dyDescent="0.3">
      <c r="A269" s="42" t="s">
        <v>420</v>
      </c>
      <c r="B269" s="43">
        <v>42191</v>
      </c>
      <c r="C269" s="42" t="s">
        <v>22</v>
      </c>
      <c r="D269" s="44">
        <v>17.82</v>
      </c>
      <c r="E269" s="44">
        <v>17.8</v>
      </c>
      <c r="F269">
        <v>2015</v>
      </c>
    </row>
    <row r="270" spans="1:6" ht="15" customHeight="1" x14ac:dyDescent="0.3">
      <c r="A270" s="42" t="s">
        <v>422</v>
      </c>
      <c r="B270" s="43">
        <v>42222</v>
      </c>
      <c r="C270" s="42" t="s">
        <v>22</v>
      </c>
      <c r="D270" s="44">
        <v>21.84</v>
      </c>
      <c r="E270" s="44">
        <v>21.85</v>
      </c>
      <c r="F270">
        <v>2015</v>
      </c>
    </row>
    <row r="271" spans="1:6" ht="15" customHeight="1" x14ac:dyDescent="0.3">
      <c r="A271" s="42" t="s">
        <v>424</v>
      </c>
      <c r="B271" s="43">
        <v>42247</v>
      </c>
      <c r="C271" s="42" t="s">
        <v>22</v>
      </c>
      <c r="D271" s="44">
        <v>22.67</v>
      </c>
      <c r="E271" s="44">
        <v>22.67</v>
      </c>
      <c r="F271">
        <v>2015</v>
      </c>
    </row>
    <row r="272" spans="1:6" ht="15" customHeight="1" x14ac:dyDescent="0.3">
      <c r="A272" s="42" t="s">
        <v>426</v>
      </c>
      <c r="B272" s="43">
        <v>42284</v>
      </c>
      <c r="C272" s="42" t="s">
        <v>22</v>
      </c>
      <c r="D272" s="44">
        <v>19.22</v>
      </c>
      <c r="E272" s="44">
        <v>19.079999999999998</v>
      </c>
      <c r="F272">
        <v>2015</v>
      </c>
    </row>
    <row r="273" spans="1:6" ht="15" customHeight="1" x14ac:dyDescent="0.3">
      <c r="A273" s="42" t="s">
        <v>427</v>
      </c>
      <c r="B273" s="43">
        <v>42314</v>
      </c>
      <c r="C273" s="42" t="s">
        <v>22</v>
      </c>
      <c r="D273" s="44">
        <v>15.51</v>
      </c>
      <c r="E273" s="44">
        <v>15.46</v>
      </c>
      <c r="F273">
        <v>2015</v>
      </c>
    </row>
    <row r="274" spans="1:6" ht="15" customHeight="1" x14ac:dyDescent="0.3">
      <c r="A274" s="42" t="s">
        <v>428</v>
      </c>
      <c r="B274" s="43">
        <v>42354</v>
      </c>
      <c r="C274" s="42" t="s">
        <v>22</v>
      </c>
      <c r="D274" s="44">
        <v>11.23</v>
      </c>
      <c r="E274" s="44">
        <v>11.22</v>
      </c>
      <c r="F274">
        <v>2015</v>
      </c>
    </row>
    <row r="275" spans="1:6" ht="15" customHeight="1" x14ac:dyDescent="0.3">
      <c r="A275" s="42" t="s">
        <v>429</v>
      </c>
      <c r="B275" s="43">
        <v>42376</v>
      </c>
      <c r="C275" s="42" t="s">
        <v>22</v>
      </c>
      <c r="D275" s="44">
        <v>8.2799999999999994</v>
      </c>
      <c r="E275" s="44">
        <v>8.73</v>
      </c>
      <c r="F275">
        <v>2016</v>
      </c>
    </row>
    <row r="276" spans="1:6" ht="15" customHeight="1" x14ac:dyDescent="0.3">
      <c r="A276" s="42" t="s">
        <v>430</v>
      </c>
      <c r="B276" s="43">
        <v>42404</v>
      </c>
      <c r="C276" s="42" t="s">
        <v>22</v>
      </c>
      <c r="D276" s="44">
        <v>5.33</v>
      </c>
      <c r="E276" s="44">
        <v>5.38</v>
      </c>
      <c r="F276">
        <v>2016</v>
      </c>
    </row>
    <row r="277" spans="1:6" ht="15" customHeight="1" x14ac:dyDescent="0.3">
      <c r="A277" s="42" t="s">
        <v>432</v>
      </c>
      <c r="B277" s="43">
        <v>42439</v>
      </c>
      <c r="C277" s="42" t="s">
        <v>22</v>
      </c>
      <c r="D277" s="44">
        <v>4.6500000000000004</v>
      </c>
      <c r="E277" s="44">
        <v>4.63</v>
      </c>
      <c r="F277">
        <v>2016</v>
      </c>
    </row>
    <row r="278" spans="1:6" ht="15" customHeight="1" x14ac:dyDescent="0.3">
      <c r="A278" s="42" t="s">
        <v>434</v>
      </c>
      <c r="B278" s="43">
        <v>42473</v>
      </c>
      <c r="C278" s="42" t="s">
        <v>22</v>
      </c>
      <c r="D278" s="44">
        <v>6.48</v>
      </c>
      <c r="E278" s="44">
        <v>6.46</v>
      </c>
      <c r="F278">
        <v>2016</v>
      </c>
    </row>
    <row r="279" spans="1:6" ht="15" customHeight="1" x14ac:dyDescent="0.3">
      <c r="A279" s="42" t="s">
        <v>435</v>
      </c>
      <c r="B279" s="43">
        <v>42501</v>
      </c>
      <c r="C279" s="42" t="s">
        <v>22</v>
      </c>
      <c r="D279" s="44">
        <v>9.8800000000000008</v>
      </c>
      <c r="E279" s="44">
        <v>9.5299999999999994</v>
      </c>
      <c r="F279">
        <v>2016</v>
      </c>
    </row>
    <row r="280" spans="1:6" ht="15" customHeight="1" x14ac:dyDescent="0.3">
      <c r="A280" s="42" t="s">
        <v>436</v>
      </c>
      <c r="B280" s="43">
        <v>42529</v>
      </c>
      <c r="C280" s="42" t="s">
        <v>22</v>
      </c>
      <c r="D280" s="44">
        <v>14.77</v>
      </c>
      <c r="E280" s="44">
        <v>14.75</v>
      </c>
      <c r="F280">
        <v>2016</v>
      </c>
    </row>
    <row r="281" spans="1:6" ht="15" customHeight="1" x14ac:dyDescent="0.3">
      <c r="A281" s="42" t="s">
        <v>438</v>
      </c>
      <c r="B281" s="43">
        <v>42556</v>
      </c>
      <c r="C281" s="42" t="s">
        <v>22</v>
      </c>
      <c r="D281" s="44">
        <v>18.21</v>
      </c>
      <c r="E281" s="44">
        <v>18.190000000000001</v>
      </c>
      <c r="F281">
        <v>2016</v>
      </c>
    </row>
    <row r="282" spans="1:6" ht="15" customHeight="1" x14ac:dyDescent="0.3">
      <c r="A282" s="42" t="s">
        <v>439</v>
      </c>
      <c r="B282" s="43">
        <v>42569</v>
      </c>
      <c r="C282" s="42" t="s">
        <v>22</v>
      </c>
      <c r="D282" s="45"/>
      <c r="E282" s="45"/>
      <c r="F282">
        <v>2016</v>
      </c>
    </row>
    <row r="283" spans="1:6" ht="15" customHeight="1" x14ac:dyDescent="0.3">
      <c r="A283" s="42" t="s">
        <v>440</v>
      </c>
      <c r="B283" s="43">
        <v>42583</v>
      </c>
      <c r="C283" s="42" t="s">
        <v>22</v>
      </c>
      <c r="D283" s="44">
        <v>20.73</v>
      </c>
      <c r="E283" s="44">
        <v>20.7</v>
      </c>
      <c r="F283">
        <v>2016</v>
      </c>
    </row>
    <row r="284" spans="1:6" ht="15" customHeight="1" x14ac:dyDescent="0.3">
      <c r="A284" s="42" t="s">
        <v>441</v>
      </c>
      <c r="B284" s="43">
        <v>42598</v>
      </c>
      <c r="C284" s="42" t="s">
        <v>22</v>
      </c>
      <c r="D284" s="44">
        <v>22.11</v>
      </c>
      <c r="E284" s="44">
        <v>21.81</v>
      </c>
      <c r="F284">
        <v>2016</v>
      </c>
    </row>
    <row r="285" spans="1:6" ht="15" customHeight="1" x14ac:dyDescent="0.3">
      <c r="A285" s="42" t="s">
        <v>442</v>
      </c>
      <c r="B285" s="43">
        <v>42611</v>
      </c>
      <c r="C285" s="42" t="s">
        <v>22</v>
      </c>
      <c r="D285" s="44">
        <v>22.43</v>
      </c>
      <c r="E285" s="44">
        <v>22.19</v>
      </c>
      <c r="F285">
        <v>2016</v>
      </c>
    </row>
    <row r="286" spans="1:6" ht="15" customHeight="1" x14ac:dyDescent="0.3">
      <c r="A286" s="42" t="s">
        <v>444</v>
      </c>
      <c r="B286" s="43">
        <v>42646</v>
      </c>
      <c r="C286" s="42" t="s">
        <v>22</v>
      </c>
      <c r="D286" s="44">
        <v>20.2</v>
      </c>
      <c r="E286" s="44">
        <v>20.190000000000001</v>
      </c>
      <c r="F286">
        <v>2016</v>
      </c>
    </row>
    <row r="287" spans="1:6" ht="15" customHeight="1" x14ac:dyDescent="0.3">
      <c r="A287" s="42" t="s">
        <v>445</v>
      </c>
      <c r="B287" s="43">
        <v>42681</v>
      </c>
      <c r="C287" s="42" t="s">
        <v>22</v>
      </c>
      <c r="D287" s="44">
        <v>14.7</v>
      </c>
      <c r="E287" s="44">
        <v>14.92</v>
      </c>
      <c r="F287">
        <v>2016</v>
      </c>
    </row>
    <row r="288" spans="1:6" ht="15" customHeight="1" x14ac:dyDescent="0.3">
      <c r="A288" s="42" t="s">
        <v>446</v>
      </c>
      <c r="B288" s="43">
        <v>42704</v>
      </c>
      <c r="C288" s="42" t="s">
        <v>22</v>
      </c>
      <c r="D288" s="44">
        <v>11.65</v>
      </c>
      <c r="E288" s="44">
        <v>11.64</v>
      </c>
      <c r="F288">
        <v>2016</v>
      </c>
    </row>
    <row r="289" spans="1:6" ht="15" customHeight="1" x14ac:dyDescent="0.3">
      <c r="A289" s="42" t="s">
        <v>447</v>
      </c>
      <c r="B289" s="43">
        <v>42739</v>
      </c>
      <c r="C289" s="42" t="s">
        <v>22</v>
      </c>
      <c r="D289" s="44">
        <v>6.31</v>
      </c>
      <c r="E289" s="44">
        <v>6.32</v>
      </c>
      <c r="F289">
        <v>2017</v>
      </c>
    </row>
    <row r="290" spans="1:6" ht="15" customHeight="1" x14ac:dyDescent="0.3">
      <c r="A290" s="42" t="s">
        <v>448</v>
      </c>
      <c r="B290" s="43">
        <v>42773</v>
      </c>
      <c r="C290" s="42" t="s">
        <v>22</v>
      </c>
      <c r="D290" s="44">
        <v>4.1399999999999997</v>
      </c>
      <c r="E290" s="44">
        <v>4.29</v>
      </c>
      <c r="F290">
        <v>2017</v>
      </c>
    </row>
    <row r="291" spans="1:6" ht="15" customHeight="1" x14ac:dyDescent="0.3">
      <c r="A291" s="42" t="s">
        <v>450</v>
      </c>
      <c r="B291" s="43">
        <v>42800</v>
      </c>
      <c r="C291" s="42" t="s">
        <v>22</v>
      </c>
      <c r="D291" s="44">
        <v>3.69</v>
      </c>
      <c r="E291" s="44">
        <v>3.62</v>
      </c>
      <c r="F291">
        <v>2017</v>
      </c>
    </row>
    <row r="292" spans="1:6" ht="15" customHeight="1" x14ac:dyDescent="0.3">
      <c r="A292" s="42" t="s">
        <v>451</v>
      </c>
      <c r="B292" s="43">
        <v>42828</v>
      </c>
      <c r="C292" s="42" t="s">
        <v>22</v>
      </c>
      <c r="D292" s="44">
        <v>5.29</v>
      </c>
      <c r="E292" s="44">
        <v>4.37</v>
      </c>
      <c r="F292">
        <v>2017</v>
      </c>
    </row>
    <row r="293" spans="1:6" ht="15" customHeight="1" x14ac:dyDescent="0.3">
      <c r="A293" s="42" t="s">
        <v>452</v>
      </c>
      <c r="B293" s="43">
        <v>42856</v>
      </c>
      <c r="C293" s="42" t="s">
        <v>22</v>
      </c>
      <c r="D293" s="44">
        <v>7.67</v>
      </c>
      <c r="E293" s="44">
        <v>7.6</v>
      </c>
      <c r="F293">
        <v>2017</v>
      </c>
    </row>
    <row r="294" spans="1:6" ht="15" customHeight="1" x14ac:dyDescent="0.3">
      <c r="A294" s="42" t="s">
        <v>453</v>
      </c>
      <c r="B294" s="43">
        <v>42891</v>
      </c>
      <c r="C294" s="42" t="s">
        <v>22</v>
      </c>
      <c r="D294" s="44">
        <v>13.1</v>
      </c>
      <c r="E294" s="44">
        <v>12.9</v>
      </c>
      <c r="F294">
        <v>2017</v>
      </c>
    </row>
    <row r="295" spans="1:6" ht="15" customHeight="1" x14ac:dyDescent="0.3">
      <c r="A295" s="42" t="s">
        <v>455</v>
      </c>
      <c r="B295" s="43">
        <v>42921</v>
      </c>
      <c r="C295" s="42" t="s">
        <v>22</v>
      </c>
      <c r="D295" s="44">
        <v>20.37</v>
      </c>
      <c r="E295" s="44">
        <v>18.440000000000001</v>
      </c>
      <c r="F295">
        <v>2017</v>
      </c>
    </row>
    <row r="296" spans="1:6" ht="15" customHeight="1" x14ac:dyDescent="0.3">
      <c r="A296" s="42" t="s">
        <v>456</v>
      </c>
      <c r="B296" s="43">
        <v>42936</v>
      </c>
      <c r="C296" s="42" t="s">
        <v>22</v>
      </c>
      <c r="D296" s="44">
        <v>20.170000000000002</v>
      </c>
      <c r="E296" s="44">
        <v>19.920000000000002</v>
      </c>
      <c r="F296">
        <v>2017</v>
      </c>
    </row>
    <row r="297" spans="1:6" ht="15" customHeight="1" x14ac:dyDescent="0.3">
      <c r="A297" s="42" t="s">
        <v>457</v>
      </c>
      <c r="B297" s="43">
        <v>42947</v>
      </c>
      <c r="C297" s="42" t="s">
        <v>22</v>
      </c>
      <c r="D297" s="44">
        <v>20.7</v>
      </c>
      <c r="E297" s="44">
        <v>20.32</v>
      </c>
      <c r="F297">
        <v>2017</v>
      </c>
    </row>
    <row r="298" spans="1:6" ht="15" customHeight="1" x14ac:dyDescent="0.3">
      <c r="A298" s="42" t="s">
        <v>458</v>
      </c>
      <c r="B298" s="43">
        <v>42961</v>
      </c>
      <c r="C298" s="42" t="s">
        <v>22</v>
      </c>
      <c r="D298" s="44">
        <v>20.92</v>
      </c>
      <c r="E298" s="44">
        <v>20.65</v>
      </c>
      <c r="F298">
        <v>2017</v>
      </c>
    </row>
    <row r="299" spans="1:6" ht="15" customHeight="1" x14ac:dyDescent="0.3">
      <c r="A299" s="42" t="s">
        <v>459</v>
      </c>
      <c r="B299" s="43">
        <v>42979</v>
      </c>
      <c r="C299" s="42" t="s">
        <v>22</v>
      </c>
      <c r="D299" s="44">
        <v>21.12</v>
      </c>
      <c r="E299" s="44">
        <v>20.88</v>
      </c>
      <c r="F299">
        <v>2017</v>
      </c>
    </row>
    <row r="300" spans="1:6" ht="15" customHeight="1" x14ac:dyDescent="0.3">
      <c r="A300" s="42" t="s">
        <v>460</v>
      </c>
      <c r="B300" s="43">
        <v>43014</v>
      </c>
      <c r="C300" s="42" t="s">
        <v>22</v>
      </c>
      <c r="D300" s="44">
        <v>19.809999999999999</v>
      </c>
      <c r="E300" s="44">
        <v>19.8</v>
      </c>
      <c r="F300">
        <v>2017</v>
      </c>
    </row>
    <row r="301" spans="1:6" ht="15" customHeight="1" x14ac:dyDescent="0.3">
      <c r="A301" s="42" t="s">
        <v>461</v>
      </c>
      <c r="B301" s="43">
        <v>43048</v>
      </c>
      <c r="C301" s="42" t="s">
        <v>22</v>
      </c>
      <c r="D301" s="45"/>
      <c r="E301" s="45"/>
      <c r="F301">
        <v>2017</v>
      </c>
    </row>
    <row r="302" spans="1:6" ht="15" customHeight="1" x14ac:dyDescent="0.3">
      <c r="A302" s="42" t="s">
        <v>462</v>
      </c>
      <c r="B302" s="43">
        <v>43073</v>
      </c>
      <c r="C302" s="42" t="s">
        <v>22</v>
      </c>
      <c r="D302" s="44">
        <v>11.69</v>
      </c>
      <c r="E302" s="44">
        <v>11.68</v>
      </c>
      <c r="F302">
        <v>2017</v>
      </c>
    </row>
    <row r="303" spans="1:6" ht="15" customHeight="1" x14ac:dyDescent="0.3">
      <c r="A303" s="42" t="s">
        <v>463</v>
      </c>
      <c r="B303" s="43">
        <v>43110</v>
      </c>
      <c r="C303" s="42" t="s">
        <v>22</v>
      </c>
      <c r="D303" s="44">
        <v>2.23</v>
      </c>
      <c r="E303" s="44">
        <v>2.31</v>
      </c>
      <c r="F303">
        <v>2018</v>
      </c>
    </row>
    <row r="304" spans="1:6" ht="15" customHeight="1" x14ac:dyDescent="0.3">
      <c r="A304" s="42" t="s">
        <v>464</v>
      </c>
      <c r="B304" s="43">
        <v>43140</v>
      </c>
      <c r="C304" s="42" t="s">
        <v>22</v>
      </c>
      <c r="D304" s="45"/>
      <c r="E304" s="45"/>
      <c r="F304">
        <v>2018</v>
      </c>
    </row>
    <row r="305" spans="1:6" ht="15" customHeight="1" x14ac:dyDescent="0.3">
      <c r="A305" s="42" t="s">
        <v>466</v>
      </c>
      <c r="B305" s="43">
        <v>43165</v>
      </c>
      <c r="C305" s="42" t="s">
        <v>22</v>
      </c>
      <c r="D305" s="44">
        <v>3.91</v>
      </c>
      <c r="E305" s="44">
        <v>3.7</v>
      </c>
      <c r="F305">
        <v>2018</v>
      </c>
    </row>
    <row r="306" spans="1:6" ht="15" customHeight="1" x14ac:dyDescent="0.3">
      <c r="A306" s="42" t="s">
        <v>467</v>
      </c>
      <c r="B306" s="43">
        <v>43199</v>
      </c>
      <c r="C306" s="42" t="s">
        <v>22</v>
      </c>
      <c r="D306" s="44">
        <v>4.5</v>
      </c>
      <c r="E306" s="44">
        <v>4.5</v>
      </c>
      <c r="F306">
        <v>2018</v>
      </c>
    </row>
    <row r="307" spans="1:6" ht="15" customHeight="1" x14ac:dyDescent="0.3">
      <c r="A307" s="42" t="s">
        <v>468</v>
      </c>
      <c r="B307" s="43">
        <v>43221</v>
      </c>
      <c r="C307" s="42" t="s">
        <v>22</v>
      </c>
      <c r="D307" s="44">
        <v>7.57</v>
      </c>
      <c r="E307" s="44">
        <v>6.77</v>
      </c>
      <c r="F307">
        <v>2018</v>
      </c>
    </row>
    <row r="308" spans="1:6" ht="15" customHeight="1" x14ac:dyDescent="0.3">
      <c r="A308" s="42" t="s">
        <v>469</v>
      </c>
      <c r="B308" s="43">
        <v>43250</v>
      </c>
      <c r="C308" s="42" t="s">
        <v>22</v>
      </c>
      <c r="D308" s="44">
        <v>11.56</v>
      </c>
      <c r="E308" s="44">
        <v>11.54</v>
      </c>
      <c r="F308">
        <v>2018</v>
      </c>
    </row>
    <row r="309" spans="1:6" ht="15" customHeight="1" x14ac:dyDescent="0.3">
      <c r="A309" s="42" t="s">
        <v>471</v>
      </c>
      <c r="B309" s="43">
        <v>43283</v>
      </c>
      <c r="C309" s="42" t="s">
        <v>22</v>
      </c>
      <c r="D309" s="44">
        <v>20.74</v>
      </c>
      <c r="E309" s="44">
        <v>17.829999999999998</v>
      </c>
      <c r="F309">
        <v>2018</v>
      </c>
    </row>
    <row r="310" spans="1:6" ht="15" customHeight="1" x14ac:dyDescent="0.3">
      <c r="A310" s="42" t="s">
        <v>472</v>
      </c>
      <c r="B310" s="43">
        <v>43299</v>
      </c>
      <c r="C310" s="42" t="s">
        <v>22</v>
      </c>
      <c r="D310" s="44">
        <v>21.07</v>
      </c>
      <c r="E310" s="44">
        <v>20.52</v>
      </c>
      <c r="F310">
        <v>2018</v>
      </c>
    </row>
    <row r="311" spans="1:6" ht="15" customHeight="1" x14ac:dyDescent="0.3">
      <c r="A311" s="42" t="s">
        <v>473</v>
      </c>
      <c r="B311" s="43">
        <v>43311</v>
      </c>
      <c r="C311" s="42" t="s">
        <v>22</v>
      </c>
      <c r="D311" s="44">
        <v>21.12</v>
      </c>
      <c r="E311" s="44">
        <v>21.05</v>
      </c>
      <c r="F311">
        <v>2018</v>
      </c>
    </row>
    <row r="312" spans="1:6" ht="15" customHeight="1" x14ac:dyDescent="0.3">
      <c r="A312" s="42" t="s">
        <v>474</v>
      </c>
      <c r="B312" s="43">
        <v>43325</v>
      </c>
      <c r="C312" s="42" t="s">
        <v>22</v>
      </c>
      <c r="D312" s="44">
        <v>23.04</v>
      </c>
      <c r="E312" s="44">
        <v>22.91</v>
      </c>
      <c r="F312">
        <v>2018</v>
      </c>
    </row>
    <row r="313" spans="1:6" ht="15" customHeight="1" x14ac:dyDescent="0.3">
      <c r="A313" s="42" t="s">
        <v>475</v>
      </c>
      <c r="B313" s="43">
        <v>43341</v>
      </c>
      <c r="C313" s="42" t="s">
        <v>22</v>
      </c>
      <c r="D313" s="44">
        <v>21.95</v>
      </c>
      <c r="E313" s="44">
        <v>21.74</v>
      </c>
      <c r="F313">
        <v>2018</v>
      </c>
    </row>
    <row r="314" spans="1:6" ht="15" customHeight="1" x14ac:dyDescent="0.3">
      <c r="A314" s="42" t="s">
        <v>477</v>
      </c>
      <c r="B314" s="43">
        <v>43375</v>
      </c>
      <c r="C314" s="42" t="s">
        <v>22</v>
      </c>
      <c r="D314" s="44">
        <v>20.88</v>
      </c>
      <c r="E314" s="44">
        <v>20.72</v>
      </c>
      <c r="F314">
        <v>2018</v>
      </c>
    </row>
    <row r="315" spans="1:6" ht="15" customHeight="1" x14ac:dyDescent="0.3">
      <c r="A315" s="42" t="s">
        <v>478</v>
      </c>
      <c r="B315" s="43">
        <v>43412</v>
      </c>
      <c r="C315" s="42" t="s">
        <v>22</v>
      </c>
      <c r="D315" s="44">
        <v>14.16</v>
      </c>
      <c r="E315" s="44">
        <v>14.16</v>
      </c>
      <c r="F315">
        <v>2018</v>
      </c>
    </row>
    <row r="316" spans="1:6" ht="15" customHeight="1" x14ac:dyDescent="0.3">
      <c r="A316" s="42" t="s">
        <v>479</v>
      </c>
      <c r="B316" s="43">
        <v>43434</v>
      </c>
      <c r="C316" s="42" t="s">
        <v>22</v>
      </c>
      <c r="D316" s="44">
        <v>9.2899999999999991</v>
      </c>
      <c r="E316" s="44">
        <v>9.2899999999999991</v>
      </c>
      <c r="F316">
        <v>2018</v>
      </c>
    </row>
    <row r="317" spans="1:6" ht="15" customHeight="1" x14ac:dyDescent="0.3">
      <c r="A317" s="42" t="s">
        <v>6</v>
      </c>
      <c r="B317" s="43">
        <v>43467</v>
      </c>
      <c r="C317" s="42" t="s">
        <v>22</v>
      </c>
      <c r="D317" s="44">
        <v>6.15</v>
      </c>
      <c r="E317" s="44">
        <v>6.52</v>
      </c>
      <c r="F317">
        <v>2019</v>
      </c>
    </row>
    <row r="318" spans="1:6" ht="15" customHeight="1" x14ac:dyDescent="0.3">
      <c r="A318" s="42" t="s">
        <v>7</v>
      </c>
      <c r="B318" s="43">
        <v>43500</v>
      </c>
      <c r="C318" s="42" t="s">
        <v>22</v>
      </c>
      <c r="D318" s="44">
        <v>3.13</v>
      </c>
      <c r="E318" s="44">
        <v>3.48</v>
      </c>
      <c r="F318">
        <v>2019</v>
      </c>
    </row>
    <row r="319" spans="1:6" ht="15" customHeight="1" x14ac:dyDescent="0.3">
      <c r="A319" s="42" t="s">
        <v>9</v>
      </c>
      <c r="B319" s="43">
        <v>43532</v>
      </c>
      <c r="C319" s="42" t="s">
        <v>22</v>
      </c>
      <c r="D319" s="44">
        <v>3.14</v>
      </c>
      <c r="E319" s="44">
        <v>3.24</v>
      </c>
      <c r="F319">
        <v>2019</v>
      </c>
    </row>
    <row r="320" spans="1:6" ht="15" customHeight="1" x14ac:dyDescent="0.3">
      <c r="A320" s="42" t="s">
        <v>10</v>
      </c>
      <c r="B320" s="43">
        <v>43559</v>
      </c>
      <c r="C320" s="42" t="s">
        <v>22</v>
      </c>
      <c r="D320" s="44">
        <v>5.35</v>
      </c>
      <c r="E320" s="44">
        <v>5.32</v>
      </c>
      <c r="F320">
        <v>2019</v>
      </c>
    </row>
    <row r="321" spans="1:6" ht="15" customHeight="1" x14ac:dyDescent="0.3">
      <c r="A321" s="42" t="s">
        <v>11</v>
      </c>
      <c r="B321" s="43">
        <v>43591</v>
      </c>
      <c r="C321" s="42" t="s">
        <v>22</v>
      </c>
      <c r="D321" s="44">
        <v>9.1</v>
      </c>
      <c r="E321" s="44">
        <v>8.75</v>
      </c>
      <c r="F321">
        <v>2019</v>
      </c>
    </row>
    <row r="322" spans="1:6" ht="15" customHeight="1" x14ac:dyDescent="0.3">
      <c r="A322" s="42" t="s">
        <v>12</v>
      </c>
      <c r="B322" s="43">
        <v>43614</v>
      </c>
      <c r="C322" s="42" t="s">
        <v>22</v>
      </c>
      <c r="D322" s="44">
        <v>14.69</v>
      </c>
      <c r="E322" s="44">
        <v>13.78</v>
      </c>
      <c r="F322">
        <v>2019</v>
      </c>
    </row>
    <row r="323" spans="1:6" ht="15" customHeight="1" x14ac:dyDescent="0.3">
      <c r="A323" s="42" t="s">
        <v>14</v>
      </c>
      <c r="B323" s="43">
        <v>43647</v>
      </c>
      <c r="C323" s="42" t="s">
        <v>22</v>
      </c>
      <c r="D323" s="44">
        <v>18.12</v>
      </c>
      <c r="E323" s="44">
        <v>17.329999999999998</v>
      </c>
      <c r="F323">
        <v>2019</v>
      </c>
    </row>
    <row r="324" spans="1:6" ht="15" customHeight="1" x14ac:dyDescent="0.3">
      <c r="A324" s="42" t="s">
        <v>15</v>
      </c>
      <c r="B324" s="43">
        <v>43663</v>
      </c>
      <c r="C324" s="42" t="s">
        <v>22</v>
      </c>
      <c r="D324" s="44">
        <v>21</v>
      </c>
      <c r="E324" s="44">
        <v>19.25</v>
      </c>
      <c r="F324">
        <v>2019</v>
      </c>
    </row>
    <row r="325" spans="1:6" ht="15" customHeight="1" x14ac:dyDescent="0.3">
      <c r="A325" s="42" t="s">
        <v>16</v>
      </c>
      <c r="B325" s="43">
        <v>43675</v>
      </c>
      <c r="C325" s="42" t="s">
        <v>22</v>
      </c>
      <c r="D325" s="44">
        <v>23.09</v>
      </c>
      <c r="E325" s="44">
        <v>21.61</v>
      </c>
      <c r="F325">
        <v>2019</v>
      </c>
    </row>
    <row r="326" spans="1:6" ht="15" customHeight="1" x14ac:dyDescent="0.3">
      <c r="A326" s="42" t="s">
        <v>17</v>
      </c>
      <c r="B326" s="43">
        <v>43691</v>
      </c>
      <c r="C326" s="42" t="s">
        <v>22</v>
      </c>
      <c r="D326" s="44">
        <v>21.49</v>
      </c>
      <c r="E326" s="44">
        <v>20.25</v>
      </c>
      <c r="F326">
        <v>2019</v>
      </c>
    </row>
    <row r="327" spans="1:6" ht="15" customHeight="1" x14ac:dyDescent="0.3">
      <c r="A327" s="42" t="s">
        <v>18</v>
      </c>
      <c r="B327" s="43">
        <v>43704</v>
      </c>
      <c r="C327" s="42" t="s">
        <v>22</v>
      </c>
      <c r="D327" s="44">
        <v>21.02</v>
      </c>
      <c r="E327" s="44">
        <v>20.71</v>
      </c>
      <c r="F327">
        <v>2019</v>
      </c>
    </row>
    <row r="328" spans="1:6" ht="15" customHeight="1" x14ac:dyDescent="0.3">
      <c r="A328" s="42" t="s">
        <v>39</v>
      </c>
      <c r="B328" s="43">
        <v>43738</v>
      </c>
      <c r="C328" s="42" t="s">
        <v>22</v>
      </c>
      <c r="D328" s="44">
        <v>20.28</v>
      </c>
      <c r="E328" s="44">
        <v>20.28</v>
      </c>
      <c r="F328">
        <v>2019</v>
      </c>
    </row>
    <row r="329" spans="1:6" ht="15" customHeight="1" x14ac:dyDescent="0.3">
      <c r="A329" s="42" t="s">
        <v>40</v>
      </c>
      <c r="B329" s="43">
        <v>43773</v>
      </c>
      <c r="C329" s="42" t="s">
        <v>22</v>
      </c>
      <c r="D329" s="44">
        <v>15.67</v>
      </c>
      <c r="E329" s="44">
        <v>15.62</v>
      </c>
      <c r="F329">
        <v>2019</v>
      </c>
    </row>
    <row r="330" spans="1:6" ht="15" customHeight="1" x14ac:dyDescent="0.3">
      <c r="A330" s="42" t="s">
        <v>41</v>
      </c>
      <c r="B330" s="43">
        <v>43803</v>
      </c>
      <c r="C330" s="42" t="s">
        <v>22</v>
      </c>
      <c r="D330" s="44">
        <v>8.67</v>
      </c>
      <c r="E330" s="44">
        <v>8.82</v>
      </c>
      <c r="F330">
        <v>2019</v>
      </c>
    </row>
    <row r="331" spans="1:6" ht="15" customHeight="1" x14ac:dyDescent="0.3">
      <c r="A331" s="42" t="s">
        <v>502</v>
      </c>
      <c r="B331" s="43">
        <v>43837</v>
      </c>
      <c r="C331" s="42" t="s">
        <v>22</v>
      </c>
      <c r="D331" s="44">
        <v>6.05</v>
      </c>
      <c r="E331" s="44">
        <v>6.23</v>
      </c>
      <c r="F331">
        <v>2020</v>
      </c>
    </row>
    <row r="332" spans="1:6" ht="15" customHeight="1" x14ac:dyDescent="0.3">
      <c r="A332" s="42" t="s">
        <v>503</v>
      </c>
      <c r="B332" s="43">
        <v>43874</v>
      </c>
      <c r="C332" s="42" t="s">
        <v>22</v>
      </c>
      <c r="D332" s="44">
        <v>4.8099999999999996</v>
      </c>
      <c r="E332" s="44">
        <v>4.9000000000000004</v>
      </c>
      <c r="F332">
        <v>2020</v>
      </c>
    </row>
    <row r="333" spans="1:6" ht="15" customHeight="1" x14ac:dyDescent="0.3">
      <c r="A333" s="42" t="s">
        <v>504</v>
      </c>
      <c r="B333" s="43">
        <v>43899</v>
      </c>
      <c r="C333" s="42" t="s">
        <v>22</v>
      </c>
      <c r="D333" s="45"/>
      <c r="E333" s="45"/>
      <c r="F333">
        <v>2020</v>
      </c>
    </row>
    <row r="334" spans="1:6" ht="15" customHeight="1" x14ac:dyDescent="0.3">
      <c r="A334" s="42" t="s">
        <v>510</v>
      </c>
      <c r="B334" s="43">
        <v>43998</v>
      </c>
      <c r="C334" s="42" t="s">
        <v>22</v>
      </c>
      <c r="D334" s="44">
        <v>16.079999999999998</v>
      </c>
      <c r="E334" s="44">
        <v>14.95</v>
      </c>
      <c r="F334">
        <v>2020</v>
      </c>
    </row>
    <row r="335" spans="1:6" ht="15" customHeight="1" x14ac:dyDescent="0.3">
      <c r="A335" s="42" t="s">
        <v>505</v>
      </c>
      <c r="B335" s="43">
        <v>44018</v>
      </c>
      <c r="C335" s="42" t="s">
        <v>22</v>
      </c>
      <c r="D335" s="44">
        <v>18.62</v>
      </c>
      <c r="E335" s="44">
        <v>18.61</v>
      </c>
      <c r="F335">
        <v>2020</v>
      </c>
    </row>
    <row r="336" spans="1:6" ht="15" customHeight="1" x14ac:dyDescent="0.3">
      <c r="A336" s="42" t="s">
        <v>506</v>
      </c>
      <c r="B336" s="43">
        <v>44053</v>
      </c>
      <c r="C336" s="42" t="s">
        <v>22</v>
      </c>
      <c r="D336" s="44">
        <v>24.5</v>
      </c>
      <c r="E336" s="44">
        <v>22.51</v>
      </c>
      <c r="F336">
        <v>2020</v>
      </c>
    </row>
    <row r="337" spans="1:6" ht="15" customHeight="1" x14ac:dyDescent="0.3">
      <c r="A337" s="42" t="s">
        <v>512</v>
      </c>
      <c r="B337" s="43">
        <v>44068</v>
      </c>
      <c r="C337" s="42" t="s">
        <v>22</v>
      </c>
      <c r="D337" s="44">
        <v>22.87</v>
      </c>
      <c r="E337" s="44">
        <v>22.4</v>
      </c>
      <c r="F337">
        <v>2020</v>
      </c>
    </row>
    <row r="338" spans="1:6" ht="15" customHeight="1" x14ac:dyDescent="0.3">
      <c r="A338" s="42" t="s">
        <v>507</v>
      </c>
      <c r="B338" s="43">
        <v>44084</v>
      </c>
      <c r="C338" s="42" t="s">
        <v>22</v>
      </c>
      <c r="D338" s="44">
        <v>23.16</v>
      </c>
      <c r="E338" s="44">
        <v>22.24</v>
      </c>
      <c r="F338">
        <v>2020</v>
      </c>
    </row>
    <row r="339" spans="1:6" ht="15" customHeight="1" x14ac:dyDescent="0.3">
      <c r="A339" s="42" t="s">
        <v>508</v>
      </c>
      <c r="B339" s="43">
        <v>44110</v>
      </c>
      <c r="C339" s="42" t="s">
        <v>22</v>
      </c>
      <c r="D339" s="44">
        <v>19.34</v>
      </c>
      <c r="E339" s="44">
        <v>19.34</v>
      </c>
      <c r="F339">
        <v>2020</v>
      </c>
    </row>
    <row r="340" spans="1:6" ht="15" customHeight="1" x14ac:dyDescent="0.3">
      <c r="A340" s="42" t="s">
        <v>509</v>
      </c>
      <c r="B340" s="43">
        <v>44144</v>
      </c>
      <c r="C340" s="42" t="s">
        <v>22</v>
      </c>
      <c r="D340" s="44">
        <v>14.77</v>
      </c>
      <c r="E340" s="44">
        <v>14.78</v>
      </c>
      <c r="F340">
        <v>2020</v>
      </c>
    </row>
    <row r="341" spans="1:6" ht="15" customHeight="1" x14ac:dyDescent="0.3">
      <c r="A341" s="84" t="s">
        <v>522</v>
      </c>
      <c r="B341" s="85">
        <v>44263</v>
      </c>
      <c r="C341" s="84" t="s">
        <v>22</v>
      </c>
      <c r="D341" s="86">
        <v>2.97</v>
      </c>
      <c r="E341" s="86">
        <v>2.94</v>
      </c>
      <c r="F341">
        <v>2021</v>
      </c>
    </row>
    <row r="342" spans="1:6" ht="15" customHeight="1" x14ac:dyDescent="0.3">
      <c r="A342" s="84" t="s">
        <v>523</v>
      </c>
      <c r="B342" s="85">
        <v>44292</v>
      </c>
      <c r="C342" s="84" t="s">
        <v>22</v>
      </c>
      <c r="D342" s="86">
        <v>5.77</v>
      </c>
      <c r="E342" s="86">
        <v>5.66</v>
      </c>
      <c r="F342">
        <v>2021</v>
      </c>
    </row>
    <row r="343" spans="1:6" ht="15" customHeight="1" x14ac:dyDescent="0.3">
      <c r="A343" s="84" t="s">
        <v>524</v>
      </c>
      <c r="B343" s="85">
        <v>44322</v>
      </c>
      <c r="C343" s="84" t="s">
        <v>22</v>
      </c>
      <c r="D343" s="86">
        <v>9.8000000000000007</v>
      </c>
      <c r="E343" s="86">
        <v>8.99</v>
      </c>
      <c r="F343">
        <v>2021</v>
      </c>
    </row>
    <row r="344" spans="1:6" ht="15" customHeight="1" x14ac:dyDescent="0.3">
      <c r="A344" s="84" t="s">
        <v>525</v>
      </c>
      <c r="B344" s="85">
        <v>44350</v>
      </c>
      <c r="C344" s="84" t="s">
        <v>22</v>
      </c>
      <c r="D344" s="86">
        <v>13.38</v>
      </c>
      <c r="E344" s="86">
        <v>13</v>
      </c>
      <c r="F344">
        <v>2021</v>
      </c>
    </row>
    <row r="345" spans="1:6" ht="15" customHeight="1" x14ac:dyDescent="0.3">
      <c r="A345" s="84" t="s">
        <v>527</v>
      </c>
      <c r="B345" s="85">
        <v>44383</v>
      </c>
      <c r="C345" s="84" t="s">
        <v>22</v>
      </c>
      <c r="D345" s="86">
        <v>18.91</v>
      </c>
      <c r="E345" s="86">
        <v>18.03</v>
      </c>
      <c r="F345">
        <v>2021</v>
      </c>
    </row>
    <row r="346" spans="1:6" ht="15" customHeight="1" x14ac:dyDescent="0.3">
      <c r="A346" s="84" t="s">
        <v>528</v>
      </c>
      <c r="B346" s="85">
        <v>44398</v>
      </c>
      <c r="C346" s="84" t="s">
        <v>22</v>
      </c>
      <c r="D346" s="86">
        <v>21.06</v>
      </c>
      <c r="E346" s="86">
        <v>19.88</v>
      </c>
      <c r="F346">
        <v>2021</v>
      </c>
    </row>
    <row r="347" spans="1:6" ht="15" customHeight="1" x14ac:dyDescent="0.3">
      <c r="A347" s="84" t="s">
        <v>529</v>
      </c>
      <c r="B347" s="85">
        <v>44410</v>
      </c>
      <c r="C347" s="84" t="s">
        <v>22</v>
      </c>
      <c r="D347" s="86">
        <v>21.1</v>
      </c>
      <c r="E347" s="86">
        <v>20.170000000000002</v>
      </c>
      <c r="F347">
        <v>2021</v>
      </c>
    </row>
    <row r="348" spans="1:6" ht="15" customHeight="1" x14ac:dyDescent="0.3">
      <c r="A348" s="84" t="s">
        <v>530</v>
      </c>
      <c r="B348" s="85">
        <v>44426</v>
      </c>
      <c r="C348" s="84" t="s">
        <v>22</v>
      </c>
      <c r="D348" s="86">
        <v>21.48</v>
      </c>
      <c r="E348" s="86">
        <v>21.23</v>
      </c>
      <c r="F348">
        <v>2021</v>
      </c>
    </row>
    <row r="349" spans="1:6" ht="15" customHeight="1" x14ac:dyDescent="0.3">
      <c r="A349" s="84" t="s">
        <v>531</v>
      </c>
      <c r="B349" s="85">
        <v>44438</v>
      </c>
      <c r="C349" s="84" t="s">
        <v>22</v>
      </c>
      <c r="D349" s="86">
        <v>22.56</v>
      </c>
      <c r="E349" s="86">
        <v>22.27</v>
      </c>
      <c r="F349">
        <v>2021</v>
      </c>
    </row>
    <row r="350" spans="1:6" ht="15" customHeight="1" x14ac:dyDescent="0.3">
      <c r="A350" s="84" t="s">
        <v>533</v>
      </c>
      <c r="B350" s="85">
        <v>44473</v>
      </c>
      <c r="C350" s="84" t="s">
        <v>22</v>
      </c>
      <c r="D350" s="86">
        <v>20.66</v>
      </c>
      <c r="E350" s="86">
        <v>20.6</v>
      </c>
      <c r="F350">
        <v>2021</v>
      </c>
    </row>
    <row r="351" spans="1:6" ht="15" customHeight="1" x14ac:dyDescent="0.3">
      <c r="A351" s="84" t="s">
        <v>534</v>
      </c>
      <c r="B351" s="85">
        <v>44504</v>
      </c>
      <c r="C351" s="84" t="s">
        <v>22</v>
      </c>
      <c r="D351" s="86">
        <v>16.91</v>
      </c>
      <c r="E351" s="86">
        <v>16.91</v>
      </c>
      <c r="F351">
        <v>2021</v>
      </c>
    </row>
    <row r="352" spans="1:6" ht="15" customHeight="1" x14ac:dyDescent="0.3">
      <c r="A352" s="84" t="s">
        <v>535</v>
      </c>
      <c r="B352" s="85">
        <v>44532</v>
      </c>
      <c r="C352" s="84" t="s">
        <v>22</v>
      </c>
      <c r="D352" s="86">
        <v>11.59</v>
      </c>
      <c r="E352" s="86">
        <v>11.6</v>
      </c>
      <c r="F352">
        <v>2021</v>
      </c>
    </row>
    <row r="353" spans="1:6" ht="15" customHeight="1" x14ac:dyDescent="0.3">
      <c r="A353" s="84" t="s">
        <v>539</v>
      </c>
      <c r="B353" s="85">
        <v>44593</v>
      </c>
      <c r="C353" s="84" t="s">
        <v>22</v>
      </c>
      <c r="D353" s="86">
        <v>4.04</v>
      </c>
      <c r="E353" s="86">
        <v>4.04</v>
      </c>
      <c r="F353">
        <v>2022</v>
      </c>
    </row>
    <row r="354" spans="1:6" ht="15" customHeight="1" x14ac:dyDescent="0.3">
      <c r="A354" s="84" t="s">
        <v>541</v>
      </c>
      <c r="B354" s="85">
        <v>44622</v>
      </c>
      <c r="C354" s="84" t="s">
        <v>22</v>
      </c>
      <c r="D354" s="86">
        <v>4.17</v>
      </c>
      <c r="E354" s="86">
        <v>4.0199999999999996</v>
      </c>
      <c r="F354">
        <v>2022</v>
      </c>
    </row>
    <row r="355" spans="1:6" ht="15" customHeight="1" x14ac:dyDescent="0.3">
      <c r="A355" s="84" t="s">
        <v>542</v>
      </c>
      <c r="B355" s="85">
        <v>44655</v>
      </c>
      <c r="C355" s="84" t="s">
        <v>22</v>
      </c>
      <c r="D355" s="86">
        <v>5.89</v>
      </c>
      <c r="E355" s="86">
        <v>5.86</v>
      </c>
      <c r="F355">
        <v>2022</v>
      </c>
    </row>
    <row r="356" spans="1:6" ht="15" customHeight="1" x14ac:dyDescent="0.3">
      <c r="A356" s="84" t="s">
        <v>543</v>
      </c>
      <c r="B356" s="85">
        <v>44685</v>
      </c>
      <c r="C356" s="84" t="s">
        <v>22</v>
      </c>
      <c r="D356" s="86">
        <v>9.0500000000000007</v>
      </c>
      <c r="E356" s="86">
        <v>9.0399999999999991</v>
      </c>
      <c r="F356">
        <v>2022</v>
      </c>
    </row>
    <row r="357" spans="1:6" ht="15" customHeight="1" x14ac:dyDescent="0.3">
      <c r="A357" s="84" t="s">
        <v>544</v>
      </c>
      <c r="B357" s="85">
        <v>44714</v>
      </c>
      <c r="C357" s="84" t="s">
        <v>22</v>
      </c>
      <c r="D357" s="86">
        <v>14.08</v>
      </c>
      <c r="E357" s="86">
        <v>13.83</v>
      </c>
      <c r="F357">
        <v>2022</v>
      </c>
    </row>
    <row r="358" spans="1:6" ht="15" customHeight="1" x14ac:dyDescent="0.3">
      <c r="A358" s="84" t="s">
        <v>546</v>
      </c>
      <c r="B358" s="85">
        <v>44749</v>
      </c>
      <c r="C358" s="84" t="s">
        <v>22</v>
      </c>
      <c r="D358" s="86">
        <v>20.8</v>
      </c>
      <c r="E358" s="86">
        <v>18.690000000000001</v>
      </c>
      <c r="F358">
        <v>2022</v>
      </c>
    </row>
    <row r="359" spans="1:6" ht="15" customHeight="1" x14ac:dyDescent="0.3">
      <c r="A359" s="84" t="s">
        <v>547</v>
      </c>
      <c r="B359" s="85">
        <v>44760</v>
      </c>
      <c r="C359" s="84" t="s">
        <v>22</v>
      </c>
      <c r="D359" s="86">
        <v>20.71</v>
      </c>
      <c r="E359" s="86">
        <v>20.350000000000001</v>
      </c>
      <c r="F359">
        <v>2022</v>
      </c>
    </row>
    <row r="360" spans="1:6" ht="15" customHeight="1" x14ac:dyDescent="0.3">
      <c r="A360" s="84" t="s">
        <v>548</v>
      </c>
      <c r="B360" s="85">
        <v>44774</v>
      </c>
      <c r="C360" s="84" t="s">
        <v>22</v>
      </c>
      <c r="D360" s="86">
        <v>21.45</v>
      </c>
      <c r="E360" s="86">
        <v>21.34</v>
      </c>
      <c r="F360">
        <v>2022</v>
      </c>
    </row>
    <row r="361" spans="1:6" ht="15" customHeight="1" x14ac:dyDescent="0.3">
      <c r="A361" s="84" t="s">
        <v>549</v>
      </c>
      <c r="B361" s="85">
        <v>44792</v>
      </c>
      <c r="C361" s="84" t="s">
        <v>22</v>
      </c>
      <c r="D361" s="86">
        <v>23.17</v>
      </c>
      <c r="E361" s="86">
        <v>22.47</v>
      </c>
      <c r="F361">
        <v>2022</v>
      </c>
    </row>
    <row r="362" spans="1:6" ht="15" customHeight="1" x14ac:dyDescent="0.3">
      <c r="A362" s="84" t="s">
        <v>550</v>
      </c>
      <c r="B362" s="85">
        <v>44804</v>
      </c>
      <c r="C362" s="84" t="s">
        <v>22</v>
      </c>
      <c r="D362" s="86">
        <v>23.18</v>
      </c>
      <c r="E362" s="86">
        <v>23.15</v>
      </c>
      <c r="F362">
        <v>2022</v>
      </c>
    </row>
    <row r="363" spans="1:6" ht="15" customHeight="1" x14ac:dyDescent="0.3">
      <c r="A363" s="84" t="s">
        <v>552</v>
      </c>
      <c r="B363" s="85">
        <v>44840</v>
      </c>
      <c r="C363" s="84" t="s">
        <v>22</v>
      </c>
      <c r="D363" s="86">
        <v>18.41</v>
      </c>
      <c r="E363" s="86">
        <v>18.350000000000001</v>
      </c>
      <c r="F363">
        <v>2022</v>
      </c>
    </row>
    <row r="364" spans="1:6" ht="15" customHeight="1" x14ac:dyDescent="0.3">
      <c r="A364" s="84" t="s">
        <v>553</v>
      </c>
      <c r="B364" s="85">
        <v>44872</v>
      </c>
      <c r="C364" s="84" t="s">
        <v>22</v>
      </c>
      <c r="D364" s="110"/>
      <c r="E364" s="110"/>
      <c r="F364">
        <v>2022</v>
      </c>
    </row>
    <row r="365" spans="1:6" ht="15" customHeight="1" x14ac:dyDescent="0.3">
      <c r="A365" s="84" t="s">
        <v>556</v>
      </c>
      <c r="B365" s="85">
        <v>44910</v>
      </c>
      <c r="C365" s="84" t="s">
        <v>22</v>
      </c>
      <c r="D365" s="86">
        <v>9.1</v>
      </c>
      <c r="E365" s="86">
        <v>9.1199999999999992</v>
      </c>
      <c r="F365">
        <v>2022</v>
      </c>
    </row>
    <row r="366" spans="1:6" ht="15" customHeight="1" x14ac:dyDescent="0.3">
      <c r="A366" s="84" t="s">
        <v>557</v>
      </c>
      <c r="B366" s="85">
        <v>44929</v>
      </c>
      <c r="C366" s="84" t="s">
        <v>22</v>
      </c>
      <c r="D366" s="86">
        <v>6.44</v>
      </c>
      <c r="E366" s="86">
        <v>6.49</v>
      </c>
      <c r="F366">
        <v>2023</v>
      </c>
    </row>
    <row r="367" spans="1:6" ht="15" customHeight="1" x14ac:dyDescent="0.3">
      <c r="A367" s="84" t="s">
        <v>558</v>
      </c>
      <c r="B367" s="85">
        <v>44963</v>
      </c>
      <c r="C367" s="84" t="s">
        <v>22</v>
      </c>
      <c r="D367" s="86">
        <v>5.32</v>
      </c>
      <c r="E367" s="86">
        <v>5.49</v>
      </c>
      <c r="F367">
        <v>2023</v>
      </c>
    </row>
    <row r="368" spans="1:6" ht="15" customHeight="1" x14ac:dyDescent="0.3">
      <c r="A368" s="84" t="s">
        <v>559</v>
      </c>
      <c r="B368" s="85">
        <v>45033</v>
      </c>
      <c r="C368" s="84" t="s">
        <v>22</v>
      </c>
      <c r="D368" s="86">
        <v>7.99</v>
      </c>
      <c r="E368" s="86">
        <v>7.77</v>
      </c>
      <c r="F368">
        <v>2023</v>
      </c>
    </row>
    <row r="369" spans="1:6" ht="15" customHeight="1" x14ac:dyDescent="0.3">
      <c r="A369" s="84" t="s">
        <v>560</v>
      </c>
      <c r="B369" s="85">
        <v>45054</v>
      </c>
      <c r="C369" s="84" t="s">
        <v>22</v>
      </c>
      <c r="D369" s="86">
        <v>10.49</v>
      </c>
      <c r="E369" s="86">
        <v>9.91</v>
      </c>
      <c r="F369">
        <v>2023</v>
      </c>
    </row>
    <row r="370" spans="1:6" ht="15" customHeight="1" x14ac:dyDescent="0.3">
      <c r="A370" s="84" t="s">
        <v>561</v>
      </c>
      <c r="B370" s="85">
        <v>45077</v>
      </c>
      <c r="C370" s="84" t="s">
        <v>22</v>
      </c>
      <c r="D370" s="86">
        <v>14.27</v>
      </c>
      <c r="E370" s="86">
        <v>13.6</v>
      </c>
      <c r="F370">
        <v>2023</v>
      </c>
    </row>
    <row r="371" spans="1:6" ht="15" customHeight="1" x14ac:dyDescent="0.3">
      <c r="A371" s="84" t="s">
        <v>563</v>
      </c>
      <c r="B371" s="85">
        <v>45112</v>
      </c>
      <c r="C371" s="84" t="s">
        <v>22</v>
      </c>
      <c r="D371" s="86">
        <v>19.170000000000002</v>
      </c>
      <c r="E371" s="86">
        <v>18.97</v>
      </c>
      <c r="F371">
        <v>2023</v>
      </c>
    </row>
    <row r="372" spans="1:6" ht="15" customHeight="1" x14ac:dyDescent="0.3">
      <c r="A372" s="84" t="s">
        <v>564</v>
      </c>
      <c r="B372" s="85">
        <v>45126</v>
      </c>
      <c r="C372" s="84" t="s">
        <v>22</v>
      </c>
      <c r="D372" s="86">
        <v>21.66</v>
      </c>
      <c r="E372" s="86">
        <v>20.41</v>
      </c>
      <c r="F372">
        <v>2023</v>
      </c>
    </row>
    <row r="373" spans="1:6" ht="15" customHeight="1" x14ac:dyDescent="0.3">
      <c r="A373" s="84" t="s">
        <v>565</v>
      </c>
      <c r="B373" s="85">
        <v>45138</v>
      </c>
      <c r="C373" s="84" t="s">
        <v>22</v>
      </c>
      <c r="D373" s="86">
        <v>22.54</v>
      </c>
      <c r="E373" s="86">
        <v>20.14</v>
      </c>
      <c r="F373">
        <v>2023</v>
      </c>
    </row>
    <row r="374" spans="1:6" ht="15" customHeight="1" x14ac:dyDescent="0.3">
      <c r="A374" s="84" t="s">
        <v>567</v>
      </c>
      <c r="B374" s="85">
        <v>45167</v>
      </c>
      <c r="C374" s="84" t="s">
        <v>22</v>
      </c>
      <c r="D374" s="86">
        <v>20.72</v>
      </c>
      <c r="E374" s="86">
        <v>20.18</v>
      </c>
      <c r="F374">
        <v>2023</v>
      </c>
    </row>
    <row r="375" spans="1:6" ht="15" customHeight="1" x14ac:dyDescent="0.3">
      <c r="A375" s="84" t="s">
        <v>568</v>
      </c>
      <c r="B375" s="85">
        <v>45204</v>
      </c>
      <c r="C375" s="84" t="s">
        <v>22</v>
      </c>
      <c r="D375" s="86">
        <v>19.79</v>
      </c>
      <c r="E375" s="86">
        <v>19.27</v>
      </c>
      <c r="F375">
        <v>2023</v>
      </c>
    </row>
    <row r="376" spans="1:6" ht="15" customHeight="1" x14ac:dyDescent="0.3">
      <c r="A376" s="84" t="s">
        <v>569</v>
      </c>
      <c r="B376" s="85">
        <v>45237</v>
      </c>
      <c r="C376" s="84" t="s">
        <v>22</v>
      </c>
      <c r="D376" s="86">
        <v>15.05</v>
      </c>
      <c r="E376" s="86">
        <v>15.13</v>
      </c>
      <c r="F376">
        <v>2023</v>
      </c>
    </row>
    <row r="377" spans="1:6" ht="15" customHeight="1" x14ac:dyDescent="0.3">
      <c r="A377" s="84" t="s">
        <v>570</v>
      </c>
      <c r="B377" s="85">
        <v>45265</v>
      </c>
      <c r="C377" s="84" t="s">
        <v>22</v>
      </c>
      <c r="D377" s="86">
        <v>10.51</v>
      </c>
      <c r="E377" s="86">
        <v>10.77</v>
      </c>
      <c r="F377">
        <v>2023</v>
      </c>
    </row>
    <row r="378" spans="1:6" ht="15" customHeight="1" x14ac:dyDescent="0.3">
      <c r="A378" s="84" t="s">
        <v>571</v>
      </c>
      <c r="B378" s="85">
        <v>45294</v>
      </c>
      <c r="C378" s="84" t="s">
        <v>22</v>
      </c>
      <c r="D378" s="86">
        <v>7.97</v>
      </c>
      <c r="E378" s="86">
        <v>7.98</v>
      </c>
      <c r="F378">
        <v>2024</v>
      </c>
    </row>
    <row r="379" spans="1:6" ht="15" customHeight="1" x14ac:dyDescent="0.3">
      <c r="A379" s="84" t="s">
        <v>572</v>
      </c>
      <c r="B379" s="85">
        <v>45327</v>
      </c>
      <c r="C379" s="84" t="s">
        <v>22</v>
      </c>
      <c r="D379" s="86">
        <v>4.78</v>
      </c>
      <c r="E379" s="86">
        <v>5.12</v>
      </c>
      <c r="F379">
        <v>2024</v>
      </c>
    </row>
    <row r="380" spans="1:6" ht="15" customHeight="1" x14ac:dyDescent="0.3">
      <c r="A380" s="84" t="s">
        <v>574</v>
      </c>
      <c r="B380" s="85">
        <v>45355</v>
      </c>
      <c r="C380" s="84" t="s">
        <v>22</v>
      </c>
      <c r="D380" s="86">
        <v>4.9000000000000004</v>
      </c>
      <c r="E380" s="86">
        <v>4.76</v>
      </c>
      <c r="F380">
        <v>2024</v>
      </c>
    </row>
    <row r="381" spans="1:6" ht="15" customHeight="1" x14ac:dyDescent="0.3">
      <c r="A381" s="84" t="s">
        <v>576</v>
      </c>
      <c r="B381" s="85">
        <v>45383</v>
      </c>
      <c r="C381" s="84" t="s">
        <v>22</v>
      </c>
      <c r="D381" s="86">
        <v>6.41</v>
      </c>
      <c r="E381" s="86">
        <v>6.1</v>
      </c>
      <c r="F381">
        <v>2024</v>
      </c>
    </row>
    <row r="382" spans="1:6" ht="15" customHeight="1" x14ac:dyDescent="0.3">
      <c r="A382" s="84" t="s">
        <v>577</v>
      </c>
      <c r="B382" s="85">
        <v>45414</v>
      </c>
      <c r="C382" s="84" t="s">
        <v>22</v>
      </c>
      <c r="D382" s="86">
        <v>10.08</v>
      </c>
      <c r="E382" s="86">
        <v>8.91</v>
      </c>
      <c r="F382">
        <v>2024</v>
      </c>
    </row>
    <row r="383" spans="1:6" ht="15" customHeight="1" x14ac:dyDescent="0.3">
      <c r="A383" s="84" t="s">
        <v>578</v>
      </c>
      <c r="B383" s="85">
        <v>45443</v>
      </c>
      <c r="C383" s="84" t="s">
        <v>22</v>
      </c>
      <c r="D383" s="86">
        <v>15.13</v>
      </c>
      <c r="E383" s="86">
        <v>13.68</v>
      </c>
      <c r="F383">
        <v>2024</v>
      </c>
    </row>
    <row r="384" spans="1:6" ht="15" customHeight="1" x14ac:dyDescent="0.3">
      <c r="A384" s="84" t="s">
        <v>580</v>
      </c>
      <c r="B384" s="85">
        <v>45470</v>
      </c>
      <c r="C384" s="84" t="s">
        <v>22</v>
      </c>
      <c r="D384" s="86">
        <v>19.72</v>
      </c>
      <c r="E384" s="86">
        <v>17.39</v>
      </c>
      <c r="F384">
        <v>2024</v>
      </c>
    </row>
    <row r="385" spans="1:6" ht="15" customHeight="1" x14ac:dyDescent="0.3">
      <c r="A385" s="84" t="s">
        <v>581</v>
      </c>
      <c r="B385" s="85">
        <v>45488</v>
      </c>
      <c r="C385" s="84" t="s">
        <v>22</v>
      </c>
      <c r="D385" s="86">
        <v>21.31</v>
      </c>
      <c r="E385" s="86">
        <v>17.87</v>
      </c>
      <c r="F385">
        <v>2024</v>
      </c>
    </row>
    <row r="386" spans="1:6" ht="15" customHeight="1" x14ac:dyDescent="0.3">
      <c r="A386" s="84" t="s">
        <v>582</v>
      </c>
      <c r="B386" s="85">
        <v>45502</v>
      </c>
      <c r="C386" s="84" t="s">
        <v>22</v>
      </c>
      <c r="D386" s="86">
        <v>20.38</v>
      </c>
      <c r="E386" s="86">
        <v>19.440000000000001</v>
      </c>
      <c r="F386">
        <v>2024</v>
      </c>
    </row>
    <row r="387" spans="1:6" ht="15" customHeight="1" x14ac:dyDescent="0.3">
      <c r="A387" s="84" t="s">
        <v>583</v>
      </c>
      <c r="B387" s="85">
        <v>45518</v>
      </c>
      <c r="C387" s="84" t="s">
        <v>22</v>
      </c>
      <c r="D387" s="86">
        <v>21.88</v>
      </c>
      <c r="E387" s="86">
        <v>20.99</v>
      </c>
      <c r="F387">
        <v>2024</v>
      </c>
    </row>
    <row r="388" spans="1:6" ht="15" customHeight="1" x14ac:dyDescent="0.3">
      <c r="A388" s="84" t="s">
        <v>584</v>
      </c>
      <c r="B388" s="85">
        <v>45530</v>
      </c>
      <c r="C388" s="84" t="s">
        <v>22</v>
      </c>
      <c r="D388" s="86">
        <v>21.96</v>
      </c>
      <c r="E388" s="86">
        <v>21.18</v>
      </c>
      <c r="F388">
        <v>2024</v>
      </c>
    </row>
    <row r="389" spans="1:6" ht="15" customHeight="1" x14ac:dyDescent="0.3">
      <c r="A389" s="151" t="s">
        <v>585</v>
      </c>
      <c r="B389" s="34">
        <v>45567</v>
      </c>
      <c r="C389" s="151" t="s">
        <v>22</v>
      </c>
      <c r="D389" s="152">
        <v>19.309999999999999</v>
      </c>
      <c r="E389" s="152">
        <v>19.28</v>
      </c>
      <c r="F389">
        <v>2024</v>
      </c>
    </row>
    <row r="390" spans="1:6" ht="15" customHeight="1" x14ac:dyDescent="0.3">
      <c r="A390" t="s">
        <v>602</v>
      </c>
      <c r="B390" s="34">
        <v>45663</v>
      </c>
      <c r="C390" t="s">
        <v>22</v>
      </c>
      <c r="D390">
        <v>6.05</v>
      </c>
      <c r="E390">
        <v>6.04</v>
      </c>
      <c r="F390">
        <v>2025</v>
      </c>
    </row>
    <row r="391" spans="1:6" ht="15" customHeight="1" x14ac:dyDescent="0.3">
      <c r="A391" t="s">
        <v>601</v>
      </c>
      <c r="B391" s="34">
        <v>45691</v>
      </c>
      <c r="C391" t="s">
        <v>22</v>
      </c>
      <c r="D391">
        <v>2.87</v>
      </c>
      <c r="E391">
        <v>2.86</v>
      </c>
      <c r="F391">
        <v>2025</v>
      </c>
    </row>
    <row r="392" spans="1:6" ht="15" customHeight="1" x14ac:dyDescent="0.3">
      <c r="A392" t="s">
        <v>593</v>
      </c>
      <c r="B392" s="34">
        <v>45720</v>
      </c>
      <c r="C392" t="s">
        <v>22</v>
      </c>
      <c r="D392">
        <v>2.44</v>
      </c>
      <c r="E392">
        <v>2.44</v>
      </c>
      <c r="F392">
        <v>2025</v>
      </c>
    </row>
    <row r="393" spans="1:6" ht="15" customHeight="1" x14ac:dyDescent="0.3">
      <c r="A393" t="s">
        <v>594</v>
      </c>
      <c r="B393" s="34">
        <v>45751</v>
      </c>
      <c r="C393" t="s">
        <v>22</v>
      </c>
      <c r="D393">
        <v>5.68</v>
      </c>
      <c r="E393">
        <v>5.67</v>
      </c>
      <c r="F393">
        <v>2025</v>
      </c>
    </row>
    <row r="394" spans="1:6" ht="15" customHeight="1" x14ac:dyDescent="0.3">
      <c r="A394" t="s">
        <v>595</v>
      </c>
      <c r="B394" s="34">
        <v>45782</v>
      </c>
      <c r="C394" t="s">
        <v>22</v>
      </c>
      <c r="D394">
        <v>9.83</v>
      </c>
      <c r="E394">
        <v>9.2100000000000009</v>
      </c>
      <c r="F394">
        <v>2025</v>
      </c>
    </row>
    <row r="395" spans="1:6" ht="15" customHeight="1" x14ac:dyDescent="0.3">
      <c r="A395" t="s">
        <v>596</v>
      </c>
      <c r="B395" s="34">
        <v>45810</v>
      </c>
      <c r="C395" t="s">
        <v>22</v>
      </c>
      <c r="D395">
        <v>13.26</v>
      </c>
      <c r="E395">
        <v>12.83</v>
      </c>
      <c r="F395">
        <v>2025</v>
      </c>
    </row>
    <row r="396" spans="1:6" ht="15" customHeight="1" x14ac:dyDescent="0.3">
      <c r="A396" t="s">
        <v>597</v>
      </c>
      <c r="B396" s="34">
        <v>45840</v>
      </c>
      <c r="C396" t="s">
        <v>22</v>
      </c>
      <c r="D396">
        <v>18.57</v>
      </c>
      <c r="E396">
        <v>17.760000000000002</v>
      </c>
      <c r="F396">
        <v>2025</v>
      </c>
    </row>
    <row r="397" spans="1:6" ht="15" customHeight="1" x14ac:dyDescent="0.3">
      <c r="A397" t="s">
        <v>598</v>
      </c>
      <c r="B397" s="34">
        <v>45854</v>
      </c>
      <c r="C397" t="s">
        <v>22</v>
      </c>
      <c r="D397">
        <v>21.58</v>
      </c>
      <c r="E397">
        <v>19.34</v>
      </c>
      <c r="F397">
        <v>2025</v>
      </c>
    </row>
    <row r="398" spans="1:6" ht="15" customHeight="1" x14ac:dyDescent="0.3">
      <c r="A398" t="s">
        <v>599</v>
      </c>
      <c r="B398" s="34">
        <v>45867</v>
      </c>
      <c r="C398" t="s">
        <v>22</v>
      </c>
      <c r="D398">
        <v>20.56</v>
      </c>
      <c r="E398">
        <v>20.53</v>
      </c>
      <c r="F398">
        <v>2025</v>
      </c>
    </row>
    <row r="399" spans="1:6" ht="15" customHeight="1" x14ac:dyDescent="0.3">
      <c r="A399" t="s">
        <v>600</v>
      </c>
      <c r="B399" s="34">
        <v>45882</v>
      </c>
      <c r="C399" t="s">
        <v>22</v>
      </c>
      <c r="D399">
        <v>21.47</v>
      </c>
      <c r="E399">
        <v>21.45</v>
      </c>
      <c r="F399">
        <v>2025</v>
      </c>
    </row>
    <row r="400" spans="1:6" ht="15" customHeight="1" x14ac:dyDescent="0.3">
      <c r="A400" t="s">
        <v>603</v>
      </c>
      <c r="B400" s="34">
        <v>45895</v>
      </c>
      <c r="C400" t="s">
        <v>22</v>
      </c>
      <c r="D400">
        <v>22</v>
      </c>
      <c r="E400">
        <v>21.96</v>
      </c>
      <c r="F400">
        <v>2025</v>
      </c>
    </row>
  </sheetData>
  <pageMargins left="0.7" right="0.7" top="0.75" bottom="0.75" header="0.3" footer="0.3"/>
  <pageSetup orientation="portrait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354"/>
  <sheetViews>
    <sheetView workbookViewId="0">
      <pane ySplit="1" topLeftCell="A336" activePane="bottomLeft" state="frozen"/>
      <selection pane="bottomLeft" activeCell="F347" sqref="F347:F354"/>
    </sheetView>
  </sheetViews>
  <sheetFormatPr defaultRowHeight="15" customHeight="1" x14ac:dyDescent="0.3"/>
  <cols>
    <col min="1" max="1" width="10.44140625" bestFit="1" customWidth="1"/>
    <col min="2" max="2" width="10.6640625" bestFit="1" customWidth="1"/>
    <col min="3" max="3" width="13.109375" bestFit="1" customWidth="1"/>
    <col min="4" max="4" width="7.44140625" bestFit="1" customWidth="1"/>
    <col min="5" max="5" width="7.5546875" bestFit="1" customWidth="1"/>
    <col min="8" max="8" width="12.5546875" bestFit="1" customWidth="1"/>
    <col min="9" max="9" width="16.88671875" bestFit="1" customWidth="1"/>
    <col min="10" max="10" width="17" bestFit="1" customWidth="1"/>
    <col min="11" max="11" width="20.44140625" bestFit="1" customWidth="1"/>
    <col min="14" max="14" width="17.6640625" bestFit="1" customWidth="1"/>
    <col min="15" max="15" width="17.88671875" bestFit="1" customWidth="1"/>
  </cols>
  <sheetData>
    <row r="1" spans="1:16" ht="15" customHeight="1" x14ac:dyDescent="0.3">
      <c r="A1" s="41" t="s">
        <v>1</v>
      </c>
      <c r="B1" s="41" t="s">
        <v>3</v>
      </c>
      <c r="C1" s="41" t="s">
        <v>2</v>
      </c>
      <c r="D1" s="41" t="s">
        <v>4</v>
      </c>
      <c r="E1" s="41" t="s">
        <v>5</v>
      </c>
      <c r="F1" s="48" t="s">
        <v>521</v>
      </c>
      <c r="H1" s="47" t="s">
        <v>515</v>
      </c>
      <c r="I1" t="s">
        <v>519</v>
      </c>
      <c r="J1" t="s">
        <v>518</v>
      </c>
      <c r="K1" t="s">
        <v>520</v>
      </c>
      <c r="M1" t="s">
        <v>515</v>
      </c>
      <c r="N1" t="s">
        <v>519</v>
      </c>
      <c r="O1" t="s">
        <v>518</v>
      </c>
      <c r="P1" t="s">
        <v>520</v>
      </c>
    </row>
    <row r="2" spans="1:16" ht="15" customHeight="1" x14ac:dyDescent="0.3">
      <c r="A2" s="42" t="s">
        <v>80</v>
      </c>
      <c r="B2" s="43">
        <v>34526</v>
      </c>
      <c r="C2" s="42" t="s">
        <v>21</v>
      </c>
      <c r="D2" s="44">
        <v>18.27</v>
      </c>
      <c r="E2" s="45"/>
      <c r="F2">
        <v>1994</v>
      </c>
      <c r="H2" s="9">
        <v>1994</v>
      </c>
      <c r="I2">
        <v>18.27</v>
      </c>
      <c r="K2">
        <v>1</v>
      </c>
      <c r="M2">
        <v>1995</v>
      </c>
      <c r="N2">
        <v>11.50888888888889</v>
      </c>
      <c r="O2">
        <v>11.078588888888889</v>
      </c>
      <c r="P2">
        <v>11</v>
      </c>
    </row>
    <row r="3" spans="1:16" ht="15" customHeight="1" x14ac:dyDescent="0.3">
      <c r="A3" s="42" t="s">
        <v>89</v>
      </c>
      <c r="B3" s="43">
        <v>34710</v>
      </c>
      <c r="C3" s="42" t="s">
        <v>21</v>
      </c>
      <c r="D3" s="45"/>
      <c r="E3" s="45"/>
      <c r="F3">
        <v>1995</v>
      </c>
      <c r="H3" s="9">
        <v>1995</v>
      </c>
      <c r="I3">
        <v>11.50888888888889</v>
      </c>
      <c r="J3">
        <v>11.078588888888889</v>
      </c>
      <c r="K3">
        <v>11</v>
      </c>
      <c r="M3">
        <v>1996</v>
      </c>
      <c r="N3">
        <v>10.399999999999999</v>
      </c>
      <c r="O3">
        <v>9.8818181818181827</v>
      </c>
      <c r="P3">
        <v>12</v>
      </c>
    </row>
    <row r="4" spans="1:16" ht="15" customHeight="1" x14ac:dyDescent="0.3">
      <c r="A4" s="42" t="s">
        <v>90</v>
      </c>
      <c r="B4" s="43">
        <v>34746</v>
      </c>
      <c r="C4" s="42" t="s">
        <v>21</v>
      </c>
      <c r="D4" s="44">
        <v>2.92</v>
      </c>
      <c r="E4" s="44">
        <v>3.08</v>
      </c>
      <c r="F4">
        <v>1995</v>
      </c>
      <c r="H4" s="9">
        <v>1996</v>
      </c>
      <c r="I4">
        <v>10.399999999999999</v>
      </c>
      <c r="J4">
        <v>9.8818181818181827</v>
      </c>
      <c r="K4">
        <v>12</v>
      </c>
      <c r="M4">
        <v>1997</v>
      </c>
      <c r="N4">
        <v>11.480833333333335</v>
      </c>
      <c r="O4">
        <v>11.123333333333333</v>
      </c>
      <c r="P4">
        <v>12</v>
      </c>
    </row>
    <row r="5" spans="1:16" ht="15" customHeight="1" x14ac:dyDescent="0.3">
      <c r="A5" s="42" t="s">
        <v>91</v>
      </c>
      <c r="B5" s="43">
        <v>34764</v>
      </c>
      <c r="C5" s="42" t="s">
        <v>21</v>
      </c>
      <c r="D5" s="44">
        <v>3.28</v>
      </c>
      <c r="E5" s="46">
        <v>3.31</v>
      </c>
      <c r="F5">
        <v>1995</v>
      </c>
      <c r="H5" s="9">
        <v>1997</v>
      </c>
      <c r="I5">
        <v>11.480833333333335</v>
      </c>
      <c r="J5">
        <v>11.123333333333333</v>
      </c>
      <c r="K5">
        <v>12</v>
      </c>
      <c r="M5">
        <v>1998</v>
      </c>
      <c r="N5">
        <v>13.063615384615385</v>
      </c>
      <c r="O5">
        <v>12.054530769230769</v>
      </c>
      <c r="P5">
        <v>13</v>
      </c>
    </row>
    <row r="6" spans="1:16" ht="15" customHeight="1" x14ac:dyDescent="0.3">
      <c r="A6" s="42" t="s">
        <v>92</v>
      </c>
      <c r="B6" s="43">
        <v>34792</v>
      </c>
      <c r="C6" s="42" t="s">
        <v>21</v>
      </c>
      <c r="D6" s="44">
        <v>5.33</v>
      </c>
      <c r="E6" s="44">
        <v>5.27</v>
      </c>
      <c r="F6">
        <v>1995</v>
      </c>
      <c r="H6" s="9">
        <v>1998</v>
      </c>
      <c r="I6">
        <v>13.063615384615385</v>
      </c>
      <c r="J6">
        <v>12.054530769230769</v>
      </c>
      <c r="K6">
        <v>13</v>
      </c>
      <c r="M6">
        <v>1999</v>
      </c>
      <c r="N6">
        <v>12.080833333333336</v>
      </c>
      <c r="O6">
        <v>11.846666666666666</v>
      </c>
      <c r="P6">
        <v>12</v>
      </c>
    </row>
    <row r="7" spans="1:16" ht="15" customHeight="1" x14ac:dyDescent="0.3">
      <c r="A7" s="42" t="s">
        <v>93</v>
      </c>
      <c r="B7" s="43">
        <v>34824</v>
      </c>
      <c r="C7" s="42" t="s">
        <v>21</v>
      </c>
      <c r="D7" s="44">
        <v>8.7200000000000006</v>
      </c>
      <c r="E7" s="44">
        <v>7.88</v>
      </c>
      <c r="F7">
        <v>1995</v>
      </c>
      <c r="H7" s="9">
        <v>1999</v>
      </c>
      <c r="I7">
        <v>12.080833333333336</v>
      </c>
      <c r="J7">
        <v>11.846666666666666</v>
      </c>
      <c r="K7">
        <v>12</v>
      </c>
      <c r="M7">
        <v>2000</v>
      </c>
      <c r="N7">
        <v>11.065833333333332</v>
      </c>
      <c r="O7">
        <v>11.17</v>
      </c>
      <c r="P7">
        <v>12</v>
      </c>
    </row>
    <row r="8" spans="1:16" ht="15" customHeight="1" x14ac:dyDescent="0.3">
      <c r="A8" s="42" t="s">
        <v>94</v>
      </c>
      <c r="B8" s="43">
        <v>34852</v>
      </c>
      <c r="C8" s="42" t="s">
        <v>21</v>
      </c>
      <c r="D8" s="44">
        <v>13.08</v>
      </c>
      <c r="E8" s="46">
        <v>11.93</v>
      </c>
      <c r="F8">
        <v>1995</v>
      </c>
      <c r="H8" s="9">
        <v>2000</v>
      </c>
      <c r="I8">
        <v>11.065833333333332</v>
      </c>
      <c r="J8">
        <v>11.17</v>
      </c>
      <c r="K8">
        <v>12</v>
      </c>
      <c r="M8">
        <v>2001</v>
      </c>
      <c r="N8">
        <v>12.135454545454547</v>
      </c>
      <c r="O8">
        <v>11.686363636363637</v>
      </c>
      <c r="P8">
        <v>12</v>
      </c>
    </row>
    <row r="9" spans="1:16" ht="15" customHeight="1" x14ac:dyDescent="0.3">
      <c r="A9" s="42" t="s">
        <v>96</v>
      </c>
      <c r="B9" s="43">
        <v>34891</v>
      </c>
      <c r="C9" s="42" t="s">
        <v>21</v>
      </c>
      <c r="D9" s="45"/>
      <c r="E9" s="45"/>
      <c r="F9">
        <v>1995</v>
      </c>
      <c r="H9" s="9">
        <v>2001</v>
      </c>
      <c r="I9">
        <v>12.135454545454547</v>
      </c>
      <c r="J9">
        <v>11.686363636363637</v>
      </c>
      <c r="K9">
        <v>12</v>
      </c>
      <c r="M9">
        <v>2002</v>
      </c>
      <c r="N9">
        <v>11.59909090909091</v>
      </c>
      <c r="O9">
        <v>11.9125</v>
      </c>
      <c r="P9">
        <v>12</v>
      </c>
    </row>
    <row r="10" spans="1:16" ht="15" customHeight="1" x14ac:dyDescent="0.3">
      <c r="A10" s="42" t="s">
        <v>98</v>
      </c>
      <c r="B10" s="43">
        <v>34911</v>
      </c>
      <c r="C10" s="42" t="s">
        <v>21</v>
      </c>
      <c r="D10" s="44">
        <v>21.2</v>
      </c>
      <c r="E10" s="44">
        <v>19.12</v>
      </c>
      <c r="F10">
        <v>1995</v>
      </c>
      <c r="H10" s="9">
        <v>2002</v>
      </c>
      <c r="I10">
        <v>11.59909090909091</v>
      </c>
      <c r="J10">
        <v>11.9125</v>
      </c>
      <c r="K10">
        <v>12</v>
      </c>
      <c r="M10">
        <v>2003</v>
      </c>
      <c r="N10">
        <v>10.891111111111112</v>
      </c>
      <c r="O10">
        <v>10.053000000000001</v>
      </c>
      <c r="P10">
        <v>10</v>
      </c>
    </row>
    <row r="11" spans="1:16" ht="15" customHeight="1" x14ac:dyDescent="0.3">
      <c r="A11" s="42" t="s">
        <v>100</v>
      </c>
      <c r="B11" s="43">
        <v>34954</v>
      </c>
      <c r="C11" s="42" t="s">
        <v>21</v>
      </c>
      <c r="D11" s="44">
        <v>20.309999999999999</v>
      </c>
      <c r="E11" s="44">
        <v>20.260000000000002</v>
      </c>
      <c r="F11">
        <v>1995</v>
      </c>
      <c r="H11" s="9">
        <v>2003</v>
      </c>
      <c r="I11">
        <v>10.891111111111112</v>
      </c>
      <c r="J11">
        <v>10.053000000000001</v>
      </c>
      <c r="K11">
        <v>10</v>
      </c>
      <c r="M11">
        <v>2004</v>
      </c>
      <c r="N11">
        <v>12.175454545454546</v>
      </c>
      <c r="O11">
        <v>11.795454545454545</v>
      </c>
      <c r="P11">
        <v>12</v>
      </c>
    </row>
    <row r="12" spans="1:16" ht="15" customHeight="1" x14ac:dyDescent="0.3">
      <c r="A12" s="42" t="s">
        <v>101</v>
      </c>
      <c r="B12" s="43">
        <v>34974</v>
      </c>
      <c r="C12" s="42" t="s">
        <v>21</v>
      </c>
      <c r="D12" s="44">
        <v>18.84</v>
      </c>
      <c r="E12" s="46">
        <v>18.8673</v>
      </c>
      <c r="F12">
        <v>1995</v>
      </c>
      <c r="H12" s="9">
        <v>2004</v>
      </c>
      <c r="I12">
        <v>12.175454545454546</v>
      </c>
      <c r="J12">
        <v>11.795454545454545</v>
      </c>
      <c r="K12">
        <v>12</v>
      </c>
      <c r="M12">
        <v>2005</v>
      </c>
      <c r="N12">
        <v>11.390833333333333</v>
      </c>
      <c r="O12">
        <v>10.805</v>
      </c>
      <c r="P12">
        <v>12</v>
      </c>
    </row>
    <row r="13" spans="1:16" ht="15" customHeight="1" x14ac:dyDescent="0.3">
      <c r="A13" s="42" t="s">
        <v>103</v>
      </c>
      <c r="B13" s="43">
        <v>35037</v>
      </c>
      <c r="C13" s="42" t="s">
        <v>21</v>
      </c>
      <c r="D13" s="44">
        <v>9.9</v>
      </c>
      <c r="E13" s="44">
        <v>9.99</v>
      </c>
      <c r="F13">
        <v>1995</v>
      </c>
      <c r="H13" s="9">
        <v>2005</v>
      </c>
      <c r="I13">
        <v>11.390833333333333</v>
      </c>
      <c r="J13">
        <v>10.805</v>
      </c>
      <c r="K13">
        <v>12</v>
      </c>
      <c r="M13">
        <v>2006</v>
      </c>
      <c r="N13">
        <v>15.261249999999999</v>
      </c>
      <c r="O13">
        <v>14.11375</v>
      </c>
      <c r="P13">
        <v>8</v>
      </c>
    </row>
    <row r="14" spans="1:16" ht="15" customHeight="1" x14ac:dyDescent="0.3">
      <c r="A14" s="42" t="s">
        <v>495</v>
      </c>
      <c r="B14" s="43">
        <v>35073</v>
      </c>
      <c r="C14" s="42" t="s">
        <v>21</v>
      </c>
      <c r="D14" s="44">
        <v>3.08</v>
      </c>
      <c r="E14" s="44">
        <v>3.09</v>
      </c>
      <c r="F14">
        <v>1996</v>
      </c>
      <c r="H14" s="9">
        <v>2006</v>
      </c>
      <c r="I14">
        <v>15.261249999999999</v>
      </c>
      <c r="J14">
        <v>14.11375</v>
      </c>
      <c r="K14">
        <v>8</v>
      </c>
      <c r="M14">
        <v>2007</v>
      </c>
      <c r="N14">
        <v>12.680909090909092</v>
      </c>
      <c r="O14">
        <v>11.682499999999999</v>
      </c>
      <c r="P14">
        <v>12</v>
      </c>
    </row>
    <row r="15" spans="1:16" ht="15" customHeight="1" x14ac:dyDescent="0.3">
      <c r="A15" s="42" t="s">
        <v>104</v>
      </c>
      <c r="B15" s="43">
        <v>35101</v>
      </c>
      <c r="C15" s="42" t="s">
        <v>21</v>
      </c>
      <c r="D15" s="44">
        <v>1.35</v>
      </c>
      <c r="E15" s="44">
        <v>1.49</v>
      </c>
      <c r="F15">
        <v>1996</v>
      </c>
      <c r="H15" s="9">
        <v>2007</v>
      </c>
      <c r="I15">
        <v>12.680909090909092</v>
      </c>
      <c r="J15">
        <v>11.682499999999999</v>
      </c>
      <c r="K15">
        <v>12</v>
      </c>
      <c r="M15">
        <v>2008</v>
      </c>
      <c r="N15">
        <v>12.211818181818183</v>
      </c>
      <c r="O15">
        <v>11.865454545454543</v>
      </c>
      <c r="P15">
        <v>11</v>
      </c>
    </row>
    <row r="16" spans="1:16" ht="15" customHeight="1" x14ac:dyDescent="0.3">
      <c r="A16" s="42" t="s">
        <v>105</v>
      </c>
      <c r="B16" s="43">
        <v>35131</v>
      </c>
      <c r="C16" s="42" t="s">
        <v>21</v>
      </c>
      <c r="D16" s="46">
        <v>1.58</v>
      </c>
      <c r="E16" s="46">
        <v>1.76</v>
      </c>
      <c r="F16">
        <v>1996</v>
      </c>
      <c r="H16" s="9">
        <v>2008</v>
      </c>
      <c r="I16">
        <v>12.211818181818183</v>
      </c>
      <c r="J16">
        <v>11.865454545454543</v>
      </c>
      <c r="K16">
        <v>11</v>
      </c>
      <c r="M16">
        <v>2009</v>
      </c>
      <c r="N16">
        <v>11.544166666666664</v>
      </c>
      <c r="O16">
        <v>10.237272727272726</v>
      </c>
      <c r="P16">
        <v>12</v>
      </c>
    </row>
    <row r="17" spans="1:17" ht="15" customHeight="1" x14ac:dyDescent="0.3">
      <c r="A17" s="42" t="s">
        <v>106</v>
      </c>
      <c r="B17" s="43">
        <v>35156</v>
      </c>
      <c r="C17" s="42" t="s">
        <v>21</v>
      </c>
      <c r="D17" s="46">
        <v>3.68</v>
      </c>
      <c r="E17" s="46">
        <v>3.1</v>
      </c>
      <c r="F17">
        <v>1996</v>
      </c>
      <c r="H17" s="9">
        <v>2009</v>
      </c>
      <c r="I17">
        <v>11.544166666666664</v>
      </c>
      <c r="J17">
        <v>10.237272727272726</v>
      </c>
      <c r="K17">
        <v>12</v>
      </c>
      <c r="M17">
        <v>2010</v>
      </c>
      <c r="N17" s="4"/>
      <c r="O17" s="4"/>
      <c r="Q17" s="4" t="s">
        <v>537</v>
      </c>
    </row>
    <row r="18" spans="1:17" ht="15" customHeight="1" x14ac:dyDescent="0.3">
      <c r="A18" s="42" t="s">
        <v>107</v>
      </c>
      <c r="B18" s="43">
        <v>35194</v>
      </c>
      <c r="C18" s="42" t="s">
        <v>21</v>
      </c>
      <c r="D18" s="44">
        <v>8.1199999999999992</v>
      </c>
      <c r="E18" s="44">
        <v>7.25</v>
      </c>
      <c r="F18">
        <v>1996</v>
      </c>
      <c r="H18" s="9">
        <v>2010</v>
      </c>
      <c r="I18">
        <v>5.2760000000000007</v>
      </c>
      <c r="J18">
        <v>5.1180000000000003</v>
      </c>
      <c r="K18">
        <v>6</v>
      </c>
      <c r="M18">
        <v>2011</v>
      </c>
      <c r="N18">
        <v>15.937500000000002</v>
      </c>
      <c r="O18">
        <v>15.230000000000002</v>
      </c>
      <c r="P18">
        <v>8</v>
      </c>
    </row>
    <row r="19" spans="1:17" ht="15" customHeight="1" x14ac:dyDescent="0.3">
      <c r="A19" s="42" t="s">
        <v>108</v>
      </c>
      <c r="B19" s="43">
        <v>35222</v>
      </c>
      <c r="C19" s="42" t="s">
        <v>21</v>
      </c>
      <c r="D19" s="44">
        <v>12.26</v>
      </c>
      <c r="E19" s="44">
        <v>11.66</v>
      </c>
      <c r="F19">
        <v>1996</v>
      </c>
      <c r="H19" s="9">
        <v>2011</v>
      </c>
      <c r="I19">
        <v>15.937500000000002</v>
      </c>
      <c r="J19">
        <v>15.230000000000002</v>
      </c>
      <c r="K19">
        <v>8</v>
      </c>
      <c r="M19">
        <v>2012</v>
      </c>
      <c r="N19">
        <v>12.8225</v>
      </c>
      <c r="O19">
        <v>12.913333333333334</v>
      </c>
      <c r="P19">
        <v>12</v>
      </c>
    </row>
    <row r="20" spans="1:17" ht="15" customHeight="1" x14ac:dyDescent="0.3">
      <c r="A20" s="42" t="s">
        <v>110</v>
      </c>
      <c r="B20" s="43">
        <v>35257</v>
      </c>
      <c r="C20" s="42" t="s">
        <v>21</v>
      </c>
      <c r="D20" s="44">
        <v>18.309999999999999</v>
      </c>
      <c r="E20" s="44">
        <v>16.059999999999999</v>
      </c>
      <c r="F20">
        <v>1996</v>
      </c>
      <c r="H20" s="9">
        <v>2012</v>
      </c>
      <c r="I20">
        <v>12.8225</v>
      </c>
      <c r="J20">
        <v>12.913333333333334</v>
      </c>
      <c r="K20">
        <v>12</v>
      </c>
      <c r="M20">
        <v>2013</v>
      </c>
      <c r="N20">
        <v>13.239166666666664</v>
      </c>
      <c r="O20">
        <v>12.6275</v>
      </c>
      <c r="P20">
        <v>13</v>
      </c>
    </row>
    <row r="21" spans="1:17" ht="15" customHeight="1" x14ac:dyDescent="0.3">
      <c r="A21" s="42" t="s">
        <v>112</v>
      </c>
      <c r="B21" s="43">
        <v>35282</v>
      </c>
      <c r="C21" s="42" t="s">
        <v>21</v>
      </c>
      <c r="D21" s="44">
        <v>18.28</v>
      </c>
      <c r="E21" s="44">
        <v>17.7</v>
      </c>
      <c r="F21">
        <v>1996</v>
      </c>
      <c r="H21" s="9">
        <v>2013</v>
      </c>
      <c r="I21">
        <v>13.239166666666664</v>
      </c>
      <c r="J21">
        <v>12.6275</v>
      </c>
      <c r="K21">
        <v>13</v>
      </c>
      <c r="M21">
        <v>2014</v>
      </c>
      <c r="N21">
        <v>11.455</v>
      </c>
      <c r="O21">
        <v>10.909999999999998</v>
      </c>
      <c r="P21">
        <v>12</v>
      </c>
    </row>
    <row r="22" spans="1:17" ht="15" customHeight="1" x14ac:dyDescent="0.3">
      <c r="A22" s="42" t="s">
        <v>114</v>
      </c>
      <c r="B22" s="43">
        <v>35311</v>
      </c>
      <c r="C22" s="42" t="s">
        <v>21</v>
      </c>
      <c r="D22" s="44">
        <v>20.25</v>
      </c>
      <c r="E22" s="46">
        <v>19.14</v>
      </c>
      <c r="F22">
        <v>1996</v>
      </c>
      <c r="H22" s="9">
        <v>2014</v>
      </c>
      <c r="I22">
        <v>11.455</v>
      </c>
      <c r="J22">
        <v>10.909999999999998</v>
      </c>
      <c r="K22">
        <v>12</v>
      </c>
      <c r="M22">
        <v>2015</v>
      </c>
      <c r="N22">
        <v>11.3025</v>
      </c>
      <c r="O22">
        <v>10.975</v>
      </c>
      <c r="P22">
        <v>12</v>
      </c>
    </row>
    <row r="23" spans="1:17" ht="15" customHeight="1" x14ac:dyDescent="0.3">
      <c r="A23" s="42" t="s">
        <v>115</v>
      </c>
      <c r="B23" s="43">
        <v>35339</v>
      </c>
      <c r="C23" s="42" t="s">
        <v>21</v>
      </c>
      <c r="D23" s="44">
        <v>18.22</v>
      </c>
      <c r="E23" s="44">
        <v>18.14</v>
      </c>
      <c r="F23">
        <v>1996</v>
      </c>
      <c r="H23" s="9">
        <v>2015</v>
      </c>
      <c r="I23">
        <v>11.3025</v>
      </c>
      <c r="J23">
        <v>10.975</v>
      </c>
      <c r="K23">
        <v>12</v>
      </c>
      <c r="M23">
        <v>2016</v>
      </c>
      <c r="N23">
        <v>13.824615384615385</v>
      </c>
      <c r="O23">
        <v>13.460769230769232</v>
      </c>
      <c r="P23">
        <v>14</v>
      </c>
    </row>
    <row r="24" spans="1:17" ht="15" customHeight="1" x14ac:dyDescent="0.3">
      <c r="A24" s="42" t="s">
        <v>116</v>
      </c>
      <c r="B24" s="43">
        <v>35381</v>
      </c>
      <c r="C24" s="42" t="s">
        <v>21</v>
      </c>
      <c r="D24" s="45"/>
      <c r="E24" s="45"/>
      <c r="F24">
        <v>1996</v>
      </c>
      <c r="H24" s="9">
        <v>2016</v>
      </c>
      <c r="I24">
        <v>13.824615384615385</v>
      </c>
      <c r="J24">
        <v>13.460769230769232</v>
      </c>
      <c r="K24">
        <v>14</v>
      </c>
      <c r="M24">
        <v>2017</v>
      </c>
      <c r="N24">
        <v>14.017000000000001</v>
      </c>
      <c r="O24">
        <v>13.622999999999999</v>
      </c>
      <c r="P24">
        <v>12</v>
      </c>
    </row>
    <row r="25" spans="1:17" ht="15" customHeight="1" x14ac:dyDescent="0.3">
      <c r="A25" s="42" t="s">
        <v>117</v>
      </c>
      <c r="B25" s="43">
        <v>35401</v>
      </c>
      <c r="C25" s="42" t="s">
        <v>21</v>
      </c>
      <c r="D25" s="44">
        <v>9.27</v>
      </c>
      <c r="E25" s="44">
        <v>9.31</v>
      </c>
      <c r="F25">
        <v>1996</v>
      </c>
      <c r="H25" s="9">
        <v>2017</v>
      </c>
      <c r="I25">
        <v>14.017000000000001</v>
      </c>
      <c r="J25">
        <v>13.622999999999999</v>
      </c>
      <c r="K25">
        <v>12</v>
      </c>
      <c r="M25">
        <v>2018</v>
      </c>
      <c r="N25">
        <v>13.713846153846154</v>
      </c>
      <c r="O25">
        <v>13.297692307692309</v>
      </c>
      <c r="P25">
        <v>14</v>
      </c>
    </row>
    <row r="26" spans="1:17" ht="15" customHeight="1" x14ac:dyDescent="0.3">
      <c r="A26" s="42" t="s">
        <v>496</v>
      </c>
      <c r="B26" s="43">
        <v>35439</v>
      </c>
      <c r="C26" s="42" t="s">
        <v>21</v>
      </c>
      <c r="D26" s="44">
        <v>5.96</v>
      </c>
      <c r="E26" s="44">
        <v>6.22</v>
      </c>
      <c r="F26">
        <v>1997</v>
      </c>
      <c r="H26" s="9">
        <v>2018</v>
      </c>
      <c r="I26">
        <v>13.713846153846154</v>
      </c>
      <c r="J26">
        <v>13.297692307692309</v>
      </c>
      <c r="K26">
        <v>14</v>
      </c>
      <c r="M26">
        <v>2019</v>
      </c>
      <c r="N26">
        <v>12.701538461538464</v>
      </c>
      <c r="O26">
        <v>12.233076923076924</v>
      </c>
      <c r="P26">
        <v>13</v>
      </c>
    </row>
    <row r="27" spans="1:17" ht="15" customHeight="1" x14ac:dyDescent="0.3">
      <c r="A27" s="42" t="s">
        <v>118</v>
      </c>
      <c r="B27" s="43">
        <v>35468</v>
      </c>
      <c r="C27" s="42" t="s">
        <v>21</v>
      </c>
      <c r="D27" s="44">
        <v>3.75</v>
      </c>
      <c r="E27" s="44">
        <v>4.01</v>
      </c>
      <c r="F27">
        <v>1997</v>
      </c>
      <c r="H27" s="9">
        <v>2019</v>
      </c>
      <c r="I27">
        <v>12.701538461538464</v>
      </c>
      <c r="J27">
        <v>12.233076923076924</v>
      </c>
      <c r="K27">
        <v>13</v>
      </c>
      <c r="M27">
        <v>2020</v>
      </c>
      <c r="N27">
        <v>15.174000000000001</v>
      </c>
      <c r="O27">
        <v>14.560999999999998</v>
      </c>
      <c r="P27">
        <v>10</v>
      </c>
    </row>
    <row r="28" spans="1:17" ht="15" customHeight="1" x14ac:dyDescent="0.3">
      <c r="A28" s="42" t="s">
        <v>119</v>
      </c>
      <c r="B28" s="43">
        <v>35494</v>
      </c>
      <c r="C28" s="42" t="s">
        <v>21</v>
      </c>
      <c r="D28" s="44">
        <v>4.17</v>
      </c>
      <c r="E28" s="44">
        <v>4.53</v>
      </c>
      <c r="F28">
        <v>1997</v>
      </c>
      <c r="H28" s="9">
        <v>2020</v>
      </c>
      <c r="I28">
        <v>15.174000000000001</v>
      </c>
      <c r="J28">
        <v>14.560999999999998</v>
      </c>
      <c r="K28">
        <v>10</v>
      </c>
      <c r="M28">
        <v>2021</v>
      </c>
      <c r="N28">
        <v>14.302727272727271</v>
      </c>
      <c r="O28">
        <v>14.844545454545454</v>
      </c>
      <c r="P28">
        <v>11</v>
      </c>
    </row>
    <row r="29" spans="1:17" ht="15" customHeight="1" x14ac:dyDescent="0.3">
      <c r="A29" s="42" t="s">
        <v>120</v>
      </c>
      <c r="B29" s="43">
        <v>35524</v>
      </c>
      <c r="C29" s="42" t="s">
        <v>21</v>
      </c>
      <c r="D29" s="46">
        <v>5.36</v>
      </c>
      <c r="E29" s="46">
        <v>5.13</v>
      </c>
      <c r="F29">
        <v>1997</v>
      </c>
      <c r="H29" s="9">
        <v>2021</v>
      </c>
      <c r="I29">
        <v>14.302727272727271</v>
      </c>
      <c r="J29">
        <v>14.844545454545454</v>
      </c>
      <c r="K29">
        <v>11</v>
      </c>
      <c r="M29">
        <v>2022</v>
      </c>
      <c r="N29">
        <v>12.882000000000001</v>
      </c>
      <c r="O29">
        <v>12.301</v>
      </c>
      <c r="P29">
        <v>11</v>
      </c>
    </row>
    <row r="30" spans="1:17" ht="15" customHeight="1" x14ac:dyDescent="0.3">
      <c r="A30" s="42" t="s">
        <v>121</v>
      </c>
      <c r="B30" s="43">
        <v>35555</v>
      </c>
      <c r="C30" s="42" t="s">
        <v>21</v>
      </c>
      <c r="D30" s="44">
        <v>8.73</v>
      </c>
      <c r="E30" s="44">
        <v>7.99</v>
      </c>
      <c r="F30">
        <v>1997</v>
      </c>
      <c r="H30" s="9">
        <v>2022</v>
      </c>
      <c r="I30">
        <v>12.882000000000001</v>
      </c>
      <c r="J30">
        <v>12.301</v>
      </c>
      <c r="K30">
        <v>11</v>
      </c>
      <c r="M30" s="9">
        <v>2023</v>
      </c>
      <c r="N30">
        <v>13.123000000000001</v>
      </c>
      <c r="O30">
        <v>12.629</v>
      </c>
      <c r="P30">
        <v>11</v>
      </c>
    </row>
    <row r="31" spans="1:17" ht="15" customHeight="1" thickBot="1" x14ac:dyDescent="0.35">
      <c r="A31" s="42" t="s">
        <v>122</v>
      </c>
      <c r="B31" s="43">
        <v>35583</v>
      </c>
      <c r="C31" s="42" t="s">
        <v>21</v>
      </c>
      <c r="D31" s="44">
        <v>10.58</v>
      </c>
      <c r="E31" s="44">
        <v>10.31</v>
      </c>
      <c r="F31">
        <v>1997</v>
      </c>
      <c r="H31" s="9">
        <v>2023</v>
      </c>
      <c r="I31">
        <v>13.123000000000001</v>
      </c>
      <c r="J31">
        <v>12.629</v>
      </c>
      <c r="K31">
        <v>11</v>
      </c>
      <c r="M31" s="122">
        <v>2024</v>
      </c>
      <c r="N31">
        <v>13.276363636363639</v>
      </c>
      <c r="O31">
        <v>12.47</v>
      </c>
      <c r="P31">
        <v>11</v>
      </c>
    </row>
    <row r="32" spans="1:17" ht="15" customHeight="1" thickBot="1" x14ac:dyDescent="0.35">
      <c r="A32" s="42" t="s">
        <v>491</v>
      </c>
      <c r="B32" s="43">
        <v>35619</v>
      </c>
      <c r="C32" s="42" t="s">
        <v>21</v>
      </c>
      <c r="D32" s="44">
        <v>18.88</v>
      </c>
      <c r="E32" s="44">
        <v>16.260000000000002</v>
      </c>
      <c r="F32">
        <v>1997</v>
      </c>
      <c r="H32" s="9">
        <v>2024</v>
      </c>
      <c r="I32">
        <v>13.276363636363639</v>
      </c>
      <c r="J32">
        <v>12.47</v>
      </c>
      <c r="K32">
        <v>11</v>
      </c>
      <c r="M32" t="s">
        <v>517</v>
      </c>
      <c r="N32" s="130">
        <v>12.511972560975606</v>
      </c>
      <c r="O32" s="130">
        <v>12.028863829787243</v>
      </c>
      <c r="P32" s="130">
        <v>344</v>
      </c>
    </row>
    <row r="33" spans="1:11" ht="15" customHeight="1" x14ac:dyDescent="0.3">
      <c r="A33" s="42" t="s">
        <v>125</v>
      </c>
      <c r="B33" s="43">
        <v>35649</v>
      </c>
      <c r="C33" s="42" t="s">
        <v>21</v>
      </c>
      <c r="D33" s="44">
        <v>19.920000000000002</v>
      </c>
      <c r="E33" s="44">
        <v>18.7</v>
      </c>
      <c r="F33">
        <v>1997</v>
      </c>
      <c r="H33" s="9" t="s">
        <v>517</v>
      </c>
      <c r="I33">
        <v>12.511972560975606</v>
      </c>
      <c r="J33">
        <v>12.028863829787243</v>
      </c>
      <c r="K33">
        <v>344</v>
      </c>
    </row>
    <row r="34" spans="1:11" ht="15" customHeight="1" x14ac:dyDescent="0.3">
      <c r="A34" s="42" t="s">
        <v>127</v>
      </c>
      <c r="B34" s="43">
        <v>35675</v>
      </c>
      <c r="C34" s="42" t="s">
        <v>21</v>
      </c>
      <c r="D34" s="44">
        <v>20.399999999999999</v>
      </c>
      <c r="E34" s="46">
        <v>19.45</v>
      </c>
      <c r="F34">
        <v>1997</v>
      </c>
    </row>
    <row r="35" spans="1:11" ht="15" customHeight="1" x14ac:dyDescent="0.3">
      <c r="A35" s="42" t="s">
        <v>128</v>
      </c>
      <c r="B35" s="43">
        <v>35709</v>
      </c>
      <c r="C35" s="42" t="s">
        <v>21</v>
      </c>
      <c r="D35" s="44">
        <v>17.53</v>
      </c>
      <c r="E35" s="46">
        <v>17.399999999999999</v>
      </c>
      <c r="F35">
        <v>1997</v>
      </c>
    </row>
    <row r="36" spans="1:11" ht="15" customHeight="1" x14ac:dyDescent="0.3">
      <c r="A36" s="42" t="s">
        <v>129</v>
      </c>
      <c r="B36" s="43">
        <v>35740</v>
      </c>
      <c r="C36" s="42" t="s">
        <v>21</v>
      </c>
      <c r="D36" s="44">
        <v>13.8</v>
      </c>
      <c r="E36" s="44">
        <v>14.45</v>
      </c>
      <c r="F36">
        <v>1997</v>
      </c>
    </row>
    <row r="37" spans="1:11" ht="15" customHeight="1" x14ac:dyDescent="0.3">
      <c r="A37" s="42" t="s">
        <v>130</v>
      </c>
      <c r="B37" s="43">
        <v>35768</v>
      </c>
      <c r="C37" s="42" t="s">
        <v>21</v>
      </c>
      <c r="D37" s="44">
        <v>8.69</v>
      </c>
      <c r="E37" s="44">
        <v>9.0299999999999994</v>
      </c>
      <c r="F37">
        <v>1997</v>
      </c>
    </row>
    <row r="38" spans="1:11" ht="15" customHeight="1" x14ac:dyDescent="0.3">
      <c r="A38" s="42" t="s">
        <v>131</v>
      </c>
      <c r="B38" s="43">
        <v>35800</v>
      </c>
      <c r="C38" s="42" t="s">
        <v>21</v>
      </c>
      <c r="D38" s="44">
        <v>5.54</v>
      </c>
      <c r="E38" s="44">
        <v>5.67</v>
      </c>
      <c r="F38">
        <v>1998</v>
      </c>
    </row>
    <row r="39" spans="1:11" ht="15" customHeight="1" x14ac:dyDescent="0.3">
      <c r="A39" s="42" t="s">
        <v>132</v>
      </c>
      <c r="B39" s="43">
        <v>35829</v>
      </c>
      <c r="C39" s="42" t="s">
        <v>21</v>
      </c>
      <c r="D39" s="44">
        <v>4.5199999999999996</v>
      </c>
      <c r="E39" s="44">
        <v>4.3600000000000003</v>
      </c>
      <c r="F39">
        <v>1998</v>
      </c>
    </row>
    <row r="40" spans="1:11" ht="15" customHeight="1" x14ac:dyDescent="0.3">
      <c r="A40" s="42" t="s">
        <v>134</v>
      </c>
      <c r="B40" s="43">
        <v>35853</v>
      </c>
      <c r="C40" s="42" t="s">
        <v>21</v>
      </c>
      <c r="D40" s="44">
        <v>4.07</v>
      </c>
      <c r="E40" s="44">
        <v>4.1100000000000003</v>
      </c>
      <c r="F40">
        <v>1998</v>
      </c>
    </row>
    <row r="41" spans="1:11" ht="15" customHeight="1" x14ac:dyDescent="0.3">
      <c r="A41" s="42" t="s">
        <v>136</v>
      </c>
      <c r="B41" s="43">
        <v>35899</v>
      </c>
      <c r="C41" s="42" t="s">
        <v>21</v>
      </c>
      <c r="D41" s="44">
        <v>6.63</v>
      </c>
      <c r="E41" s="44">
        <v>6.22</v>
      </c>
      <c r="F41">
        <v>1998</v>
      </c>
    </row>
    <row r="42" spans="1:11" ht="15" customHeight="1" x14ac:dyDescent="0.3">
      <c r="A42" s="42" t="s">
        <v>137</v>
      </c>
      <c r="B42" s="43">
        <v>35922</v>
      </c>
      <c r="C42" s="42" t="s">
        <v>21</v>
      </c>
      <c r="D42" s="44">
        <v>9.907</v>
      </c>
      <c r="E42" s="44">
        <v>9.1189</v>
      </c>
      <c r="F42">
        <v>1998</v>
      </c>
    </row>
    <row r="43" spans="1:11" ht="15" customHeight="1" x14ac:dyDescent="0.3">
      <c r="A43" s="42" t="s">
        <v>138</v>
      </c>
      <c r="B43" s="43">
        <v>35954</v>
      </c>
      <c r="C43" s="42" t="s">
        <v>21</v>
      </c>
      <c r="D43" s="44">
        <v>14.26</v>
      </c>
      <c r="E43" s="46">
        <v>12.28</v>
      </c>
      <c r="F43">
        <v>1998</v>
      </c>
    </row>
    <row r="44" spans="1:11" ht="15" customHeight="1" x14ac:dyDescent="0.3">
      <c r="A44" s="42" t="s">
        <v>140</v>
      </c>
      <c r="B44" s="43">
        <v>35982</v>
      </c>
      <c r="C44" s="42" t="s">
        <v>21</v>
      </c>
      <c r="D44" s="44">
        <v>19.079999999999998</v>
      </c>
      <c r="E44" s="44">
        <v>15.52</v>
      </c>
      <c r="F44">
        <v>1998</v>
      </c>
    </row>
    <row r="45" spans="1:11" ht="15" customHeight="1" x14ac:dyDescent="0.3">
      <c r="A45" s="42" t="s">
        <v>142</v>
      </c>
      <c r="B45" s="43">
        <v>36013</v>
      </c>
      <c r="C45" s="42" t="s">
        <v>21</v>
      </c>
      <c r="D45" s="46">
        <v>20.27</v>
      </c>
      <c r="E45" s="46">
        <v>17.940000000000001</v>
      </c>
      <c r="F45">
        <v>1998</v>
      </c>
    </row>
    <row r="46" spans="1:11" ht="15" customHeight="1" x14ac:dyDescent="0.3">
      <c r="A46" s="42" t="s">
        <v>143</v>
      </c>
      <c r="B46" s="43">
        <v>36028</v>
      </c>
      <c r="C46" s="42" t="s">
        <v>21</v>
      </c>
      <c r="D46" s="44">
        <v>19.989999999999998</v>
      </c>
      <c r="E46" s="44">
        <v>19.68</v>
      </c>
      <c r="F46">
        <v>1998</v>
      </c>
    </row>
    <row r="47" spans="1:11" ht="15" customHeight="1" x14ac:dyDescent="0.3">
      <c r="A47" s="42" t="s">
        <v>144</v>
      </c>
      <c r="B47" s="43">
        <v>36038</v>
      </c>
      <c r="C47" s="42" t="s">
        <v>21</v>
      </c>
      <c r="D47" s="44">
        <v>22.02</v>
      </c>
      <c r="E47" s="44">
        <v>19.72</v>
      </c>
      <c r="F47">
        <v>1998</v>
      </c>
    </row>
    <row r="48" spans="1:11" ht="15" customHeight="1" x14ac:dyDescent="0.3">
      <c r="A48" s="42" t="s">
        <v>146</v>
      </c>
      <c r="B48" s="43">
        <v>36069</v>
      </c>
      <c r="C48" s="42" t="s">
        <v>21</v>
      </c>
      <c r="D48" s="44">
        <v>19.690000000000001</v>
      </c>
      <c r="E48" s="44">
        <v>18.09</v>
      </c>
      <c r="F48">
        <v>1998</v>
      </c>
    </row>
    <row r="49" spans="1:6" ht="15" customHeight="1" x14ac:dyDescent="0.3">
      <c r="A49" s="42" t="s">
        <v>147</v>
      </c>
      <c r="B49" s="43">
        <v>36103</v>
      </c>
      <c r="C49" s="42" t="s">
        <v>21</v>
      </c>
      <c r="D49" s="44">
        <v>13.47</v>
      </c>
      <c r="E49" s="44">
        <v>13.62</v>
      </c>
      <c r="F49">
        <v>1998</v>
      </c>
    </row>
    <row r="50" spans="1:6" ht="15" customHeight="1" x14ac:dyDescent="0.3">
      <c r="A50" s="42" t="s">
        <v>148</v>
      </c>
      <c r="B50" s="43">
        <v>36129</v>
      </c>
      <c r="C50" s="42" t="s">
        <v>21</v>
      </c>
      <c r="D50" s="44">
        <v>10.38</v>
      </c>
      <c r="E50" s="44">
        <v>10.38</v>
      </c>
      <c r="F50">
        <v>1998</v>
      </c>
    </row>
    <row r="51" spans="1:6" ht="15" customHeight="1" x14ac:dyDescent="0.3">
      <c r="A51" s="42" t="s">
        <v>149</v>
      </c>
      <c r="B51" s="43">
        <v>36165</v>
      </c>
      <c r="C51" s="42" t="s">
        <v>21</v>
      </c>
      <c r="D51" s="44">
        <v>4.79</v>
      </c>
      <c r="E51" s="44">
        <v>6.27</v>
      </c>
      <c r="F51">
        <v>1999</v>
      </c>
    </row>
    <row r="52" spans="1:6" ht="15" customHeight="1" x14ac:dyDescent="0.3">
      <c r="A52" s="42" t="s">
        <v>150</v>
      </c>
      <c r="B52" s="43">
        <v>36192</v>
      </c>
      <c r="C52" s="42" t="s">
        <v>21</v>
      </c>
      <c r="D52" s="44">
        <v>4.05</v>
      </c>
      <c r="E52" s="44">
        <v>4.21</v>
      </c>
      <c r="F52">
        <v>1999</v>
      </c>
    </row>
    <row r="53" spans="1:6" ht="15" customHeight="1" x14ac:dyDescent="0.3">
      <c r="A53" s="42" t="s">
        <v>152</v>
      </c>
      <c r="B53" s="43">
        <v>36222</v>
      </c>
      <c r="C53" s="42" t="s">
        <v>21</v>
      </c>
      <c r="D53" s="44">
        <v>4.1100000000000003</v>
      </c>
      <c r="E53" s="44">
        <v>4.1399999999999997</v>
      </c>
      <c r="F53">
        <v>1999</v>
      </c>
    </row>
    <row r="54" spans="1:6" ht="15" customHeight="1" x14ac:dyDescent="0.3">
      <c r="A54" s="42" t="s">
        <v>154</v>
      </c>
      <c r="B54" s="43">
        <v>36255</v>
      </c>
      <c r="C54" s="42" t="s">
        <v>21</v>
      </c>
      <c r="D54" s="44">
        <v>5.48</v>
      </c>
      <c r="E54" s="44">
        <v>5.6</v>
      </c>
      <c r="F54">
        <v>1999</v>
      </c>
    </row>
    <row r="55" spans="1:6" ht="15" customHeight="1" x14ac:dyDescent="0.3">
      <c r="A55" s="42" t="s">
        <v>155</v>
      </c>
      <c r="B55" s="43">
        <v>36285</v>
      </c>
      <c r="C55" s="42" t="s">
        <v>21</v>
      </c>
      <c r="D55" s="44">
        <v>9.11</v>
      </c>
      <c r="E55" s="44">
        <v>8.58</v>
      </c>
      <c r="F55">
        <v>1999</v>
      </c>
    </row>
    <row r="56" spans="1:6" ht="15" customHeight="1" x14ac:dyDescent="0.3">
      <c r="A56" s="42" t="s">
        <v>156</v>
      </c>
      <c r="B56" s="43">
        <v>36313</v>
      </c>
      <c r="C56" s="42" t="s">
        <v>21</v>
      </c>
      <c r="D56" s="44">
        <v>13.99</v>
      </c>
      <c r="E56" s="44">
        <v>13.05</v>
      </c>
      <c r="F56">
        <v>1999</v>
      </c>
    </row>
    <row r="57" spans="1:6" ht="15" customHeight="1" x14ac:dyDescent="0.3">
      <c r="A57" s="42" t="s">
        <v>158</v>
      </c>
      <c r="B57" s="43">
        <v>36347</v>
      </c>
      <c r="C57" s="42" t="s">
        <v>21</v>
      </c>
      <c r="D57" s="44">
        <v>19.309999999999999</v>
      </c>
      <c r="E57" s="44">
        <v>16.670000000000002</v>
      </c>
      <c r="F57">
        <v>1999</v>
      </c>
    </row>
    <row r="58" spans="1:6" ht="15" customHeight="1" x14ac:dyDescent="0.3">
      <c r="A58" s="42" t="s">
        <v>160</v>
      </c>
      <c r="B58" s="43">
        <v>36374</v>
      </c>
      <c r="C58" s="42" t="s">
        <v>21</v>
      </c>
      <c r="D58" s="44">
        <v>20.18</v>
      </c>
      <c r="E58" s="44">
        <v>19.09</v>
      </c>
      <c r="F58">
        <v>1999</v>
      </c>
    </row>
    <row r="59" spans="1:6" ht="15" customHeight="1" x14ac:dyDescent="0.3">
      <c r="A59" s="42" t="s">
        <v>162</v>
      </c>
      <c r="B59" s="43">
        <v>36406</v>
      </c>
      <c r="C59" s="42" t="s">
        <v>21</v>
      </c>
      <c r="D59" s="44">
        <v>20.71</v>
      </c>
      <c r="E59" s="44">
        <v>20.5</v>
      </c>
      <c r="F59">
        <v>1999</v>
      </c>
    </row>
    <row r="60" spans="1:6" ht="15" customHeight="1" x14ac:dyDescent="0.3">
      <c r="A60" s="42" t="s">
        <v>163</v>
      </c>
      <c r="B60" s="43">
        <v>36438</v>
      </c>
      <c r="C60" s="42" t="s">
        <v>21</v>
      </c>
      <c r="D60" s="44">
        <v>18.34</v>
      </c>
      <c r="E60" s="44">
        <v>19</v>
      </c>
      <c r="F60">
        <v>1999</v>
      </c>
    </row>
    <row r="61" spans="1:6" ht="15" customHeight="1" x14ac:dyDescent="0.3">
      <c r="A61" s="42" t="s">
        <v>164</v>
      </c>
      <c r="B61" s="43">
        <v>36473</v>
      </c>
      <c r="C61" s="42" t="s">
        <v>21</v>
      </c>
      <c r="D61" s="44">
        <v>14.16</v>
      </c>
      <c r="E61" s="44">
        <v>14.24</v>
      </c>
      <c r="F61">
        <v>1999</v>
      </c>
    </row>
    <row r="62" spans="1:6" ht="15" customHeight="1" x14ac:dyDescent="0.3">
      <c r="A62" s="42" t="s">
        <v>165</v>
      </c>
      <c r="B62" s="43">
        <v>36500</v>
      </c>
      <c r="C62" s="42" t="s">
        <v>21</v>
      </c>
      <c r="D62" s="44">
        <v>10.74</v>
      </c>
      <c r="E62" s="44">
        <v>10.81</v>
      </c>
      <c r="F62">
        <v>1999</v>
      </c>
    </row>
    <row r="63" spans="1:6" ht="15" customHeight="1" x14ac:dyDescent="0.3">
      <c r="A63" s="42" t="s">
        <v>166</v>
      </c>
      <c r="B63" s="43">
        <v>36538</v>
      </c>
      <c r="C63" s="42" t="s">
        <v>21</v>
      </c>
      <c r="D63" s="44">
        <v>6.33</v>
      </c>
      <c r="E63" s="44">
        <v>6.94</v>
      </c>
      <c r="F63">
        <v>2000</v>
      </c>
    </row>
    <row r="64" spans="1:6" ht="15" customHeight="1" x14ac:dyDescent="0.3">
      <c r="A64" s="42" t="s">
        <v>167</v>
      </c>
      <c r="B64" s="43">
        <v>36559</v>
      </c>
      <c r="C64" s="42" t="s">
        <v>21</v>
      </c>
      <c r="D64" s="44">
        <v>2</v>
      </c>
      <c r="E64" s="44">
        <v>2.62</v>
      </c>
      <c r="F64">
        <v>2000</v>
      </c>
    </row>
    <row r="65" spans="1:6" ht="15" customHeight="1" x14ac:dyDescent="0.3">
      <c r="A65" s="42" t="s">
        <v>169</v>
      </c>
      <c r="B65" s="43">
        <v>36586</v>
      </c>
      <c r="C65" s="42" t="s">
        <v>21</v>
      </c>
      <c r="D65" s="44">
        <v>2.61</v>
      </c>
      <c r="E65" s="46">
        <v>3.19</v>
      </c>
      <c r="F65">
        <v>2000</v>
      </c>
    </row>
    <row r="66" spans="1:6" ht="15" customHeight="1" x14ac:dyDescent="0.3">
      <c r="A66" s="42" t="s">
        <v>171</v>
      </c>
      <c r="B66" s="43">
        <v>36619</v>
      </c>
      <c r="C66" s="42" t="s">
        <v>21</v>
      </c>
      <c r="D66" s="44">
        <v>5.45</v>
      </c>
      <c r="E66" s="44">
        <v>5.19</v>
      </c>
      <c r="F66">
        <v>2000</v>
      </c>
    </row>
    <row r="67" spans="1:6" ht="15" customHeight="1" x14ac:dyDescent="0.3">
      <c r="A67" s="42" t="s">
        <v>172</v>
      </c>
      <c r="B67" s="43">
        <v>36647</v>
      </c>
      <c r="C67" s="42" t="s">
        <v>21</v>
      </c>
      <c r="D67" s="44">
        <v>7.63</v>
      </c>
      <c r="E67" s="44">
        <v>7.43</v>
      </c>
      <c r="F67">
        <v>2000</v>
      </c>
    </row>
    <row r="68" spans="1:6" ht="15" customHeight="1" x14ac:dyDescent="0.3">
      <c r="A68" s="42" t="s">
        <v>173</v>
      </c>
      <c r="B68" s="43">
        <v>36678</v>
      </c>
      <c r="C68" s="42" t="s">
        <v>21</v>
      </c>
      <c r="D68" s="44">
        <v>12.13</v>
      </c>
      <c r="E68" s="44">
        <v>11.85</v>
      </c>
      <c r="F68">
        <v>2000</v>
      </c>
    </row>
    <row r="69" spans="1:6" ht="15" customHeight="1" x14ac:dyDescent="0.3">
      <c r="A69" s="42" t="s">
        <v>175</v>
      </c>
      <c r="B69" s="43">
        <v>36712</v>
      </c>
      <c r="C69" s="42" t="s">
        <v>21</v>
      </c>
      <c r="D69" s="44">
        <v>18.010000000000002</v>
      </c>
      <c r="E69" s="44">
        <v>17.38</v>
      </c>
      <c r="F69">
        <v>2000</v>
      </c>
    </row>
    <row r="70" spans="1:6" ht="15" customHeight="1" x14ac:dyDescent="0.3">
      <c r="A70" s="42" t="s">
        <v>177</v>
      </c>
      <c r="B70" s="43">
        <v>36738</v>
      </c>
      <c r="C70" s="42" t="s">
        <v>21</v>
      </c>
      <c r="D70" s="44">
        <v>19.28</v>
      </c>
      <c r="E70" s="44">
        <v>19.16</v>
      </c>
      <c r="F70">
        <v>2000</v>
      </c>
    </row>
    <row r="71" spans="1:6" ht="15" customHeight="1" x14ac:dyDescent="0.3">
      <c r="A71" s="42" t="s">
        <v>179</v>
      </c>
      <c r="B71" s="43">
        <v>36767</v>
      </c>
      <c r="C71" s="42" t="s">
        <v>21</v>
      </c>
      <c r="D71" s="44">
        <v>19.739999999999998</v>
      </c>
      <c r="E71" s="44">
        <v>19.690000000000001</v>
      </c>
      <c r="F71">
        <v>2000</v>
      </c>
    </row>
    <row r="72" spans="1:6" ht="15" customHeight="1" x14ac:dyDescent="0.3">
      <c r="A72" s="42" t="s">
        <v>180</v>
      </c>
      <c r="B72" s="43">
        <v>36804</v>
      </c>
      <c r="C72" s="42" t="s">
        <v>21</v>
      </c>
      <c r="D72" s="44">
        <v>18.21</v>
      </c>
      <c r="E72" s="44">
        <v>17.98</v>
      </c>
      <c r="F72">
        <v>2000</v>
      </c>
    </row>
    <row r="73" spans="1:6" ht="15" customHeight="1" x14ac:dyDescent="0.3">
      <c r="A73" s="42" t="s">
        <v>181</v>
      </c>
      <c r="B73" s="43">
        <v>36838</v>
      </c>
      <c r="C73" s="42" t="s">
        <v>21</v>
      </c>
      <c r="D73" s="44">
        <v>13.34</v>
      </c>
      <c r="E73" s="44">
        <v>13.56</v>
      </c>
      <c r="F73">
        <v>2000</v>
      </c>
    </row>
    <row r="74" spans="1:6" ht="15" customHeight="1" x14ac:dyDescent="0.3">
      <c r="A74" s="42" t="s">
        <v>182</v>
      </c>
      <c r="B74" s="43">
        <v>36866</v>
      </c>
      <c r="C74" s="42" t="s">
        <v>21</v>
      </c>
      <c r="D74" s="44">
        <v>8.06</v>
      </c>
      <c r="E74" s="44">
        <v>9.0500000000000007</v>
      </c>
      <c r="F74">
        <v>2000</v>
      </c>
    </row>
    <row r="75" spans="1:6" ht="15" customHeight="1" x14ac:dyDescent="0.3">
      <c r="A75" s="42" t="s">
        <v>183</v>
      </c>
      <c r="B75" s="43">
        <v>36899</v>
      </c>
      <c r="C75" s="42" t="s">
        <v>21</v>
      </c>
      <c r="D75" s="44">
        <v>3.47</v>
      </c>
      <c r="E75" s="44">
        <v>3.61</v>
      </c>
      <c r="F75">
        <v>2001</v>
      </c>
    </row>
    <row r="76" spans="1:6" ht="15" customHeight="1" x14ac:dyDescent="0.3">
      <c r="A76" s="42" t="s">
        <v>184</v>
      </c>
      <c r="B76" s="43">
        <v>36923</v>
      </c>
      <c r="C76" s="42" t="s">
        <v>21</v>
      </c>
      <c r="D76" s="44">
        <v>2.84</v>
      </c>
      <c r="E76" s="44">
        <v>3.06</v>
      </c>
      <c r="F76">
        <v>2001</v>
      </c>
    </row>
    <row r="77" spans="1:6" ht="15" customHeight="1" x14ac:dyDescent="0.3">
      <c r="A77" s="42" t="s">
        <v>186</v>
      </c>
      <c r="B77" s="43">
        <v>36951</v>
      </c>
      <c r="C77" s="42" t="s">
        <v>21</v>
      </c>
      <c r="D77" s="44">
        <v>2.5499999999999998</v>
      </c>
      <c r="E77" s="44">
        <v>2.85</v>
      </c>
      <c r="F77">
        <v>2001</v>
      </c>
    </row>
    <row r="78" spans="1:6" ht="15" customHeight="1" x14ac:dyDescent="0.3">
      <c r="A78" s="42" t="s">
        <v>187</v>
      </c>
      <c r="B78" s="43">
        <v>36984</v>
      </c>
      <c r="C78" s="42" t="s">
        <v>21</v>
      </c>
      <c r="D78" s="44">
        <v>3.86</v>
      </c>
      <c r="E78" s="44">
        <v>4</v>
      </c>
      <c r="F78">
        <v>2001</v>
      </c>
    </row>
    <row r="79" spans="1:6" ht="15" customHeight="1" x14ac:dyDescent="0.3">
      <c r="A79" s="42" t="s">
        <v>188</v>
      </c>
      <c r="B79" s="43">
        <v>37011</v>
      </c>
      <c r="C79" s="42" t="s">
        <v>21</v>
      </c>
      <c r="D79" s="45"/>
      <c r="E79" s="45"/>
      <c r="F79">
        <v>2001</v>
      </c>
    </row>
    <row r="80" spans="1:6" ht="15" customHeight="1" x14ac:dyDescent="0.3">
      <c r="A80" s="42" t="s">
        <v>189</v>
      </c>
      <c r="B80" s="43">
        <v>37046</v>
      </c>
      <c r="C80" s="42" t="s">
        <v>21</v>
      </c>
      <c r="D80" s="44">
        <v>13.02</v>
      </c>
      <c r="E80" s="44">
        <v>12.4</v>
      </c>
      <c r="F80">
        <v>2001</v>
      </c>
    </row>
    <row r="81" spans="1:6" ht="15" customHeight="1" x14ac:dyDescent="0.3">
      <c r="A81" s="42" t="s">
        <v>191</v>
      </c>
      <c r="B81" s="43">
        <v>37078</v>
      </c>
      <c r="C81" s="42" t="s">
        <v>21</v>
      </c>
      <c r="D81" s="44">
        <v>18.57</v>
      </c>
      <c r="E81" s="44">
        <v>17.34</v>
      </c>
      <c r="F81">
        <v>2001</v>
      </c>
    </row>
    <row r="82" spans="1:6" ht="15" customHeight="1" x14ac:dyDescent="0.3">
      <c r="A82" s="42" t="s">
        <v>193</v>
      </c>
      <c r="B82" s="43">
        <v>37112</v>
      </c>
      <c r="C82" s="42" t="s">
        <v>21</v>
      </c>
      <c r="D82" s="44">
        <v>21.95</v>
      </c>
      <c r="E82" s="44">
        <v>18.78</v>
      </c>
      <c r="F82">
        <v>2001</v>
      </c>
    </row>
    <row r="83" spans="1:6" ht="15" customHeight="1" x14ac:dyDescent="0.3">
      <c r="A83" s="42" t="s">
        <v>196</v>
      </c>
      <c r="B83" s="43">
        <v>37144</v>
      </c>
      <c r="C83" s="42" t="s">
        <v>21</v>
      </c>
      <c r="D83" s="44">
        <v>21.5</v>
      </c>
      <c r="E83" s="44">
        <v>20.350000000000001</v>
      </c>
      <c r="F83">
        <v>2001</v>
      </c>
    </row>
    <row r="84" spans="1:6" ht="15" customHeight="1" x14ac:dyDescent="0.3">
      <c r="A84" s="42" t="s">
        <v>198</v>
      </c>
      <c r="B84" s="43">
        <v>37166</v>
      </c>
      <c r="C84" s="42" t="s">
        <v>21</v>
      </c>
      <c r="D84" s="44">
        <v>19.010000000000002</v>
      </c>
      <c r="E84" s="44">
        <v>19.059999999999999</v>
      </c>
      <c r="F84">
        <v>2001</v>
      </c>
    </row>
    <row r="85" spans="1:6" ht="15" customHeight="1" x14ac:dyDescent="0.3">
      <c r="A85" s="42" t="s">
        <v>199</v>
      </c>
      <c r="B85" s="43">
        <v>37200</v>
      </c>
      <c r="C85" s="42" t="s">
        <v>21</v>
      </c>
      <c r="D85" s="44">
        <v>14.81</v>
      </c>
      <c r="E85" s="44">
        <v>14.99</v>
      </c>
      <c r="F85">
        <v>2001</v>
      </c>
    </row>
    <row r="86" spans="1:6" ht="15" customHeight="1" x14ac:dyDescent="0.3">
      <c r="A86" s="42" t="s">
        <v>200</v>
      </c>
      <c r="B86" s="43">
        <v>37228</v>
      </c>
      <c r="C86" s="42" t="s">
        <v>21</v>
      </c>
      <c r="D86" s="44">
        <v>11.91</v>
      </c>
      <c r="E86" s="44">
        <v>12.11</v>
      </c>
      <c r="F86">
        <v>2001</v>
      </c>
    </row>
    <row r="87" spans="1:6" ht="15" customHeight="1" x14ac:dyDescent="0.3">
      <c r="A87" s="42" t="s">
        <v>201</v>
      </c>
      <c r="B87" s="43">
        <v>37267</v>
      </c>
      <c r="C87" s="42" t="s">
        <v>21</v>
      </c>
      <c r="D87" s="44">
        <v>6.59</v>
      </c>
      <c r="E87" s="44">
        <v>6.59</v>
      </c>
      <c r="F87">
        <v>2002</v>
      </c>
    </row>
    <row r="88" spans="1:6" ht="15" customHeight="1" x14ac:dyDescent="0.3">
      <c r="A88" s="42" t="s">
        <v>202</v>
      </c>
      <c r="B88" s="43">
        <v>37291</v>
      </c>
      <c r="C88" s="42" t="s">
        <v>21</v>
      </c>
      <c r="D88" s="44">
        <v>5.19</v>
      </c>
      <c r="E88" s="44">
        <v>5.46</v>
      </c>
      <c r="F88">
        <v>2002</v>
      </c>
    </row>
    <row r="89" spans="1:6" ht="15" customHeight="1" x14ac:dyDescent="0.3">
      <c r="A89" s="42" t="s">
        <v>204</v>
      </c>
      <c r="B89" s="43">
        <v>37320</v>
      </c>
      <c r="C89" s="42" t="s">
        <v>21</v>
      </c>
      <c r="D89" s="44">
        <v>5.08</v>
      </c>
      <c r="E89" s="44">
        <v>5.2</v>
      </c>
      <c r="F89">
        <v>2002</v>
      </c>
    </row>
    <row r="90" spans="1:6" ht="15" customHeight="1" x14ac:dyDescent="0.3">
      <c r="A90" s="42" t="s">
        <v>206</v>
      </c>
      <c r="B90" s="43">
        <v>37348</v>
      </c>
      <c r="C90" s="42" t="s">
        <v>21</v>
      </c>
      <c r="D90" s="44">
        <v>5.97</v>
      </c>
      <c r="E90" s="44">
        <v>5.82</v>
      </c>
      <c r="F90">
        <v>2002</v>
      </c>
    </row>
    <row r="91" spans="1:6" ht="15" customHeight="1" x14ac:dyDescent="0.3">
      <c r="A91" s="42" t="s">
        <v>207</v>
      </c>
      <c r="B91" s="43">
        <v>37382</v>
      </c>
      <c r="C91" s="42" t="s">
        <v>21</v>
      </c>
      <c r="D91" s="44">
        <v>9.56</v>
      </c>
      <c r="E91" s="44">
        <v>8.98</v>
      </c>
      <c r="F91">
        <v>2002</v>
      </c>
    </row>
    <row r="92" spans="1:6" ht="15" customHeight="1" x14ac:dyDescent="0.3">
      <c r="A92" s="42" t="s">
        <v>208</v>
      </c>
      <c r="B92" s="43">
        <v>37411</v>
      </c>
      <c r="C92" s="42" t="s">
        <v>21</v>
      </c>
      <c r="D92" s="44">
        <v>13.48</v>
      </c>
      <c r="E92" s="44">
        <v>12.11</v>
      </c>
      <c r="F92">
        <v>2002</v>
      </c>
    </row>
    <row r="93" spans="1:6" ht="15" customHeight="1" x14ac:dyDescent="0.3">
      <c r="A93" s="42" t="s">
        <v>210</v>
      </c>
      <c r="B93" s="43">
        <v>37445</v>
      </c>
      <c r="C93" s="42" t="s">
        <v>21</v>
      </c>
      <c r="D93" s="44">
        <v>19.61</v>
      </c>
      <c r="E93" s="44">
        <v>16.440000000000001</v>
      </c>
      <c r="F93">
        <v>2002</v>
      </c>
    </row>
    <row r="94" spans="1:6" ht="15" customHeight="1" x14ac:dyDescent="0.3">
      <c r="A94" s="42" t="s">
        <v>212</v>
      </c>
      <c r="B94" s="43">
        <v>37473</v>
      </c>
      <c r="C94" s="42" t="s">
        <v>21</v>
      </c>
      <c r="D94" s="44">
        <v>21.69</v>
      </c>
      <c r="E94" s="44">
        <v>19.989999999999998</v>
      </c>
      <c r="F94">
        <v>2002</v>
      </c>
    </row>
    <row r="95" spans="1:6" ht="15" customHeight="1" x14ac:dyDescent="0.3">
      <c r="A95" s="42" t="s">
        <v>214</v>
      </c>
      <c r="B95" s="43">
        <v>37508</v>
      </c>
      <c r="C95" s="42" t="s">
        <v>21</v>
      </c>
      <c r="D95" s="45"/>
      <c r="E95" s="44">
        <v>20.83</v>
      </c>
      <c r="F95">
        <v>2002</v>
      </c>
    </row>
    <row r="96" spans="1:6" ht="15" customHeight="1" x14ac:dyDescent="0.3">
      <c r="A96" s="42" t="s">
        <v>215</v>
      </c>
      <c r="B96" s="43">
        <v>37537</v>
      </c>
      <c r="C96" s="42" t="s">
        <v>21</v>
      </c>
      <c r="D96" s="44">
        <v>19.329999999999998</v>
      </c>
      <c r="E96" s="44">
        <v>19.47</v>
      </c>
      <c r="F96">
        <v>2002</v>
      </c>
    </row>
    <row r="97" spans="1:6" ht="15" customHeight="1" x14ac:dyDescent="0.3">
      <c r="A97" s="42" t="s">
        <v>216</v>
      </c>
      <c r="B97" s="43">
        <v>37565</v>
      </c>
      <c r="C97" s="42" t="s">
        <v>21</v>
      </c>
      <c r="D97" s="44">
        <v>13.91</v>
      </c>
      <c r="E97" s="44">
        <v>13.92</v>
      </c>
      <c r="F97">
        <v>2002</v>
      </c>
    </row>
    <row r="98" spans="1:6" ht="15" customHeight="1" x14ac:dyDescent="0.3">
      <c r="A98" s="42" t="s">
        <v>217</v>
      </c>
      <c r="B98" s="43">
        <v>37599</v>
      </c>
      <c r="C98" s="42" t="s">
        <v>21</v>
      </c>
      <c r="D98" s="44">
        <v>7.18</v>
      </c>
      <c r="E98" s="44">
        <v>8.14</v>
      </c>
      <c r="F98">
        <v>2002</v>
      </c>
    </row>
    <row r="99" spans="1:6" ht="15" customHeight="1" x14ac:dyDescent="0.3">
      <c r="A99" s="42" t="s">
        <v>218</v>
      </c>
      <c r="B99" s="43">
        <v>37649</v>
      </c>
      <c r="C99" s="42" t="s">
        <v>21</v>
      </c>
      <c r="D99" s="44">
        <v>1.83</v>
      </c>
      <c r="E99" s="44">
        <v>2.2000000000000002</v>
      </c>
      <c r="F99">
        <v>2003</v>
      </c>
    </row>
    <row r="100" spans="1:6" ht="15" customHeight="1" x14ac:dyDescent="0.3">
      <c r="A100" s="42" t="s">
        <v>219</v>
      </c>
      <c r="B100" s="43">
        <v>37684</v>
      </c>
      <c r="C100" s="42" t="s">
        <v>21</v>
      </c>
      <c r="D100" s="44">
        <v>0.67</v>
      </c>
      <c r="E100" s="44">
        <v>1.29</v>
      </c>
      <c r="F100">
        <v>2003</v>
      </c>
    </row>
    <row r="101" spans="1:6" ht="15" customHeight="1" x14ac:dyDescent="0.3">
      <c r="A101" s="42" t="s">
        <v>221</v>
      </c>
      <c r="B101" s="43">
        <v>37714</v>
      </c>
      <c r="C101" s="42" t="s">
        <v>21</v>
      </c>
      <c r="D101" s="44">
        <v>4.04</v>
      </c>
      <c r="E101" s="44">
        <v>3.66</v>
      </c>
      <c r="F101">
        <v>2003</v>
      </c>
    </row>
    <row r="102" spans="1:6" ht="15" customHeight="1" x14ac:dyDescent="0.3">
      <c r="A102" s="42" t="s">
        <v>222</v>
      </c>
      <c r="B102" s="43">
        <v>37746</v>
      </c>
      <c r="C102" s="42" t="s">
        <v>21</v>
      </c>
      <c r="D102" s="45"/>
      <c r="E102" s="44">
        <v>6.7</v>
      </c>
      <c r="F102">
        <v>2003</v>
      </c>
    </row>
    <row r="103" spans="1:6" ht="15" customHeight="1" x14ac:dyDescent="0.3">
      <c r="A103" s="42" t="s">
        <v>223</v>
      </c>
      <c r="B103" s="43">
        <v>37775</v>
      </c>
      <c r="C103" s="42" t="s">
        <v>21</v>
      </c>
      <c r="D103" s="44">
        <v>11.82</v>
      </c>
      <c r="E103" s="44">
        <v>11.06</v>
      </c>
      <c r="F103">
        <v>2003</v>
      </c>
    </row>
    <row r="104" spans="1:6" ht="15" customHeight="1" x14ac:dyDescent="0.3">
      <c r="A104" s="42" t="s">
        <v>225</v>
      </c>
      <c r="B104" s="43">
        <v>37809</v>
      </c>
      <c r="C104" s="42" t="s">
        <v>21</v>
      </c>
      <c r="D104" s="44">
        <v>17.18</v>
      </c>
      <c r="E104" s="44">
        <v>15.82</v>
      </c>
      <c r="F104">
        <v>2003</v>
      </c>
    </row>
    <row r="105" spans="1:6" ht="15" customHeight="1" x14ac:dyDescent="0.3">
      <c r="A105" s="42" t="s">
        <v>227</v>
      </c>
      <c r="B105" s="43">
        <v>37837</v>
      </c>
      <c r="C105" s="42" t="s">
        <v>21</v>
      </c>
      <c r="D105" s="44">
        <v>20.170000000000002</v>
      </c>
      <c r="E105" s="44">
        <v>17.62</v>
      </c>
      <c r="F105">
        <v>2003</v>
      </c>
    </row>
    <row r="106" spans="1:6" ht="15" customHeight="1" x14ac:dyDescent="0.3">
      <c r="A106" s="42" t="s">
        <v>229</v>
      </c>
      <c r="B106" s="43">
        <v>37873</v>
      </c>
      <c r="C106" s="42" t="s">
        <v>21</v>
      </c>
      <c r="D106" s="44">
        <v>19.28</v>
      </c>
      <c r="E106" s="44">
        <v>19.03</v>
      </c>
      <c r="F106">
        <v>2003</v>
      </c>
    </row>
    <row r="107" spans="1:6" ht="15" customHeight="1" x14ac:dyDescent="0.3">
      <c r="A107" s="42" t="s">
        <v>231</v>
      </c>
      <c r="B107" s="43">
        <v>37928</v>
      </c>
      <c r="C107" s="42" t="s">
        <v>21</v>
      </c>
      <c r="D107" s="44">
        <v>14.57</v>
      </c>
      <c r="E107" s="44">
        <v>14.46</v>
      </c>
      <c r="F107">
        <v>2003</v>
      </c>
    </row>
    <row r="108" spans="1:6" ht="15" customHeight="1" x14ac:dyDescent="0.3">
      <c r="A108" s="42" t="s">
        <v>232</v>
      </c>
      <c r="B108" s="43">
        <v>37963</v>
      </c>
      <c r="C108" s="42" t="s">
        <v>21</v>
      </c>
      <c r="D108" s="44">
        <v>8.4600000000000009</v>
      </c>
      <c r="E108" s="44">
        <v>8.69</v>
      </c>
      <c r="F108">
        <v>2003</v>
      </c>
    </row>
    <row r="109" spans="1:6" ht="15" customHeight="1" x14ac:dyDescent="0.3">
      <c r="A109" s="42" t="s">
        <v>497</v>
      </c>
      <c r="B109" s="43">
        <v>37991</v>
      </c>
      <c r="C109" s="42" t="s">
        <v>21</v>
      </c>
      <c r="D109" s="45"/>
      <c r="E109" s="45"/>
      <c r="F109">
        <v>2004</v>
      </c>
    </row>
    <row r="110" spans="1:6" ht="15" customHeight="1" x14ac:dyDescent="0.3">
      <c r="A110" s="42" t="s">
        <v>233</v>
      </c>
      <c r="B110" s="43">
        <v>38022</v>
      </c>
      <c r="C110" s="42" t="s">
        <v>21</v>
      </c>
      <c r="D110" s="44">
        <v>0.85</v>
      </c>
      <c r="E110" s="44">
        <v>1.45</v>
      </c>
      <c r="F110">
        <v>2004</v>
      </c>
    </row>
    <row r="111" spans="1:6" ht="15" customHeight="1" x14ac:dyDescent="0.3">
      <c r="A111" s="42" t="s">
        <v>235</v>
      </c>
      <c r="B111" s="43">
        <v>38050</v>
      </c>
      <c r="C111" s="42" t="s">
        <v>21</v>
      </c>
      <c r="D111" s="44">
        <v>2.61</v>
      </c>
      <c r="E111" s="44">
        <v>2.4700000000000002</v>
      </c>
      <c r="F111">
        <v>2004</v>
      </c>
    </row>
    <row r="112" spans="1:6" ht="15" customHeight="1" x14ac:dyDescent="0.3">
      <c r="A112" s="42" t="s">
        <v>237</v>
      </c>
      <c r="B112" s="43">
        <v>38084</v>
      </c>
      <c r="C112" s="42" t="s">
        <v>21</v>
      </c>
      <c r="D112" s="46">
        <v>3.84</v>
      </c>
      <c r="E112" s="46">
        <v>3.83</v>
      </c>
      <c r="F112">
        <v>2004</v>
      </c>
    </row>
    <row r="113" spans="1:6" ht="15" customHeight="1" x14ac:dyDescent="0.3">
      <c r="A113" s="42" t="s">
        <v>238</v>
      </c>
      <c r="B113" s="43">
        <v>38112</v>
      </c>
      <c r="C113" s="42" t="s">
        <v>21</v>
      </c>
      <c r="D113" s="46">
        <v>8.02</v>
      </c>
      <c r="E113" s="46">
        <v>7.41</v>
      </c>
      <c r="F113">
        <v>2004</v>
      </c>
    </row>
    <row r="114" spans="1:6" ht="15" customHeight="1" x14ac:dyDescent="0.3">
      <c r="A114" s="42" t="s">
        <v>239</v>
      </c>
      <c r="B114" s="43">
        <v>38139</v>
      </c>
      <c r="C114" s="42" t="s">
        <v>21</v>
      </c>
      <c r="D114" s="44">
        <v>12.11</v>
      </c>
      <c r="E114" s="44">
        <v>11.67</v>
      </c>
      <c r="F114">
        <v>2004</v>
      </c>
    </row>
    <row r="115" spans="1:6" ht="15" customHeight="1" x14ac:dyDescent="0.3">
      <c r="A115" s="42" t="s">
        <v>241</v>
      </c>
      <c r="B115" s="43">
        <v>38176</v>
      </c>
      <c r="C115" s="42" t="s">
        <v>21</v>
      </c>
      <c r="D115" s="44">
        <v>17.79</v>
      </c>
      <c r="E115" s="44">
        <v>16.22</v>
      </c>
      <c r="F115">
        <v>2004</v>
      </c>
    </row>
    <row r="116" spans="1:6" ht="15" customHeight="1" x14ac:dyDescent="0.3">
      <c r="A116" s="42" t="s">
        <v>242</v>
      </c>
      <c r="B116" s="43">
        <v>38187</v>
      </c>
      <c r="C116" s="42" t="s">
        <v>21</v>
      </c>
      <c r="D116" s="44">
        <v>18.96</v>
      </c>
      <c r="E116" s="44">
        <v>17.89</v>
      </c>
      <c r="F116">
        <v>2004</v>
      </c>
    </row>
    <row r="117" spans="1:6" ht="15" customHeight="1" x14ac:dyDescent="0.3">
      <c r="A117" s="42" t="s">
        <v>243</v>
      </c>
      <c r="B117" s="43">
        <v>38201</v>
      </c>
      <c r="C117" s="42" t="s">
        <v>21</v>
      </c>
      <c r="D117" s="44">
        <v>20.010000000000002</v>
      </c>
      <c r="E117" s="44">
        <v>19.579999999999998</v>
      </c>
      <c r="F117">
        <v>2004</v>
      </c>
    </row>
    <row r="118" spans="1:6" ht="15" customHeight="1" x14ac:dyDescent="0.3">
      <c r="A118" s="42" t="s">
        <v>245</v>
      </c>
      <c r="B118" s="43">
        <v>38230</v>
      </c>
      <c r="C118" s="42" t="s">
        <v>21</v>
      </c>
      <c r="D118" s="44">
        <v>20.39</v>
      </c>
      <c r="E118" s="44">
        <v>19.71</v>
      </c>
      <c r="F118">
        <v>2004</v>
      </c>
    </row>
    <row r="119" spans="1:6" ht="15" customHeight="1" x14ac:dyDescent="0.3">
      <c r="A119" s="42" t="s">
        <v>246</v>
      </c>
      <c r="B119" s="43">
        <v>38266</v>
      </c>
      <c r="C119" s="42" t="s">
        <v>21</v>
      </c>
      <c r="D119" s="44">
        <v>18.850000000000001</v>
      </c>
      <c r="E119" s="44">
        <v>18.72</v>
      </c>
      <c r="F119">
        <v>2004</v>
      </c>
    </row>
    <row r="120" spans="1:6" ht="15" customHeight="1" x14ac:dyDescent="0.3">
      <c r="A120" s="42" t="s">
        <v>247</v>
      </c>
      <c r="B120" s="43">
        <v>38320</v>
      </c>
      <c r="C120" s="42" t="s">
        <v>21</v>
      </c>
      <c r="D120" s="44">
        <v>10.5</v>
      </c>
      <c r="E120" s="44">
        <v>10.8</v>
      </c>
      <c r="F120">
        <v>2004</v>
      </c>
    </row>
    <row r="121" spans="1:6" ht="15" customHeight="1" x14ac:dyDescent="0.3">
      <c r="A121" s="42" t="s">
        <v>248</v>
      </c>
      <c r="B121" s="43">
        <v>38362</v>
      </c>
      <c r="C121" s="42" t="s">
        <v>21</v>
      </c>
      <c r="D121" s="44">
        <v>5.51</v>
      </c>
      <c r="E121" s="44">
        <v>5.75</v>
      </c>
      <c r="F121">
        <v>2005</v>
      </c>
    </row>
    <row r="122" spans="1:6" ht="15" customHeight="1" x14ac:dyDescent="0.3">
      <c r="A122" s="42" t="s">
        <v>249</v>
      </c>
      <c r="B122" s="43">
        <v>38385</v>
      </c>
      <c r="C122" s="42" t="s">
        <v>21</v>
      </c>
      <c r="D122" s="44">
        <v>2.46</v>
      </c>
      <c r="E122" s="44">
        <v>2.5099999999999998</v>
      </c>
      <c r="F122">
        <v>2005</v>
      </c>
    </row>
    <row r="123" spans="1:6" ht="15" customHeight="1" x14ac:dyDescent="0.3">
      <c r="A123" s="42" t="s">
        <v>250</v>
      </c>
      <c r="B123" s="43">
        <v>38418</v>
      </c>
      <c r="C123" s="42" t="s">
        <v>21</v>
      </c>
      <c r="D123" s="44">
        <v>1.79</v>
      </c>
      <c r="E123" s="44">
        <v>1.98</v>
      </c>
      <c r="F123">
        <v>2005</v>
      </c>
    </row>
    <row r="124" spans="1:6" ht="15" customHeight="1" x14ac:dyDescent="0.3">
      <c r="A124" s="42" t="s">
        <v>251</v>
      </c>
      <c r="B124" s="43">
        <v>38447</v>
      </c>
      <c r="C124" s="42" t="s">
        <v>21</v>
      </c>
      <c r="D124" s="46">
        <v>3.79</v>
      </c>
      <c r="E124" s="46">
        <v>3.73</v>
      </c>
      <c r="F124">
        <v>2005</v>
      </c>
    </row>
    <row r="125" spans="1:6" ht="15" customHeight="1" x14ac:dyDescent="0.3">
      <c r="A125" s="42" t="s">
        <v>252</v>
      </c>
      <c r="B125" s="43">
        <v>38477</v>
      </c>
      <c r="C125" s="42" t="s">
        <v>21</v>
      </c>
      <c r="D125" s="44">
        <v>8.31</v>
      </c>
      <c r="E125" s="44">
        <v>7.39</v>
      </c>
      <c r="F125">
        <v>2005</v>
      </c>
    </row>
    <row r="126" spans="1:6" ht="15" customHeight="1" x14ac:dyDescent="0.3">
      <c r="A126" s="42" t="s">
        <v>253</v>
      </c>
      <c r="B126" s="43">
        <v>38509</v>
      </c>
      <c r="C126" s="42" t="s">
        <v>21</v>
      </c>
      <c r="D126" s="46">
        <v>13.85</v>
      </c>
      <c r="E126" s="46">
        <v>12.02</v>
      </c>
      <c r="F126">
        <v>2005</v>
      </c>
    </row>
    <row r="127" spans="1:6" ht="15" customHeight="1" x14ac:dyDescent="0.3">
      <c r="A127" s="42" t="s">
        <v>255</v>
      </c>
      <c r="B127" s="43">
        <v>38540</v>
      </c>
      <c r="C127" s="42" t="s">
        <v>21</v>
      </c>
      <c r="D127" s="46">
        <v>17.54</v>
      </c>
      <c r="E127" s="44">
        <v>16.11</v>
      </c>
      <c r="F127">
        <v>2005</v>
      </c>
    </row>
    <row r="128" spans="1:6" ht="15" customHeight="1" x14ac:dyDescent="0.3">
      <c r="A128" s="42" t="s">
        <v>257</v>
      </c>
      <c r="B128" s="43">
        <v>38566</v>
      </c>
      <c r="C128" s="42" t="s">
        <v>21</v>
      </c>
      <c r="D128" s="44">
        <v>19.95</v>
      </c>
      <c r="E128" s="44">
        <v>18.11</v>
      </c>
      <c r="F128">
        <v>2005</v>
      </c>
    </row>
    <row r="129" spans="1:6" ht="15" customHeight="1" x14ac:dyDescent="0.3">
      <c r="A129" s="42" t="s">
        <v>259</v>
      </c>
      <c r="B129" s="43">
        <v>38593</v>
      </c>
      <c r="C129" s="42" t="s">
        <v>21</v>
      </c>
      <c r="D129" s="44">
        <v>21.18</v>
      </c>
      <c r="E129" s="44">
        <v>19.5</v>
      </c>
      <c r="F129">
        <v>2005</v>
      </c>
    </row>
    <row r="130" spans="1:6" ht="15" customHeight="1" x14ac:dyDescent="0.3">
      <c r="A130" s="42" t="s">
        <v>261</v>
      </c>
      <c r="B130" s="43">
        <v>38631</v>
      </c>
      <c r="C130" s="42" t="s">
        <v>21</v>
      </c>
      <c r="D130" s="44">
        <v>18.95</v>
      </c>
      <c r="E130" s="44">
        <v>18.600000000000001</v>
      </c>
      <c r="F130">
        <v>2005</v>
      </c>
    </row>
    <row r="131" spans="1:6" ht="15" customHeight="1" x14ac:dyDescent="0.3">
      <c r="A131" s="42" t="s">
        <v>262</v>
      </c>
      <c r="B131" s="43">
        <v>38670</v>
      </c>
      <c r="C131" s="42" t="s">
        <v>21</v>
      </c>
      <c r="D131" s="44">
        <v>13.16</v>
      </c>
      <c r="E131" s="44">
        <v>13.41</v>
      </c>
      <c r="F131">
        <v>2005</v>
      </c>
    </row>
    <row r="132" spans="1:6" ht="15" customHeight="1" x14ac:dyDescent="0.3">
      <c r="A132" s="42" t="s">
        <v>263</v>
      </c>
      <c r="B132" s="43">
        <v>38691</v>
      </c>
      <c r="C132" s="42" t="s">
        <v>21</v>
      </c>
      <c r="D132" s="44">
        <v>10.199999999999999</v>
      </c>
      <c r="E132" s="44">
        <v>10.55</v>
      </c>
      <c r="F132">
        <v>2005</v>
      </c>
    </row>
    <row r="133" spans="1:6" ht="15" customHeight="1" x14ac:dyDescent="0.3">
      <c r="A133" s="42" t="s">
        <v>498</v>
      </c>
      <c r="B133" s="43">
        <v>38818</v>
      </c>
      <c r="C133" s="42" t="s">
        <v>21</v>
      </c>
      <c r="D133" s="44">
        <v>6.33</v>
      </c>
      <c r="E133" s="44">
        <v>6.19</v>
      </c>
      <c r="F133">
        <v>2006</v>
      </c>
    </row>
    <row r="134" spans="1:6" ht="15" customHeight="1" x14ac:dyDescent="0.3">
      <c r="A134" s="42" t="s">
        <v>265</v>
      </c>
      <c r="B134" s="43">
        <v>38839</v>
      </c>
      <c r="C134" s="42" t="s">
        <v>21</v>
      </c>
      <c r="D134" s="44">
        <v>9.1</v>
      </c>
      <c r="E134" s="44">
        <v>8.91</v>
      </c>
      <c r="F134">
        <v>2006</v>
      </c>
    </row>
    <row r="135" spans="1:6" ht="15" customHeight="1" x14ac:dyDescent="0.3">
      <c r="A135" s="42" t="s">
        <v>266</v>
      </c>
      <c r="B135" s="43">
        <v>38874</v>
      </c>
      <c r="C135" s="42" t="s">
        <v>21</v>
      </c>
      <c r="D135" s="44">
        <v>14.2</v>
      </c>
      <c r="E135" s="44">
        <v>11.8</v>
      </c>
      <c r="F135">
        <v>2006</v>
      </c>
    </row>
    <row r="136" spans="1:6" ht="15" customHeight="1" x14ac:dyDescent="0.3">
      <c r="A136" s="42" t="s">
        <v>268</v>
      </c>
      <c r="B136" s="43">
        <v>38904</v>
      </c>
      <c r="C136" s="42" t="s">
        <v>21</v>
      </c>
      <c r="D136" s="44">
        <v>19.7</v>
      </c>
      <c r="E136" s="44">
        <v>15.49</v>
      </c>
      <c r="F136">
        <v>2006</v>
      </c>
    </row>
    <row r="137" spans="1:6" ht="15" customHeight="1" x14ac:dyDescent="0.3">
      <c r="A137" s="42" t="s">
        <v>270</v>
      </c>
      <c r="B137" s="43">
        <v>38930</v>
      </c>
      <c r="C137" s="42" t="s">
        <v>21</v>
      </c>
      <c r="D137" s="44">
        <v>20.76</v>
      </c>
      <c r="E137" s="44">
        <v>18.86</v>
      </c>
      <c r="F137">
        <v>2006</v>
      </c>
    </row>
    <row r="138" spans="1:6" ht="15" customHeight="1" x14ac:dyDescent="0.3">
      <c r="A138" s="42" t="s">
        <v>272</v>
      </c>
      <c r="B138" s="43">
        <v>38958</v>
      </c>
      <c r="C138" s="42" t="s">
        <v>21</v>
      </c>
      <c r="D138" s="44">
        <v>19.88</v>
      </c>
      <c r="E138" s="44">
        <v>19.66</v>
      </c>
      <c r="F138">
        <v>2006</v>
      </c>
    </row>
    <row r="139" spans="1:6" ht="15" customHeight="1" x14ac:dyDescent="0.3">
      <c r="A139" s="42" t="s">
        <v>273</v>
      </c>
      <c r="B139" s="43">
        <v>38993</v>
      </c>
      <c r="C139" s="42" t="s">
        <v>21</v>
      </c>
      <c r="D139" s="44">
        <v>18.82</v>
      </c>
      <c r="E139" s="44">
        <v>18.440000000000001</v>
      </c>
      <c r="F139">
        <v>2006</v>
      </c>
    </row>
    <row r="140" spans="1:6" ht="15" customHeight="1" x14ac:dyDescent="0.3">
      <c r="A140" s="42" t="s">
        <v>274</v>
      </c>
      <c r="B140" s="43">
        <v>39027</v>
      </c>
      <c r="C140" s="42" t="s">
        <v>21</v>
      </c>
      <c r="D140" s="46">
        <v>13.3</v>
      </c>
      <c r="E140" s="46">
        <v>13.56</v>
      </c>
      <c r="F140">
        <v>2006</v>
      </c>
    </row>
    <row r="141" spans="1:6" ht="15" customHeight="1" x14ac:dyDescent="0.3">
      <c r="A141" s="42" t="s">
        <v>276</v>
      </c>
      <c r="B141" s="43">
        <v>39093</v>
      </c>
      <c r="C141" s="42" t="s">
        <v>21</v>
      </c>
      <c r="D141" s="44">
        <v>8.01</v>
      </c>
      <c r="E141" s="44">
        <v>8.89</v>
      </c>
      <c r="F141">
        <v>2007</v>
      </c>
    </row>
    <row r="142" spans="1:6" ht="15" customHeight="1" x14ac:dyDescent="0.3">
      <c r="A142" s="42" t="s">
        <v>277</v>
      </c>
      <c r="B142" s="43">
        <v>39114</v>
      </c>
      <c r="C142" s="42" t="s">
        <v>21</v>
      </c>
      <c r="D142" s="44">
        <v>5.45</v>
      </c>
      <c r="E142" s="44">
        <v>5.65</v>
      </c>
      <c r="F142">
        <v>2007</v>
      </c>
    </row>
    <row r="143" spans="1:6" ht="15" customHeight="1" x14ac:dyDescent="0.3">
      <c r="A143" s="42" t="s">
        <v>278</v>
      </c>
      <c r="B143" s="43">
        <v>39142</v>
      </c>
      <c r="C143" s="42" t="s">
        <v>21</v>
      </c>
      <c r="D143" s="44">
        <v>2.27</v>
      </c>
      <c r="E143" s="44">
        <v>2.61</v>
      </c>
      <c r="F143">
        <v>2007</v>
      </c>
    </row>
    <row r="144" spans="1:6" ht="15" customHeight="1" x14ac:dyDescent="0.3">
      <c r="A144" s="42" t="s">
        <v>280</v>
      </c>
      <c r="B144" s="43">
        <v>39174</v>
      </c>
      <c r="C144" s="42" t="s">
        <v>21</v>
      </c>
      <c r="D144" s="45"/>
      <c r="E144" s="44">
        <v>4.37</v>
      </c>
      <c r="F144">
        <v>2007</v>
      </c>
    </row>
    <row r="145" spans="1:6" ht="15" customHeight="1" x14ac:dyDescent="0.3">
      <c r="A145" s="42" t="s">
        <v>281</v>
      </c>
      <c r="B145" s="43">
        <v>39209</v>
      </c>
      <c r="C145" s="42" t="s">
        <v>21</v>
      </c>
      <c r="D145" s="44">
        <v>8.27</v>
      </c>
      <c r="E145" s="44">
        <v>7.3</v>
      </c>
      <c r="F145">
        <v>2007</v>
      </c>
    </row>
    <row r="146" spans="1:6" ht="15" customHeight="1" x14ac:dyDescent="0.3">
      <c r="A146" s="42" t="s">
        <v>282</v>
      </c>
      <c r="B146" s="43">
        <v>39238</v>
      </c>
      <c r="C146" s="42" t="s">
        <v>21</v>
      </c>
      <c r="D146" s="44">
        <v>13.88</v>
      </c>
      <c r="E146" s="44">
        <v>12.43</v>
      </c>
      <c r="F146">
        <v>2007</v>
      </c>
    </row>
    <row r="147" spans="1:6" ht="15" customHeight="1" x14ac:dyDescent="0.3">
      <c r="A147" s="42" t="s">
        <v>284</v>
      </c>
      <c r="B147" s="43">
        <v>39272</v>
      </c>
      <c r="C147" s="42" t="s">
        <v>21</v>
      </c>
      <c r="D147" s="44">
        <v>18.14</v>
      </c>
      <c r="E147" s="44">
        <v>16.170000000000002</v>
      </c>
      <c r="F147">
        <v>2007</v>
      </c>
    </row>
    <row r="148" spans="1:6" ht="15" customHeight="1" x14ac:dyDescent="0.3">
      <c r="A148" s="42" t="s">
        <v>286</v>
      </c>
      <c r="B148" s="43">
        <v>39293</v>
      </c>
      <c r="C148" s="42" t="s">
        <v>21</v>
      </c>
      <c r="D148" s="44">
        <v>19.760000000000002</v>
      </c>
      <c r="E148" s="44">
        <v>19.260000000000002</v>
      </c>
      <c r="F148">
        <v>2007</v>
      </c>
    </row>
    <row r="149" spans="1:6" ht="15" customHeight="1" x14ac:dyDescent="0.3">
      <c r="A149" s="42" t="s">
        <v>288</v>
      </c>
      <c r="B149" s="43">
        <v>39322</v>
      </c>
      <c r="C149" s="42" t="s">
        <v>21</v>
      </c>
      <c r="D149" s="44">
        <v>20.64</v>
      </c>
      <c r="E149" s="44">
        <v>20.14</v>
      </c>
      <c r="F149">
        <v>2007</v>
      </c>
    </row>
    <row r="150" spans="1:6" ht="15" customHeight="1" x14ac:dyDescent="0.3">
      <c r="A150" s="42" t="s">
        <v>290</v>
      </c>
      <c r="B150" s="43">
        <v>39357</v>
      </c>
      <c r="C150" s="42" t="s">
        <v>21</v>
      </c>
      <c r="D150" s="44">
        <v>19.14</v>
      </c>
      <c r="E150" s="44">
        <v>19.059999999999999</v>
      </c>
      <c r="F150">
        <v>2007</v>
      </c>
    </row>
    <row r="151" spans="1:6" ht="15" customHeight="1" x14ac:dyDescent="0.3">
      <c r="A151" s="42" t="s">
        <v>291</v>
      </c>
      <c r="B151" s="43">
        <v>39394</v>
      </c>
      <c r="C151" s="42" t="s">
        <v>21</v>
      </c>
      <c r="D151" s="44">
        <v>14.68</v>
      </c>
      <c r="E151" s="44">
        <v>14.78</v>
      </c>
      <c r="F151">
        <v>2007</v>
      </c>
    </row>
    <row r="152" spans="1:6" ht="15" customHeight="1" x14ac:dyDescent="0.3">
      <c r="A152" s="42" t="s">
        <v>292</v>
      </c>
      <c r="B152" s="43">
        <v>39421</v>
      </c>
      <c r="C152" s="42" t="s">
        <v>21</v>
      </c>
      <c r="D152" s="44">
        <v>9.25</v>
      </c>
      <c r="E152" s="44">
        <v>9.5299999999999994</v>
      </c>
      <c r="F152">
        <v>2007</v>
      </c>
    </row>
    <row r="153" spans="1:6" ht="15" customHeight="1" x14ac:dyDescent="0.3">
      <c r="A153" s="42" t="s">
        <v>293</v>
      </c>
      <c r="B153" s="43">
        <v>39454</v>
      </c>
      <c r="C153" s="42" t="s">
        <v>21</v>
      </c>
      <c r="D153" s="44">
        <v>5.41</v>
      </c>
      <c r="E153" s="44">
        <v>5.42</v>
      </c>
      <c r="F153">
        <v>2008</v>
      </c>
    </row>
    <row r="154" spans="1:6" ht="15" customHeight="1" x14ac:dyDescent="0.3">
      <c r="A154" s="42" t="s">
        <v>294</v>
      </c>
      <c r="B154" s="43">
        <v>39482</v>
      </c>
      <c r="C154" s="42" t="s">
        <v>21</v>
      </c>
      <c r="D154" s="44">
        <v>3.56</v>
      </c>
      <c r="E154" s="44">
        <v>4.26</v>
      </c>
      <c r="F154">
        <v>2008</v>
      </c>
    </row>
    <row r="155" spans="1:6" ht="15" customHeight="1" x14ac:dyDescent="0.3">
      <c r="A155" s="42" t="s">
        <v>298</v>
      </c>
      <c r="B155" s="43">
        <v>39541</v>
      </c>
      <c r="C155" s="42" t="s">
        <v>21</v>
      </c>
      <c r="D155" s="44">
        <v>5.0999999999999996</v>
      </c>
      <c r="E155" s="44">
        <v>5.45</v>
      </c>
      <c r="F155">
        <v>2008</v>
      </c>
    </row>
    <row r="156" spans="1:6" ht="15" customHeight="1" x14ac:dyDescent="0.3">
      <c r="A156" s="42" t="s">
        <v>299</v>
      </c>
      <c r="B156" s="43">
        <v>39573</v>
      </c>
      <c r="C156" s="42" t="s">
        <v>21</v>
      </c>
      <c r="D156" s="44">
        <v>8.81</v>
      </c>
      <c r="E156" s="44">
        <v>8.6300000000000008</v>
      </c>
      <c r="F156">
        <v>2008</v>
      </c>
    </row>
    <row r="157" spans="1:6" ht="15" customHeight="1" x14ac:dyDescent="0.3">
      <c r="A157" s="42" t="s">
        <v>300</v>
      </c>
      <c r="B157" s="43">
        <v>39601</v>
      </c>
      <c r="C157" s="42" t="s">
        <v>21</v>
      </c>
      <c r="D157" s="44">
        <v>12.3</v>
      </c>
      <c r="E157" s="44">
        <v>11.26</v>
      </c>
      <c r="F157">
        <v>2008</v>
      </c>
    </row>
    <row r="158" spans="1:6" ht="15" customHeight="1" x14ac:dyDescent="0.3">
      <c r="A158" s="42" t="s">
        <v>302</v>
      </c>
      <c r="B158" s="43">
        <v>39629</v>
      </c>
      <c r="C158" s="42" t="s">
        <v>21</v>
      </c>
      <c r="D158" s="44">
        <v>17.79</v>
      </c>
      <c r="E158" s="44">
        <v>15.99</v>
      </c>
      <c r="F158">
        <v>2008</v>
      </c>
    </row>
    <row r="159" spans="1:6" ht="15" customHeight="1" x14ac:dyDescent="0.3">
      <c r="A159" s="42" t="s">
        <v>304</v>
      </c>
      <c r="B159" s="43">
        <v>39667</v>
      </c>
      <c r="C159" s="42" t="s">
        <v>21</v>
      </c>
      <c r="D159" s="44">
        <v>20.38</v>
      </c>
      <c r="E159" s="44">
        <v>19.420000000000002</v>
      </c>
      <c r="F159">
        <v>2008</v>
      </c>
    </row>
    <row r="160" spans="1:6" ht="15" customHeight="1" x14ac:dyDescent="0.3">
      <c r="A160" s="42" t="s">
        <v>306</v>
      </c>
      <c r="B160" s="43">
        <v>39696</v>
      </c>
      <c r="C160" s="42" t="s">
        <v>21</v>
      </c>
      <c r="D160" s="44">
        <v>20.78</v>
      </c>
      <c r="E160" s="44">
        <v>19.36</v>
      </c>
      <c r="F160">
        <v>2008</v>
      </c>
    </row>
    <row r="161" spans="1:6" ht="15" customHeight="1" x14ac:dyDescent="0.3">
      <c r="A161" s="42" t="s">
        <v>308</v>
      </c>
      <c r="B161" s="43">
        <v>39727</v>
      </c>
      <c r="C161" s="42" t="s">
        <v>21</v>
      </c>
      <c r="D161" s="44">
        <v>18.2</v>
      </c>
      <c r="E161" s="44">
        <v>18.399999999999999</v>
      </c>
      <c r="F161">
        <v>2008</v>
      </c>
    </row>
    <row r="162" spans="1:6" ht="15" customHeight="1" x14ac:dyDescent="0.3">
      <c r="A162" s="42" t="s">
        <v>309</v>
      </c>
      <c r="B162" s="43">
        <v>39757</v>
      </c>
      <c r="C162" s="42" t="s">
        <v>21</v>
      </c>
      <c r="D162" s="44">
        <v>14.26</v>
      </c>
      <c r="E162" s="44">
        <v>14.02</v>
      </c>
      <c r="F162">
        <v>2008</v>
      </c>
    </row>
    <row r="163" spans="1:6" ht="15" customHeight="1" x14ac:dyDescent="0.3">
      <c r="A163" s="42" t="s">
        <v>310</v>
      </c>
      <c r="B163" s="43">
        <v>39798</v>
      </c>
      <c r="C163" s="42" t="s">
        <v>21</v>
      </c>
      <c r="D163" s="44">
        <v>7.74</v>
      </c>
      <c r="E163" s="44">
        <v>8.31</v>
      </c>
      <c r="F163">
        <v>2008</v>
      </c>
    </row>
    <row r="164" spans="1:6" ht="15" customHeight="1" x14ac:dyDescent="0.3">
      <c r="A164" s="42" t="s">
        <v>311</v>
      </c>
      <c r="B164" s="43">
        <v>39829</v>
      </c>
      <c r="C164" s="42" t="s">
        <v>21</v>
      </c>
      <c r="D164" s="44">
        <v>4.3899999999999997</v>
      </c>
      <c r="E164" s="44">
        <v>4.68</v>
      </c>
      <c r="F164">
        <v>2009</v>
      </c>
    </row>
    <row r="165" spans="1:6" ht="15" customHeight="1" x14ac:dyDescent="0.3">
      <c r="A165" s="42" t="s">
        <v>312</v>
      </c>
      <c r="B165" s="43">
        <v>39846</v>
      </c>
      <c r="C165" s="42" t="s">
        <v>21</v>
      </c>
      <c r="D165" s="44">
        <v>2.9</v>
      </c>
      <c r="E165" s="44">
        <v>3.15</v>
      </c>
      <c r="F165">
        <v>2009</v>
      </c>
    </row>
    <row r="166" spans="1:6" ht="15" customHeight="1" x14ac:dyDescent="0.3">
      <c r="A166" s="42" t="s">
        <v>314</v>
      </c>
      <c r="B166" s="43">
        <v>39876</v>
      </c>
      <c r="C166" s="42" t="s">
        <v>21</v>
      </c>
      <c r="D166" s="44">
        <v>2.2200000000000002</v>
      </c>
      <c r="E166" s="44">
        <v>2.8</v>
      </c>
      <c r="F166">
        <v>2009</v>
      </c>
    </row>
    <row r="167" spans="1:6" ht="15" customHeight="1" x14ac:dyDescent="0.3">
      <c r="A167" s="42" t="s">
        <v>316</v>
      </c>
      <c r="B167" s="43">
        <v>39903</v>
      </c>
      <c r="C167" s="42" t="s">
        <v>21</v>
      </c>
      <c r="D167" s="44">
        <v>4.55</v>
      </c>
      <c r="E167" s="44">
        <v>4.24</v>
      </c>
      <c r="F167">
        <v>2009</v>
      </c>
    </row>
    <row r="168" spans="1:6" ht="15" customHeight="1" x14ac:dyDescent="0.3">
      <c r="A168" s="42" t="s">
        <v>317</v>
      </c>
      <c r="B168" s="43">
        <v>39932</v>
      </c>
      <c r="C168" s="42" t="s">
        <v>21</v>
      </c>
      <c r="D168" s="44">
        <v>8.84</v>
      </c>
      <c r="E168" s="44">
        <v>7.2</v>
      </c>
      <c r="F168">
        <v>2009</v>
      </c>
    </row>
    <row r="169" spans="1:6" ht="15" customHeight="1" x14ac:dyDescent="0.3">
      <c r="A169" s="42" t="s">
        <v>318</v>
      </c>
      <c r="B169" s="43">
        <v>39968</v>
      </c>
      <c r="C169" s="42" t="s">
        <v>21</v>
      </c>
      <c r="D169" s="46">
        <v>12.34</v>
      </c>
      <c r="E169" s="44">
        <v>11.86</v>
      </c>
      <c r="F169">
        <v>2009</v>
      </c>
    </row>
    <row r="170" spans="1:6" ht="15" customHeight="1" x14ac:dyDescent="0.3">
      <c r="A170" s="42" t="s">
        <v>320</v>
      </c>
      <c r="B170" s="43">
        <v>40001</v>
      </c>
      <c r="C170" s="42" t="s">
        <v>21</v>
      </c>
      <c r="D170" s="44">
        <v>17.63</v>
      </c>
      <c r="E170" s="44">
        <v>16.170000000000002</v>
      </c>
      <c r="F170">
        <v>2009</v>
      </c>
    </row>
    <row r="171" spans="1:6" ht="15" customHeight="1" x14ac:dyDescent="0.3">
      <c r="A171" s="42" t="s">
        <v>322</v>
      </c>
      <c r="B171" s="43">
        <v>40028</v>
      </c>
      <c r="C171" s="42" t="s">
        <v>21</v>
      </c>
      <c r="D171" s="44">
        <v>21.08</v>
      </c>
      <c r="E171" s="44">
        <v>18.149999999999999</v>
      </c>
      <c r="F171">
        <v>2009</v>
      </c>
    </row>
    <row r="172" spans="1:6" ht="15" customHeight="1" x14ac:dyDescent="0.3">
      <c r="A172" s="42" t="s">
        <v>324</v>
      </c>
      <c r="B172" s="43">
        <v>40064</v>
      </c>
      <c r="C172" s="42" t="s">
        <v>21</v>
      </c>
      <c r="D172" s="44">
        <v>20.5</v>
      </c>
      <c r="E172" s="45"/>
      <c r="F172">
        <v>2009</v>
      </c>
    </row>
    <row r="173" spans="1:6" ht="15" customHeight="1" x14ac:dyDescent="0.3">
      <c r="A173" s="42" t="s">
        <v>325</v>
      </c>
      <c r="B173" s="43">
        <v>40091</v>
      </c>
      <c r="C173" s="42" t="s">
        <v>21</v>
      </c>
      <c r="D173" s="44">
        <v>18.920000000000002</v>
      </c>
      <c r="E173" s="44">
        <v>18.739999999999998</v>
      </c>
      <c r="F173">
        <v>2009</v>
      </c>
    </row>
    <row r="174" spans="1:6" ht="15" customHeight="1" x14ac:dyDescent="0.3">
      <c r="A174" s="42" t="s">
        <v>326</v>
      </c>
      <c r="B174" s="43">
        <v>40120</v>
      </c>
      <c r="C174" s="42" t="s">
        <v>21</v>
      </c>
      <c r="D174" s="44">
        <v>13.96</v>
      </c>
      <c r="E174" s="44">
        <v>14.12</v>
      </c>
      <c r="F174">
        <v>2009</v>
      </c>
    </row>
    <row r="175" spans="1:6" ht="15" customHeight="1" x14ac:dyDescent="0.3">
      <c r="A175" s="42" t="s">
        <v>327</v>
      </c>
      <c r="B175" s="43">
        <v>40148</v>
      </c>
      <c r="C175" s="42" t="s">
        <v>21</v>
      </c>
      <c r="D175" s="44">
        <v>11.2</v>
      </c>
      <c r="E175" s="44">
        <v>11.5</v>
      </c>
      <c r="F175">
        <v>2009</v>
      </c>
    </row>
    <row r="176" spans="1:6" ht="15" customHeight="1" x14ac:dyDescent="0.3">
      <c r="A176" s="42" t="s">
        <v>328</v>
      </c>
      <c r="B176" s="43">
        <v>40183</v>
      </c>
      <c r="C176" s="42" t="s">
        <v>21</v>
      </c>
      <c r="D176" s="44">
        <v>4.33</v>
      </c>
      <c r="E176" s="44">
        <v>5.38</v>
      </c>
      <c r="F176">
        <v>2010</v>
      </c>
    </row>
    <row r="177" spans="1:6" ht="15" customHeight="1" x14ac:dyDescent="0.3">
      <c r="A177" s="42" t="s">
        <v>329</v>
      </c>
      <c r="B177" s="43">
        <v>40214</v>
      </c>
      <c r="C177" s="42" t="s">
        <v>21</v>
      </c>
      <c r="D177" s="44">
        <v>2.56</v>
      </c>
      <c r="E177" s="44">
        <v>2.9</v>
      </c>
      <c r="F177">
        <v>2010</v>
      </c>
    </row>
    <row r="178" spans="1:6" ht="15" customHeight="1" x14ac:dyDescent="0.3">
      <c r="A178" s="42" t="s">
        <v>330</v>
      </c>
      <c r="B178" s="43">
        <v>40245</v>
      </c>
      <c r="C178" s="42" t="s">
        <v>21</v>
      </c>
      <c r="D178" s="44">
        <v>3.47</v>
      </c>
      <c r="E178" s="44">
        <v>2.84</v>
      </c>
      <c r="F178">
        <v>2010</v>
      </c>
    </row>
    <row r="179" spans="1:6" ht="15" customHeight="1" x14ac:dyDescent="0.3">
      <c r="A179" s="42" t="s">
        <v>332</v>
      </c>
      <c r="B179" s="43">
        <v>40274</v>
      </c>
      <c r="C179" s="42" t="s">
        <v>21</v>
      </c>
      <c r="D179" s="44">
        <v>5.98</v>
      </c>
      <c r="E179" s="44">
        <v>5.58</v>
      </c>
      <c r="F179">
        <v>2010</v>
      </c>
    </row>
    <row r="180" spans="1:6" ht="15" customHeight="1" x14ac:dyDescent="0.3">
      <c r="A180" s="42" t="s">
        <v>333</v>
      </c>
      <c r="B180" s="43">
        <v>40301</v>
      </c>
      <c r="C180" s="42" t="s">
        <v>21</v>
      </c>
      <c r="D180" s="44">
        <v>10.039999999999999</v>
      </c>
      <c r="E180" s="44">
        <v>8.89</v>
      </c>
      <c r="F180">
        <v>2010</v>
      </c>
    </row>
    <row r="181" spans="1:6" ht="15" customHeight="1" x14ac:dyDescent="0.3">
      <c r="A181" s="42" t="s">
        <v>341</v>
      </c>
      <c r="B181" s="43">
        <v>40457</v>
      </c>
      <c r="C181" s="42" t="s">
        <v>21</v>
      </c>
      <c r="D181" s="45"/>
      <c r="E181" s="45"/>
      <c r="F181">
        <v>2010</v>
      </c>
    </row>
    <row r="182" spans="1:6" ht="15" customHeight="1" x14ac:dyDescent="0.3">
      <c r="A182" s="42" t="s">
        <v>349</v>
      </c>
      <c r="B182" s="43">
        <v>40665</v>
      </c>
      <c r="C182" s="42" t="s">
        <v>21</v>
      </c>
      <c r="D182" s="46">
        <v>8.75</v>
      </c>
      <c r="E182" s="44">
        <v>7.46</v>
      </c>
      <c r="F182">
        <v>2011</v>
      </c>
    </row>
    <row r="183" spans="1:6" ht="15" customHeight="1" x14ac:dyDescent="0.3">
      <c r="A183" s="42" t="s">
        <v>350</v>
      </c>
      <c r="B183" s="43">
        <v>40694</v>
      </c>
      <c r="C183" s="42" t="s">
        <v>21</v>
      </c>
      <c r="D183" s="44">
        <v>13.89</v>
      </c>
      <c r="E183" s="44">
        <v>12.1</v>
      </c>
      <c r="F183">
        <v>2011</v>
      </c>
    </row>
    <row r="184" spans="1:6" ht="15" customHeight="1" x14ac:dyDescent="0.3">
      <c r="A184" s="42" t="s">
        <v>352</v>
      </c>
      <c r="B184" s="43">
        <v>40729</v>
      </c>
      <c r="C184" s="42" t="s">
        <v>21</v>
      </c>
      <c r="D184" s="44">
        <v>18.78</v>
      </c>
      <c r="E184" s="44">
        <v>17.559999999999999</v>
      </c>
      <c r="F184">
        <v>2011</v>
      </c>
    </row>
    <row r="185" spans="1:6" ht="15" customHeight="1" x14ac:dyDescent="0.3">
      <c r="A185" s="42" t="s">
        <v>354</v>
      </c>
      <c r="B185" s="43">
        <v>40756</v>
      </c>
      <c r="C185" s="42" t="s">
        <v>21</v>
      </c>
      <c r="D185" s="44">
        <v>20.81</v>
      </c>
      <c r="E185" s="44">
        <v>18.89</v>
      </c>
      <c r="F185">
        <v>2011</v>
      </c>
    </row>
    <row r="186" spans="1:6" ht="15" customHeight="1" x14ac:dyDescent="0.3">
      <c r="A186" s="42" t="s">
        <v>356</v>
      </c>
      <c r="B186" s="43">
        <v>40785</v>
      </c>
      <c r="C186" s="42" t="s">
        <v>21</v>
      </c>
      <c r="D186" s="44">
        <v>20.73</v>
      </c>
      <c r="E186" s="44">
        <v>20.14</v>
      </c>
      <c r="F186">
        <v>2011</v>
      </c>
    </row>
    <row r="187" spans="1:6" ht="15" customHeight="1" x14ac:dyDescent="0.3">
      <c r="A187" s="42" t="s">
        <v>357</v>
      </c>
      <c r="B187" s="43">
        <v>40820</v>
      </c>
      <c r="C187" s="42" t="s">
        <v>21</v>
      </c>
      <c r="D187" s="44">
        <v>18.899999999999999</v>
      </c>
      <c r="E187" s="44">
        <v>19.43</v>
      </c>
      <c r="F187">
        <v>2011</v>
      </c>
    </row>
    <row r="188" spans="1:6" ht="15" customHeight="1" x14ac:dyDescent="0.3">
      <c r="A188" s="42" t="s">
        <v>358</v>
      </c>
      <c r="B188" s="43">
        <v>40854</v>
      </c>
      <c r="C188" s="42" t="s">
        <v>21</v>
      </c>
      <c r="D188" s="44">
        <v>13.44</v>
      </c>
      <c r="E188" s="44">
        <v>13.67</v>
      </c>
      <c r="F188">
        <v>2011</v>
      </c>
    </row>
    <row r="189" spans="1:6" ht="15" customHeight="1" x14ac:dyDescent="0.3">
      <c r="A189" s="42" t="s">
        <v>359</v>
      </c>
      <c r="B189" s="43">
        <v>40875</v>
      </c>
      <c r="C189" s="42" t="s">
        <v>21</v>
      </c>
      <c r="D189" s="44">
        <v>12.2</v>
      </c>
      <c r="E189" s="44">
        <v>12.59</v>
      </c>
      <c r="F189">
        <v>2011</v>
      </c>
    </row>
    <row r="190" spans="1:6" ht="15" customHeight="1" x14ac:dyDescent="0.3">
      <c r="A190" s="42" t="s">
        <v>360</v>
      </c>
      <c r="B190" s="43">
        <v>40913</v>
      </c>
      <c r="C190" s="42" t="s">
        <v>21</v>
      </c>
      <c r="D190" s="44">
        <v>8.0299999999999994</v>
      </c>
      <c r="E190" s="44">
        <v>9.1199999999999992</v>
      </c>
      <c r="F190">
        <v>2012</v>
      </c>
    </row>
    <row r="191" spans="1:6" ht="15" customHeight="1" x14ac:dyDescent="0.3">
      <c r="A191" s="42" t="s">
        <v>361</v>
      </c>
      <c r="B191" s="43">
        <v>40940</v>
      </c>
      <c r="C191" s="42" t="s">
        <v>21</v>
      </c>
      <c r="D191" s="44">
        <v>5.89</v>
      </c>
      <c r="E191" s="44">
        <v>6.57</v>
      </c>
      <c r="F191">
        <v>2012</v>
      </c>
    </row>
    <row r="192" spans="1:6" ht="15" customHeight="1" x14ac:dyDescent="0.3">
      <c r="A192" s="42" t="s">
        <v>363</v>
      </c>
      <c r="B192" s="43">
        <v>40970</v>
      </c>
      <c r="C192" s="42" t="s">
        <v>21</v>
      </c>
      <c r="D192" s="44">
        <v>5.69</v>
      </c>
      <c r="E192" s="44">
        <v>6.57</v>
      </c>
      <c r="F192">
        <v>2012</v>
      </c>
    </row>
    <row r="193" spans="1:6" ht="15" customHeight="1" x14ac:dyDescent="0.3">
      <c r="A193" s="42" t="s">
        <v>365</v>
      </c>
      <c r="B193" s="43">
        <v>41002</v>
      </c>
      <c r="C193" s="42" t="s">
        <v>21</v>
      </c>
      <c r="D193" s="44">
        <v>7.77</v>
      </c>
      <c r="E193" s="44">
        <v>8.02</v>
      </c>
      <c r="F193">
        <v>2012</v>
      </c>
    </row>
    <row r="194" spans="1:6" ht="15" customHeight="1" x14ac:dyDescent="0.3">
      <c r="A194" s="42" t="s">
        <v>366</v>
      </c>
      <c r="B194" s="43">
        <v>41030</v>
      </c>
      <c r="C194" s="42" t="s">
        <v>21</v>
      </c>
      <c r="D194" s="44">
        <v>10.69</v>
      </c>
      <c r="E194" s="44">
        <v>10.28</v>
      </c>
      <c r="F194">
        <v>2012</v>
      </c>
    </row>
    <row r="195" spans="1:6" ht="15" customHeight="1" x14ac:dyDescent="0.3">
      <c r="A195" s="42" t="s">
        <v>367</v>
      </c>
      <c r="B195" s="43">
        <v>41058</v>
      </c>
      <c r="C195" s="42" t="s">
        <v>21</v>
      </c>
      <c r="D195" s="44">
        <v>13.98</v>
      </c>
      <c r="E195" s="44">
        <v>13.45</v>
      </c>
      <c r="F195">
        <v>2012</v>
      </c>
    </row>
    <row r="196" spans="1:6" ht="15" customHeight="1" x14ac:dyDescent="0.3">
      <c r="A196" s="42" t="s">
        <v>369</v>
      </c>
      <c r="B196" s="43">
        <v>41086</v>
      </c>
      <c r="C196" s="42" t="s">
        <v>21</v>
      </c>
      <c r="D196" s="44">
        <v>18.16</v>
      </c>
      <c r="E196" s="44">
        <v>17.510000000000002</v>
      </c>
      <c r="F196">
        <v>2012</v>
      </c>
    </row>
    <row r="197" spans="1:6" ht="15" customHeight="1" x14ac:dyDescent="0.3">
      <c r="A197" s="42" t="s">
        <v>371</v>
      </c>
      <c r="B197" s="43">
        <v>41120</v>
      </c>
      <c r="C197" s="42" t="s">
        <v>21</v>
      </c>
      <c r="D197" s="44">
        <v>20.28</v>
      </c>
      <c r="E197" s="44">
        <v>19.920000000000002</v>
      </c>
      <c r="F197">
        <v>2012</v>
      </c>
    </row>
    <row r="198" spans="1:6" ht="15" customHeight="1" x14ac:dyDescent="0.3">
      <c r="A198" s="42" t="s">
        <v>373</v>
      </c>
      <c r="B198" s="43">
        <v>41148</v>
      </c>
      <c r="C198" s="42" t="s">
        <v>21</v>
      </c>
      <c r="D198" s="44">
        <v>21.33</v>
      </c>
      <c r="E198" s="44">
        <v>21.21</v>
      </c>
      <c r="F198">
        <v>2012</v>
      </c>
    </row>
    <row r="199" spans="1:6" ht="15" customHeight="1" x14ac:dyDescent="0.3">
      <c r="A199" s="42" t="s">
        <v>375</v>
      </c>
      <c r="B199" s="43">
        <v>41192</v>
      </c>
      <c r="C199" s="42" t="s">
        <v>21</v>
      </c>
      <c r="D199" s="44">
        <v>18.690000000000001</v>
      </c>
      <c r="E199" s="44">
        <v>18.61</v>
      </c>
      <c r="F199">
        <v>2012</v>
      </c>
    </row>
    <row r="200" spans="1:6" ht="15" customHeight="1" x14ac:dyDescent="0.3">
      <c r="A200" s="42" t="s">
        <v>376</v>
      </c>
      <c r="B200" s="43">
        <v>41226</v>
      </c>
      <c r="C200" s="42" t="s">
        <v>21</v>
      </c>
      <c r="D200" s="44">
        <v>13.3</v>
      </c>
      <c r="E200" s="44">
        <v>13.33</v>
      </c>
      <c r="F200">
        <v>2012</v>
      </c>
    </row>
    <row r="201" spans="1:6" ht="15" customHeight="1" x14ac:dyDescent="0.3">
      <c r="A201" s="42" t="s">
        <v>377</v>
      </c>
      <c r="B201" s="43">
        <v>41246</v>
      </c>
      <c r="C201" s="42" t="s">
        <v>21</v>
      </c>
      <c r="D201" s="44">
        <v>10.06</v>
      </c>
      <c r="E201" s="44">
        <v>10.37</v>
      </c>
      <c r="F201">
        <v>2012</v>
      </c>
    </row>
    <row r="202" spans="1:6" ht="15" customHeight="1" x14ac:dyDescent="0.3">
      <c r="A202" s="42" t="s">
        <v>378</v>
      </c>
      <c r="B202" s="43">
        <v>41283</v>
      </c>
      <c r="C202" s="42" t="s">
        <v>21</v>
      </c>
      <c r="D202" s="45"/>
      <c r="E202" s="45"/>
      <c r="F202">
        <v>2013</v>
      </c>
    </row>
    <row r="203" spans="1:6" ht="15" customHeight="1" x14ac:dyDescent="0.3">
      <c r="A203" s="42" t="s">
        <v>379</v>
      </c>
      <c r="B203" s="43">
        <v>41302</v>
      </c>
      <c r="C203" s="42" t="s">
        <v>21</v>
      </c>
      <c r="D203" s="46">
        <v>4.42</v>
      </c>
      <c r="E203" s="44">
        <v>4.8499999999999996</v>
      </c>
      <c r="F203">
        <v>2013</v>
      </c>
    </row>
    <row r="204" spans="1:6" ht="15" customHeight="1" x14ac:dyDescent="0.3">
      <c r="A204" s="42" t="s">
        <v>381</v>
      </c>
      <c r="B204" s="43">
        <v>41338</v>
      </c>
      <c r="C204" s="42" t="s">
        <v>21</v>
      </c>
      <c r="D204" s="44">
        <v>3.41</v>
      </c>
      <c r="E204" s="44">
        <v>3.84</v>
      </c>
      <c r="F204">
        <v>2013</v>
      </c>
    </row>
    <row r="205" spans="1:6" ht="15" customHeight="1" x14ac:dyDescent="0.3">
      <c r="A205" s="42" t="s">
        <v>382</v>
      </c>
      <c r="B205" s="43">
        <v>41365</v>
      </c>
      <c r="C205" s="42" t="s">
        <v>21</v>
      </c>
      <c r="D205" s="44">
        <v>4.49</v>
      </c>
      <c r="E205" s="44">
        <v>4.32</v>
      </c>
      <c r="F205">
        <v>2013</v>
      </c>
    </row>
    <row r="206" spans="1:6" ht="15" customHeight="1" x14ac:dyDescent="0.3">
      <c r="A206" s="42" t="s">
        <v>383</v>
      </c>
      <c r="B206" s="43">
        <v>41393</v>
      </c>
      <c r="C206" s="42" t="s">
        <v>21</v>
      </c>
      <c r="D206" s="44">
        <v>8.65</v>
      </c>
      <c r="E206" s="44">
        <v>7.63</v>
      </c>
      <c r="F206">
        <v>2013</v>
      </c>
    </row>
    <row r="207" spans="1:6" ht="15" customHeight="1" x14ac:dyDescent="0.3">
      <c r="A207" s="42" t="s">
        <v>384</v>
      </c>
      <c r="B207" s="43">
        <v>41428</v>
      </c>
      <c r="C207" s="42" t="s">
        <v>21</v>
      </c>
      <c r="D207" s="44">
        <v>14</v>
      </c>
      <c r="E207" s="44">
        <v>12.51</v>
      </c>
      <c r="F207">
        <v>2013</v>
      </c>
    </row>
    <row r="208" spans="1:6" ht="15" customHeight="1" x14ac:dyDescent="0.3">
      <c r="A208" s="42" t="s">
        <v>386</v>
      </c>
      <c r="B208" s="43">
        <v>41456</v>
      </c>
      <c r="C208" s="42" t="s">
        <v>21</v>
      </c>
      <c r="D208" s="44">
        <v>19.02</v>
      </c>
      <c r="E208" s="44">
        <v>17.010000000000002</v>
      </c>
      <c r="F208">
        <v>2013</v>
      </c>
    </row>
    <row r="209" spans="1:6" ht="15" customHeight="1" x14ac:dyDescent="0.3">
      <c r="A209" s="42" t="s">
        <v>387</v>
      </c>
      <c r="B209" s="43">
        <v>41472</v>
      </c>
      <c r="C209" s="42" t="s">
        <v>21</v>
      </c>
      <c r="D209" s="46">
        <v>20.13</v>
      </c>
      <c r="E209" s="46">
        <v>17.920000000000002</v>
      </c>
      <c r="F209">
        <v>2013</v>
      </c>
    </row>
    <row r="210" spans="1:6" ht="15" customHeight="1" x14ac:dyDescent="0.3">
      <c r="A210" s="42" t="s">
        <v>388</v>
      </c>
      <c r="B210" s="43">
        <v>41484</v>
      </c>
      <c r="C210" s="42" t="s">
        <v>21</v>
      </c>
      <c r="D210" s="46">
        <v>20.73</v>
      </c>
      <c r="E210" s="46">
        <v>19.96</v>
      </c>
      <c r="F210">
        <v>2013</v>
      </c>
    </row>
    <row r="211" spans="1:6" ht="15" customHeight="1" x14ac:dyDescent="0.3">
      <c r="A211" s="42" t="s">
        <v>390</v>
      </c>
      <c r="B211" s="43">
        <v>41513</v>
      </c>
      <c r="C211" s="42" t="s">
        <v>21</v>
      </c>
      <c r="D211" s="44">
        <v>20.75</v>
      </c>
      <c r="E211" s="44">
        <v>20.09</v>
      </c>
      <c r="F211">
        <v>2013</v>
      </c>
    </row>
    <row r="212" spans="1:6" ht="15" customHeight="1" x14ac:dyDescent="0.3">
      <c r="A212" s="42" t="s">
        <v>392</v>
      </c>
      <c r="B212" s="43">
        <v>41548</v>
      </c>
      <c r="C212" s="42" t="s">
        <v>21</v>
      </c>
      <c r="D212" s="44">
        <v>18.34</v>
      </c>
      <c r="E212" s="44">
        <v>18.09</v>
      </c>
      <c r="F212">
        <v>2013</v>
      </c>
    </row>
    <row r="213" spans="1:6" ht="15" customHeight="1" x14ac:dyDescent="0.3">
      <c r="A213" s="42" t="s">
        <v>393</v>
      </c>
      <c r="B213" s="43">
        <v>41582</v>
      </c>
      <c r="C213" s="42" t="s">
        <v>21</v>
      </c>
      <c r="D213" s="44">
        <v>14.98</v>
      </c>
      <c r="E213" s="44">
        <v>15.35</v>
      </c>
      <c r="F213">
        <v>2013</v>
      </c>
    </row>
    <row r="214" spans="1:6" ht="15" customHeight="1" x14ac:dyDescent="0.3">
      <c r="A214" s="42" t="s">
        <v>394</v>
      </c>
      <c r="B214" s="43">
        <v>41610</v>
      </c>
      <c r="C214" s="42" t="s">
        <v>21</v>
      </c>
      <c r="D214" s="44">
        <v>9.9499999999999993</v>
      </c>
      <c r="E214" s="44">
        <v>9.9600000000000009</v>
      </c>
      <c r="F214">
        <v>2013</v>
      </c>
    </row>
    <row r="215" spans="1:6" ht="15" customHeight="1" x14ac:dyDescent="0.3">
      <c r="A215" s="42" t="s">
        <v>395</v>
      </c>
      <c r="B215" s="43">
        <v>41652</v>
      </c>
      <c r="C215" s="42" t="s">
        <v>21</v>
      </c>
      <c r="D215" s="44">
        <v>3.91</v>
      </c>
      <c r="E215" s="44">
        <v>4.18</v>
      </c>
      <c r="F215">
        <v>2014</v>
      </c>
    </row>
    <row r="216" spans="1:6" ht="15" customHeight="1" x14ac:dyDescent="0.3">
      <c r="A216" s="42" t="s">
        <v>396</v>
      </c>
      <c r="B216" s="43">
        <v>41673</v>
      </c>
      <c r="C216" s="42" t="s">
        <v>21</v>
      </c>
      <c r="D216" s="44">
        <v>2.5499999999999998</v>
      </c>
      <c r="E216" s="44">
        <v>2.69</v>
      </c>
      <c r="F216">
        <v>2014</v>
      </c>
    </row>
    <row r="217" spans="1:6" ht="15" customHeight="1" x14ac:dyDescent="0.3">
      <c r="A217" s="42" t="s">
        <v>398</v>
      </c>
      <c r="B217" s="43">
        <v>41705</v>
      </c>
      <c r="C217" s="42" t="s">
        <v>21</v>
      </c>
      <c r="D217" s="44">
        <v>2.21</v>
      </c>
      <c r="E217" s="44">
        <v>2.1800000000000002</v>
      </c>
      <c r="F217">
        <v>2014</v>
      </c>
    </row>
    <row r="218" spans="1:6" ht="15" customHeight="1" x14ac:dyDescent="0.3">
      <c r="A218" s="42" t="s">
        <v>399</v>
      </c>
      <c r="B218" s="43">
        <v>41736</v>
      </c>
      <c r="C218" s="42" t="s">
        <v>21</v>
      </c>
      <c r="D218" s="44">
        <v>4.17</v>
      </c>
      <c r="E218" s="44">
        <v>3.84</v>
      </c>
      <c r="F218">
        <v>2014</v>
      </c>
    </row>
    <row r="219" spans="1:6" ht="15" customHeight="1" x14ac:dyDescent="0.3">
      <c r="A219" s="42" t="s">
        <v>400</v>
      </c>
      <c r="B219" s="43">
        <v>41765</v>
      </c>
      <c r="C219" s="42" t="s">
        <v>21</v>
      </c>
      <c r="D219" s="44">
        <v>8.33</v>
      </c>
      <c r="E219" s="44">
        <v>7.03</v>
      </c>
      <c r="F219">
        <v>2014</v>
      </c>
    </row>
    <row r="220" spans="1:6" ht="15" customHeight="1" x14ac:dyDescent="0.3">
      <c r="A220" s="42" t="s">
        <v>401</v>
      </c>
      <c r="B220" s="43">
        <v>41792</v>
      </c>
      <c r="C220" s="42" t="s">
        <v>21</v>
      </c>
      <c r="D220" s="44">
        <v>12.48</v>
      </c>
      <c r="E220" s="44">
        <v>11.92</v>
      </c>
      <c r="F220">
        <v>2014</v>
      </c>
    </row>
    <row r="221" spans="1:6" ht="15" customHeight="1" x14ac:dyDescent="0.3">
      <c r="A221" s="42" t="s">
        <v>403</v>
      </c>
      <c r="B221" s="43">
        <v>41820</v>
      </c>
      <c r="C221" s="42" t="s">
        <v>21</v>
      </c>
      <c r="D221" s="44">
        <v>18.36</v>
      </c>
      <c r="E221" s="44">
        <v>16.97</v>
      </c>
      <c r="F221">
        <v>2014</v>
      </c>
    </row>
    <row r="222" spans="1:6" ht="15" customHeight="1" x14ac:dyDescent="0.3">
      <c r="A222" s="42" t="s">
        <v>405</v>
      </c>
      <c r="B222" s="43">
        <v>41855</v>
      </c>
      <c r="C222" s="42" t="s">
        <v>21</v>
      </c>
      <c r="D222" s="44">
        <v>20.21</v>
      </c>
      <c r="E222" s="44">
        <v>18.87</v>
      </c>
      <c r="F222">
        <v>2014</v>
      </c>
    </row>
    <row r="223" spans="1:6" ht="15" customHeight="1" x14ac:dyDescent="0.3">
      <c r="A223" s="42" t="s">
        <v>407</v>
      </c>
      <c r="B223" s="43">
        <v>41886</v>
      </c>
      <c r="C223" s="42" t="s">
        <v>21</v>
      </c>
      <c r="D223" s="44">
        <v>22.33</v>
      </c>
      <c r="E223" s="44">
        <v>20.059999999999999</v>
      </c>
      <c r="F223">
        <v>2014</v>
      </c>
    </row>
    <row r="224" spans="1:6" ht="15" customHeight="1" x14ac:dyDescent="0.3">
      <c r="A224" s="42" t="s">
        <v>409</v>
      </c>
      <c r="B224" s="43">
        <v>41912</v>
      </c>
      <c r="C224" s="42" t="s">
        <v>21</v>
      </c>
      <c r="D224" s="44">
        <v>19.850000000000001</v>
      </c>
      <c r="E224" s="44">
        <v>19.690000000000001</v>
      </c>
      <c r="F224">
        <v>2014</v>
      </c>
    </row>
    <row r="225" spans="1:6" ht="15" customHeight="1" x14ac:dyDescent="0.3">
      <c r="A225" s="42" t="s">
        <v>410</v>
      </c>
      <c r="B225" s="43">
        <v>41949</v>
      </c>
      <c r="C225" s="42" t="s">
        <v>21</v>
      </c>
      <c r="D225" s="44">
        <v>14.77</v>
      </c>
      <c r="E225" s="44">
        <v>14.96</v>
      </c>
      <c r="F225">
        <v>2014</v>
      </c>
    </row>
    <row r="226" spans="1:6" ht="15" customHeight="1" x14ac:dyDescent="0.3">
      <c r="A226" s="42" t="s">
        <v>411</v>
      </c>
      <c r="B226" s="43">
        <v>41988</v>
      </c>
      <c r="C226" s="42" t="s">
        <v>21</v>
      </c>
      <c r="D226" s="44">
        <v>8.2899999999999991</v>
      </c>
      <c r="E226" s="44">
        <v>8.5299999999999994</v>
      </c>
      <c r="F226">
        <v>2014</v>
      </c>
    </row>
    <row r="227" spans="1:6" ht="15" customHeight="1" x14ac:dyDescent="0.3">
      <c r="A227" s="42" t="s">
        <v>412</v>
      </c>
      <c r="B227" s="43">
        <v>42016</v>
      </c>
      <c r="C227" s="42" t="s">
        <v>21</v>
      </c>
      <c r="D227" s="44">
        <v>4.49</v>
      </c>
      <c r="E227" s="44">
        <v>5.38</v>
      </c>
      <c r="F227">
        <v>2015</v>
      </c>
    </row>
    <row r="228" spans="1:6" ht="15" customHeight="1" x14ac:dyDescent="0.3">
      <c r="A228" s="42" t="s">
        <v>413</v>
      </c>
      <c r="B228" s="43">
        <v>42039</v>
      </c>
      <c r="C228" s="42" t="s">
        <v>21</v>
      </c>
      <c r="D228" s="44">
        <v>2.31</v>
      </c>
      <c r="E228" s="44">
        <v>2.91</v>
      </c>
      <c r="F228">
        <v>2015</v>
      </c>
    </row>
    <row r="229" spans="1:6" ht="15" customHeight="1" x14ac:dyDescent="0.3">
      <c r="A229" s="42" t="s">
        <v>414</v>
      </c>
      <c r="B229" s="43">
        <v>42074</v>
      </c>
      <c r="C229" s="42" t="s">
        <v>21</v>
      </c>
      <c r="D229" s="44">
        <v>0.88</v>
      </c>
      <c r="E229" s="44">
        <v>0.57999999999999996</v>
      </c>
      <c r="F229">
        <v>2015</v>
      </c>
    </row>
    <row r="230" spans="1:6" ht="15" customHeight="1" x14ac:dyDescent="0.3">
      <c r="A230" s="42" t="s">
        <v>416</v>
      </c>
      <c r="B230" s="43">
        <v>42096</v>
      </c>
      <c r="C230" s="42" t="s">
        <v>21</v>
      </c>
      <c r="D230" s="44">
        <v>2.38</v>
      </c>
      <c r="E230" s="44">
        <v>2.31</v>
      </c>
      <c r="F230">
        <v>2015</v>
      </c>
    </row>
    <row r="231" spans="1:6" ht="15" customHeight="1" x14ac:dyDescent="0.3">
      <c r="A231" s="42" t="s">
        <v>417</v>
      </c>
      <c r="B231" s="43">
        <v>42124</v>
      </c>
      <c r="C231" s="42" t="s">
        <v>21</v>
      </c>
      <c r="D231" s="44">
        <v>6.59</v>
      </c>
      <c r="E231" s="44">
        <v>5.5</v>
      </c>
      <c r="F231">
        <v>2015</v>
      </c>
    </row>
    <row r="232" spans="1:6" ht="15" customHeight="1" x14ac:dyDescent="0.3">
      <c r="A232" s="42" t="s">
        <v>418</v>
      </c>
      <c r="B232" s="43">
        <v>42152</v>
      </c>
      <c r="C232" s="42" t="s">
        <v>21</v>
      </c>
      <c r="D232" s="44">
        <v>12.48</v>
      </c>
      <c r="E232" s="44">
        <v>9.8000000000000007</v>
      </c>
      <c r="F232">
        <v>2015</v>
      </c>
    </row>
    <row r="233" spans="1:6" ht="15" customHeight="1" x14ac:dyDescent="0.3">
      <c r="A233" s="42" t="s">
        <v>420</v>
      </c>
      <c r="B233" s="43">
        <v>42191</v>
      </c>
      <c r="C233" s="42" t="s">
        <v>21</v>
      </c>
      <c r="D233" s="44">
        <v>17.98</v>
      </c>
      <c r="E233" s="44">
        <v>17.63</v>
      </c>
      <c r="F233">
        <v>2015</v>
      </c>
    </row>
    <row r="234" spans="1:6" ht="15" customHeight="1" x14ac:dyDescent="0.3">
      <c r="A234" s="42" t="s">
        <v>422</v>
      </c>
      <c r="B234" s="43">
        <v>42222</v>
      </c>
      <c r="C234" s="42" t="s">
        <v>21</v>
      </c>
      <c r="D234" s="44">
        <v>20.68</v>
      </c>
      <c r="E234" s="44">
        <v>19.940000000000001</v>
      </c>
      <c r="F234">
        <v>2015</v>
      </c>
    </row>
    <row r="235" spans="1:6" ht="15" customHeight="1" x14ac:dyDescent="0.3">
      <c r="A235" s="42" t="s">
        <v>424</v>
      </c>
      <c r="B235" s="43">
        <v>42247</v>
      </c>
      <c r="C235" s="42" t="s">
        <v>21</v>
      </c>
      <c r="D235" s="44">
        <v>22.19</v>
      </c>
      <c r="E235" s="44">
        <v>22.02</v>
      </c>
      <c r="F235">
        <v>2015</v>
      </c>
    </row>
    <row r="236" spans="1:6" ht="15" customHeight="1" x14ac:dyDescent="0.3">
      <c r="A236" s="42" t="s">
        <v>426</v>
      </c>
      <c r="B236" s="43">
        <v>42284</v>
      </c>
      <c r="C236" s="42" t="s">
        <v>21</v>
      </c>
      <c r="D236" s="44">
        <v>18.7</v>
      </c>
      <c r="E236" s="44">
        <v>18.739999999999998</v>
      </c>
      <c r="F236">
        <v>2015</v>
      </c>
    </row>
    <row r="237" spans="1:6" ht="15" customHeight="1" x14ac:dyDescent="0.3">
      <c r="A237" s="42" t="s">
        <v>427</v>
      </c>
      <c r="B237" s="43">
        <v>42314</v>
      </c>
      <c r="C237" s="42" t="s">
        <v>21</v>
      </c>
      <c r="D237" s="44">
        <v>15.47</v>
      </c>
      <c r="E237" s="44">
        <v>15.44</v>
      </c>
      <c r="F237">
        <v>2015</v>
      </c>
    </row>
    <row r="238" spans="1:6" ht="15" customHeight="1" x14ac:dyDescent="0.3">
      <c r="A238" s="42" t="s">
        <v>428</v>
      </c>
      <c r="B238" s="43">
        <v>42354</v>
      </c>
      <c r="C238" s="42" t="s">
        <v>21</v>
      </c>
      <c r="D238" s="44">
        <v>11.48</v>
      </c>
      <c r="E238" s="44">
        <v>11.45</v>
      </c>
      <c r="F238">
        <v>2015</v>
      </c>
    </row>
    <row r="239" spans="1:6" ht="15" customHeight="1" x14ac:dyDescent="0.3">
      <c r="A239" s="42" t="s">
        <v>429</v>
      </c>
      <c r="B239" s="43">
        <v>42376</v>
      </c>
      <c r="C239" s="42" t="s">
        <v>21</v>
      </c>
      <c r="D239" s="44">
        <v>8.4499999999999993</v>
      </c>
      <c r="E239" s="44">
        <v>8.8699999999999992</v>
      </c>
      <c r="F239">
        <v>2016</v>
      </c>
    </row>
    <row r="240" spans="1:6" ht="15" customHeight="1" x14ac:dyDescent="0.3">
      <c r="A240" s="42" t="s">
        <v>430</v>
      </c>
      <c r="B240" s="43">
        <v>42404</v>
      </c>
      <c r="C240" s="42" t="s">
        <v>21</v>
      </c>
      <c r="D240" s="44">
        <v>5.5</v>
      </c>
      <c r="E240" s="44">
        <v>5.67</v>
      </c>
      <c r="F240">
        <v>2016</v>
      </c>
    </row>
    <row r="241" spans="1:6" ht="15" customHeight="1" x14ac:dyDescent="0.3">
      <c r="A241" s="42" t="s">
        <v>432</v>
      </c>
      <c r="B241" s="43">
        <v>42439</v>
      </c>
      <c r="C241" s="42" t="s">
        <v>21</v>
      </c>
      <c r="D241" s="44">
        <v>5.23</v>
      </c>
      <c r="E241" s="44">
        <v>4.92</v>
      </c>
      <c r="F241">
        <v>2016</v>
      </c>
    </row>
    <row r="242" spans="1:6" ht="15" customHeight="1" x14ac:dyDescent="0.3">
      <c r="A242" s="42" t="s">
        <v>434</v>
      </c>
      <c r="B242" s="43">
        <v>42473</v>
      </c>
      <c r="C242" s="42" t="s">
        <v>21</v>
      </c>
      <c r="D242" s="44">
        <v>6.56</v>
      </c>
      <c r="E242" s="44">
        <v>6.43</v>
      </c>
      <c r="F242">
        <v>2016</v>
      </c>
    </row>
    <row r="243" spans="1:6" ht="15" customHeight="1" x14ac:dyDescent="0.3">
      <c r="A243" s="42" t="s">
        <v>435</v>
      </c>
      <c r="B243" s="43">
        <v>42501</v>
      </c>
      <c r="C243" s="42" t="s">
        <v>21</v>
      </c>
      <c r="D243" s="44">
        <v>9.44</v>
      </c>
      <c r="E243" s="44">
        <v>9.17</v>
      </c>
      <c r="F243">
        <v>2016</v>
      </c>
    </row>
    <row r="244" spans="1:6" ht="15" customHeight="1" x14ac:dyDescent="0.3">
      <c r="A244" s="42" t="s">
        <v>436</v>
      </c>
      <c r="B244" s="43">
        <v>42529</v>
      </c>
      <c r="C244" s="42" t="s">
        <v>21</v>
      </c>
      <c r="D244" s="44">
        <v>15.14</v>
      </c>
      <c r="E244" s="44">
        <v>13.83</v>
      </c>
      <c r="F244">
        <v>2016</v>
      </c>
    </row>
    <row r="245" spans="1:6" ht="15" customHeight="1" x14ac:dyDescent="0.3">
      <c r="A245" s="42" t="s">
        <v>438</v>
      </c>
      <c r="B245" s="43">
        <v>42556</v>
      </c>
      <c r="C245" s="42" t="s">
        <v>21</v>
      </c>
      <c r="D245" s="44">
        <v>18.89</v>
      </c>
      <c r="E245" s="44">
        <v>17.77</v>
      </c>
      <c r="F245">
        <v>2016</v>
      </c>
    </row>
    <row r="246" spans="1:6" ht="15" customHeight="1" x14ac:dyDescent="0.3">
      <c r="A246" s="42" t="s">
        <v>439</v>
      </c>
      <c r="B246" s="43">
        <v>42569</v>
      </c>
      <c r="C246" s="42" t="s">
        <v>21</v>
      </c>
      <c r="D246" s="45"/>
      <c r="E246" s="45"/>
      <c r="F246">
        <v>2016</v>
      </c>
    </row>
    <row r="247" spans="1:6" ht="15" customHeight="1" x14ac:dyDescent="0.3">
      <c r="A247" s="42" t="s">
        <v>440</v>
      </c>
      <c r="B247" s="43">
        <v>42583</v>
      </c>
      <c r="C247" s="42" t="s">
        <v>21</v>
      </c>
      <c r="D247" s="44">
        <v>20.7</v>
      </c>
      <c r="E247" s="44">
        <v>19.86</v>
      </c>
      <c r="F247">
        <v>2016</v>
      </c>
    </row>
    <row r="248" spans="1:6" ht="15" customHeight="1" x14ac:dyDescent="0.3">
      <c r="A248" s="42" t="s">
        <v>441</v>
      </c>
      <c r="B248" s="43">
        <v>42598</v>
      </c>
      <c r="C248" s="42" t="s">
        <v>21</v>
      </c>
      <c r="D248" s="46">
        <v>22.12</v>
      </c>
      <c r="E248" s="44">
        <v>19.98</v>
      </c>
      <c r="F248">
        <v>2016</v>
      </c>
    </row>
    <row r="249" spans="1:6" ht="15" customHeight="1" x14ac:dyDescent="0.3">
      <c r="A249" s="42" t="s">
        <v>442</v>
      </c>
      <c r="B249" s="43">
        <v>42611</v>
      </c>
      <c r="C249" s="42" t="s">
        <v>21</v>
      </c>
      <c r="D249" s="44">
        <v>21.64</v>
      </c>
      <c r="E249" s="44">
        <v>21.2</v>
      </c>
      <c r="F249">
        <v>2016</v>
      </c>
    </row>
    <row r="250" spans="1:6" ht="15" customHeight="1" x14ac:dyDescent="0.3">
      <c r="A250" s="42" t="s">
        <v>444</v>
      </c>
      <c r="B250" s="43">
        <v>42646</v>
      </c>
      <c r="C250" s="42" t="s">
        <v>21</v>
      </c>
      <c r="D250" s="44">
        <v>19.850000000000001</v>
      </c>
      <c r="E250" s="44">
        <v>20.100000000000001</v>
      </c>
      <c r="F250">
        <v>2016</v>
      </c>
    </row>
    <row r="251" spans="1:6" ht="15" customHeight="1" x14ac:dyDescent="0.3">
      <c r="A251" s="42" t="s">
        <v>445</v>
      </c>
      <c r="B251" s="43">
        <v>42681</v>
      </c>
      <c r="C251" s="42" t="s">
        <v>21</v>
      </c>
      <c r="D251" s="44">
        <v>14.85</v>
      </c>
      <c r="E251" s="44">
        <v>15.48</v>
      </c>
      <c r="F251">
        <v>2016</v>
      </c>
    </row>
    <row r="252" spans="1:6" ht="15" customHeight="1" x14ac:dyDescent="0.3">
      <c r="A252" s="42" t="s">
        <v>446</v>
      </c>
      <c r="B252" s="43">
        <v>42704</v>
      </c>
      <c r="C252" s="42" t="s">
        <v>21</v>
      </c>
      <c r="D252" s="44">
        <v>11.35</v>
      </c>
      <c r="E252" s="44">
        <v>11.71</v>
      </c>
      <c r="F252">
        <v>2016</v>
      </c>
    </row>
    <row r="253" spans="1:6" ht="15" customHeight="1" x14ac:dyDescent="0.3">
      <c r="A253" s="42" t="s">
        <v>447</v>
      </c>
      <c r="B253" s="43">
        <v>42739</v>
      </c>
      <c r="C253" s="42" t="s">
        <v>21</v>
      </c>
      <c r="D253" s="44">
        <v>6.49</v>
      </c>
      <c r="E253" s="44">
        <v>6.71</v>
      </c>
      <c r="F253">
        <v>2017</v>
      </c>
    </row>
    <row r="254" spans="1:6" ht="15" customHeight="1" x14ac:dyDescent="0.3">
      <c r="A254" s="42" t="s">
        <v>448</v>
      </c>
      <c r="B254" s="43">
        <v>42773</v>
      </c>
      <c r="C254" s="42" t="s">
        <v>21</v>
      </c>
      <c r="D254" s="44">
        <v>4.42</v>
      </c>
      <c r="E254" s="44">
        <v>4.57</v>
      </c>
      <c r="F254">
        <v>2017</v>
      </c>
    </row>
    <row r="255" spans="1:6" ht="15" customHeight="1" x14ac:dyDescent="0.3">
      <c r="A255" s="42" t="s">
        <v>450</v>
      </c>
      <c r="B255" s="43">
        <v>42800</v>
      </c>
      <c r="C255" s="42" t="s">
        <v>21</v>
      </c>
      <c r="D255" s="45"/>
      <c r="E255" s="45"/>
      <c r="F255">
        <v>2017</v>
      </c>
    </row>
    <row r="256" spans="1:6" ht="15" customHeight="1" x14ac:dyDescent="0.3">
      <c r="A256" s="42" t="s">
        <v>451</v>
      </c>
      <c r="B256" s="43">
        <v>42828</v>
      </c>
      <c r="C256" s="42" t="s">
        <v>21</v>
      </c>
      <c r="D256" s="45"/>
      <c r="E256" s="45"/>
      <c r="F256">
        <v>2017</v>
      </c>
    </row>
    <row r="257" spans="1:6" ht="15" customHeight="1" x14ac:dyDescent="0.3">
      <c r="A257" s="42" t="s">
        <v>452</v>
      </c>
      <c r="B257" s="43">
        <v>42856</v>
      </c>
      <c r="C257" s="42" t="s">
        <v>21</v>
      </c>
      <c r="D257" s="44">
        <v>7.97</v>
      </c>
      <c r="E257" s="44">
        <v>7.83</v>
      </c>
      <c r="F257">
        <v>2017</v>
      </c>
    </row>
    <row r="258" spans="1:6" ht="15" customHeight="1" x14ac:dyDescent="0.3">
      <c r="A258" s="42" t="s">
        <v>453</v>
      </c>
      <c r="B258" s="43">
        <v>42891</v>
      </c>
      <c r="C258" s="42" t="s">
        <v>21</v>
      </c>
      <c r="D258" s="44">
        <v>13.37</v>
      </c>
      <c r="E258" s="44">
        <v>12.9</v>
      </c>
      <c r="F258">
        <v>2017</v>
      </c>
    </row>
    <row r="259" spans="1:6" ht="15" customHeight="1" x14ac:dyDescent="0.3">
      <c r="A259" s="42" t="s">
        <v>455</v>
      </c>
      <c r="B259" s="43">
        <v>42921</v>
      </c>
      <c r="C259" s="42" t="s">
        <v>21</v>
      </c>
      <c r="D259" s="44">
        <v>19.440000000000001</v>
      </c>
      <c r="E259" s="44">
        <v>16.260000000000002</v>
      </c>
      <c r="F259">
        <v>2017</v>
      </c>
    </row>
    <row r="260" spans="1:6" ht="15" customHeight="1" x14ac:dyDescent="0.3">
      <c r="A260" s="42" t="s">
        <v>457</v>
      </c>
      <c r="B260" s="43">
        <v>42947</v>
      </c>
      <c r="C260" s="42" t="s">
        <v>21</v>
      </c>
      <c r="D260" s="44">
        <v>20.04</v>
      </c>
      <c r="E260" s="44">
        <v>19.46</v>
      </c>
      <c r="F260">
        <v>2017</v>
      </c>
    </row>
    <row r="261" spans="1:6" ht="15" customHeight="1" x14ac:dyDescent="0.3">
      <c r="A261" s="42" t="s">
        <v>459</v>
      </c>
      <c r="B261" s="43">
        <v>42979</v>
      </c>
      <c r="C261" s="42" t="s">
        <v>21</v>
      </c>
      <c r="D261" s="44">
        <v>20.62</v>
      </c>
      <c r="E261" s="44">
        <v>19.940000000000001</v>
      </c>
      <c r="F261">
        <v>2017</v>
      </c>
    </row>
    <row r="262" spans="1:6" ht="15" customHeight="1" x14ac:dyDescent="0.3">
      <c r="A262" s="42" t="s">
        <v>460</v>
      </c>
      <c r="B262" s="43">
        <v>43014</v>
      </c>
      <c r="C262" s="42" t="s">
        <v>21</v>
      </c>
      <c r="D262" s="44">
        <v>19.510000000000002</v>
      </c>
      <c r="E262" s="44">
        <v>19.579999999999998</v>
      </c>
      <c r="F262">
        <v>2017</v>
      </c>
    </row>
    <row r="263" spans="1:6" ht="15" customHeight="1" x14ac:dyDescent="0.3">
      <c r="A263" s="42" t="s">
        <v>461</v>
      </c>
      <c r="B263" s="43">
        <v>43045</v>
      </c>
      <c r="C263" s="42" t="s">
        <v>21</v>
      </c>
      <c r="D263" s="44">
        <v>16.7</v>
      </c>
      <c r="E263" s="44">
        <v>17.04</v>
      </c>
      <c r="F263">
        <v>2017</v>
      </c>
    </row>
    <row r="264" spans="1:6" ht="15" customHeight="1" x14ac:dyDescent="0.3">
      <c r="A264" s="42" t="s">
        <v>462</v>
      </c>
      <c r="B264" s="43">
        <v>43073</v>
      </c>
      <c r="C264" s="42" t="s">
        <v>21</v>
      </c>
      <c r="D264" s="44">
        <v>11.61</v>
      </c>
      <c r="E264" s="44">
        <v>11.94</v>
      </c>
      <c r="F264">
        <v>2017</v>
      </c>
    </row>
    <row r="265" spans="1:6" ht="15" customHeight="1" x14ac:dyDescent="0.3">
      <c r="A265" s="42" t="s">
        <v>463</v>
      </c>
      <c r="B265" s="43">
        <v>43110</v>
      </c>
      <c r="C265" s="42" t="s">
        <v>21</v>
      </c>
      <c r="D265" s="44">
        <v>2.67</v>
      </c>
      <c r="E265" s="44">
        <v>3.35</v>
      </c>
      <c r="F265">
        <v>2018</v>
      </c>
    </row>
    <row r="266" spans="1:6" ht="15" customHeight="1" x14ac:dyDescent="0.3">
      <c r="A266" s="42" t="s">
        <v>464</v>
      </c>
      <c r="B266" s="43">
        <v>43140</v>
      </c>
      <c r="C266" s="42" t="s">
        <v>21</v>
      </c>
      <c r="D266" s="45"/>
      <c r="E266" s="45"/>
      <c r="F266">
        <v>2018</v>
      </c>
    </row>
    <row r="267" spans="1:6" ht="15" customHeight="1" x14ac:dyDescent="0.3">
      <c r="A267" s="42" t="s">
        <v>466</v>
      </c>
      <c r="B267" s="43">
        <v>43165</v>
      </c>
      <c r="C267" s="42" t="s">
        <v>21</v>
      </c>
      <c r="D267" s="44">
        <v>3.63</v>
      </c>
      <c r="E267" s="44">
        <v>3.99</v>
      </c>
      <c r="F267">
        <v>2018</v>
      </c>
    </row>
    <row r="268" spans="1:6" ht="15" customHeight="1" x14ac:dyDescent="0.3">
      <c r="A268" s="42" t="s">
        <v>467</v>
      </c>
      <c r="B268" s="43">
        <v>43199</v>
      </c>
      <c r="C268" s="42" t="s">
        <v>21</v>
      </c>
      <c r="D268" s="44">
        <v>4.41</v>
      </c>
      <c r="E268" s="44">
        <v>4.68</v>
      </c>
      <c r="F268">
        <v>2018</v>
      </c>
    </row>
    <row r="269" spans="1:6" ht="15" customHeight="1" x14ac:dyDescent="0.3">
      <c r="A269" s="42" t="s">
        <v>468</v>
      </c>
      <c r="B269" s="43">
        <v>43221</v>
      </c>
      <c r="C269" s="42" t="s">
        <v>21</v>
      </c>
      <c r="D269" s="44">
        <v>6.93</v>
      </c>
      <c r="E269" s="44">
        <v>6.74</v>
      </c>
      <c r="F269">
        <v>2018</v>
      </c>
    </row>
    <row r="270" spans="1:6" ht="15" customHeight="1" x14ac:dyDescent="0.3">
      <c r="A270" s="42" t="s">
        <v>469</v>
      </c>
      <c r="B270" s="43">
        <v>43250</v>
      </c>
      <c r="C270" s="42" t="s">
        <v>21</v>
      </c>
      <c r="D270" s="44">
        <v>11.99</v>
      </c>
      <c r="E270" s="44">
        <v>11.33</v>
      </c>
      <c r="F270">
        <v>2018</v>
      </c>
    </row>
    <row r="271" spans="1:6" ht="15" customHeight="1" x14ac:dyDescent="0.3">
      <c r="A271" s="42" t="s">
        <v>471</v>
      </c>
      <c r="B271" s="43">
        <v>43283</v>
      </c>
      <c r="C271" s="42" t="s">
        <v>21</v>
      </c>
      <c r="D271" s="44">
        <v>18.97</v>
      </c>
      <c r="E271" s="46">
        <v>16.73</v>
      </c>
      <c r="F271">
        <v>2018</v>
      </c>
    </row>
    <row r="272" spans="1:6" ht="15" customHeight="1" x14ac:dyDescent="0.3">
      <c r="A272" s="42" t="s">
        <v>472</v>
      </c>
      <c r="B272" s="43">
        <v>43299</v>
      </c>
      <c r="C272" s="42" t="s">
        <v>21</v>
      </c>
      <c r="D272" s="44">
        <v>20.260000000000002</v>
      </c>
      <c r="E272" s="44">
        <v>18.809999999999999</v>
      </c>
      <c r="F272">
        <v>2018</v>
      </c>
    </row>
    <row r="273" spans="1:6" ht="15" customHeight="1" x14ac:dyDescent="0.3">
      <c r="A273" s="42" t="s">
        <v>473</v>
      </c>
      <c r="B273" s="43">
        <v>43311</v>
      </c>
      <c r="C273" s="42" t="s">
        <v>21</v>
      </c>
      <c r="D273" s="44">
        <v>21.54</v>
      </c>
      <c r="E273" s="44">
        <v>20.38</v>
      </c>
      <c r="F273">
        <v>2018</v>
      </c>
    </row>
    <row r="274" spans="1:6" ht="15" customHeight="1" x14ac:dyDescent="0.3">
      <c r="A274" s="42" t="s">
        <v>474</v>
      </c>
      <c r="B274" s="43">
        <v>43325</v>
      </c>
      <c r="C274" s="42" t="s">
        <v>21</v>
      </c>
      <c r="D274" s="44">
        <v>21.72</v>
      </c>
      <c r="E274" s="44">
        <v>21.41</v>
      </c>
      <c r="F274">
        <v>2018</v>
      </c>
    </row>
    <row r="275" spans="1:6" ht="15" customHeight="1" x14ac:dyDescent="0.3">
      <c r="A275" s="42" t="s">
        <v>475</v>
      </c>
      <c r="B275" s="43">
        <v>43341</v>
      </c>
      <c r="C275" s="42" t="s">
        <v>21</v>
      </c>
      <c r="D275" s="44">
        <v>22.94</v>
      </c>
      <c r="E275" s="44">
        <v>21.37</v>
      </c>
      <c r="F275">
        <v>2018</v>
      </c>
    </row>
    <row r="276" spans="1:6" ht="15" customHeight="1" x14ac:dyDescent="0.3">
      <c r="A276" s="42" t="s">
        <v>477</v>
      </c>
      <c r="B276" s="43">
        <v>43375</v>
      </c>
      <c r="C276" s="42" t="s">
        <v>21</v>
      </c>
      <c r="D276" s="44">
        <v>20.34</v>
      </c>
      <c r="E276" s="44">
        <v>20.25</v>
      </c>
      <c r="F276">
        <v>2018</v>
      </c>
    </row>
    <row r="277" spans="1:6" ht="15" customHeight="1" x14ac:dyDescent="0.3">
      <c r="A277" s="42" t="s">
        <v>478</v>
      </c>
      <c r="B277" s="43">
        <v>43409</v>
      </c>
      <c r="C277" s="42" t="s">
        <v>21</v>
      </c>
      <c r="D277" s="44">
        <v>14.1</v>
      </c>
      <c r="E277" s="44">
        <v>14.19</v>
      </c>
      <c r="F277">
        <v>2018</v>
      </c>
    </row>
    <row r="278" spans="1:6" ht="15" customHeight="1" x14ac:dyDescent="0.3">
      <c r="A278" s="42" t="s">
        <v>479</v>
      </c>
      <c r="B278" s="43">
        <v>43434</v>
      </c>
      <c r="C278" s="42" t="s">
        <v>21</v>
      </c>
      <c r="D278" s="44">
        <v>8.7799999999999994</v>
      </c>
      <c r="E278" s="44">
        <v>9.64</v>
      </c>
      <c r="F278">
        <v>2018</v>
      </c>
    </row>
    <row r="279" spans="1:6" ht="15" customHeight="1" x14ac:dyDescent="0.3">
      <c r="A279" s="42" t="s">
        <v>6</v>
      </c>
      <c r="B279" s="43">
        <v>43467</v>
      </c>
      <c r="C279" s="42" t="s">
        <v>21</v>
      </c>
      <c r="D279" s="44">
        <v>6.62</v>
      </c>
      <c r="E279" s="44">
        <v>7.15</v>
      </c>
      <c r="F279">
        <v>2019</v>
      </c>
    </row>
    <row r="280" spans="1:6" ht="15" customHeight="1" x14ac:dyDescent="0.3">
      <c r="A280" s="42" t="s">
        <v>7</v>
      </c>
      <c r="B280" s="43">
        <v>43500</v>
      </c>
      <c r="C280" s="42" t="s">
        <v>21</v>
      </c>
      <c r="D280" s="44">
        <v>3.38</v>
      </c>
      <c r="E280" s="44">
        <v>3.74</v>
      </c>
      <c r="F280">
        <v>2019</v>
      </c>
    </row>
    <row r="281" spans="1:6" ht="15" customHeight="1" x14ac:dyDescent="0.3">
      <c r="A281" s="42" t="s">
        <v>9</v>
      </c>
      <c r="B281" s="43">
        <v>43532</v>
      </c>
      <c r="C281" s="42" t="s">
        <v>21</v>
      </c>
      <c r="D281" s="44">
        <v>3.07</v>
      </c>
      <c r="E281" s="44">
        <v>3.3</v>
      </c>
      <c r="F281">
        <v>2019</v>
      </c>
    </row>
    <row r="282" spans="1:6" ht="15" customHeight="1" x14ac:dyDescent="0.3">
      <c r="A282" s="42" t="s">
        <v>10</v>
      </c>
      <c r="B282" s="43">
        <v>43557</v>
      </c>
      <c r="C282" s="42" t="s">
        <v>21</v>
      </c>
      <c r="D282" s="44">
        <v>5.18</v>
      </c>
      <c r="E282" s="44">
        <v>5.33</v>
      </c>
      <c r="F282">
        <v>2019</v>
      </c>
    </row>
    <row r="283" spans="1:6" ht="15" customHeight="1" x14ac:dyDescent="0.3">
      <c r="A283" s="42" t="s">
        <v>11</v>
      </c>
      <c r="B283" s="43">
        <v>43591</v>
      </c>
      <c r="C283" s="42" t="s">
        <v>21</v>
      </c>
      <c r="D283" s="44">
        <v>8.84</v>
      </c>
      <c r="E283" s="44">
        <v>8.61</v>
      </c>
      <c r="F283">
        <v>2019</v>
      </c>
    </row>
    <row r="284" spans="1:6" ht="15" customHeight="1" x14ac:dyDescent="0.3">
      <c r="A284" s="42" t="s">
        <v>12</v>
      </c>
      <c r="B284" s="43">
        <v>43614</v>
      </c>
      <c r="C284" s="42" t="s">
        <v>21</v>
      </c>
      <c r="D284" s="44">
        <v>13.51</v>
      </c>
      <c r="E284" s="44">
        <v>11.11</v>
      </c>
      <c r="F284">
        <v>2019</v>
      </c>
    </row>
    <row r="285" spans="1:6" ht="15" customHeight="1" x14ac:dyDescent="0.3">
      <c r="A285" s="42" t="s">
        <v>14</v>
      </c>
      <c r="B285" s="43">
        <v>43647</v>
      </c>
      <c r="C285" s="42" t="s">
        <v>21</v>
      </c>
      <c r="D285" s="44">
        <v>17.399999999999999</v>
      </c>
      <c r="E285" s="44">
        <v>16.16</v>
      </c>
      <c r="F285">
        <v>2019</v>
      </c>
    </row>
    <row r="286" spans="1:6" ht="15" customHeight="1" x14ac:dyDescent="0.3">
      <c r="A286" s="42" t="s">
        <v>16</v>
      </c>
      <c r="B286" s="43">
        <v>43675</v>
      </c>
      <c r="C286" s="42" t="s">
        <v>21</v>
      </c>
      <c r="D286" s="44">
        <v>21.12</v>
      </c>
      <c r="E286" s="44">
        <v>18.690000000000001</v>
      </c>
      <c r="F286">
        <v>2019</v>
      </c>
    </row>
    <row r="287" spans="1:6" ht="15" customHeight="1" x14ac:dyDescent="0.3">
      <c r="A287" s="42" t="s">
        <v>17</v>
      </c>
      <c r="B287" s="43">
        <v>43691</v>
      </c>
      <c r="C287" s="42" t="s">
        <v>21</v>
      </c>
      <c r="D287" s="44">
        <v>22.05</v>
      </c>
      <c r="E287" s="44">
        <v>19.46</v>
      </c>
      <c r="F287">
        <v>2019</v>
      </c>
    </row>
    <row r="288" spans="1:6" ht="15" customHeight="1" x14ac:dyDescent="0.3">
      <c r="A288" s="42" t="s">
        <v>18</v>
      </c>
      <c r="B288" s="43">
        <v>43704</v>
      </c>
      <c r="C288" s="42" t="s">
        <v>21</v>
      </c>
      <c r="D288" s="44">
        <v>20.29</v>
      </c>
      <c r="E288" s="44">
        <v>19.850000000000001</v>
      </c>
      <c r="F288">
        <v>2019</v>
      </c>
    </row>
    <row r="289" spans="1:6" ht="15" customHeight="1" x14ac:dyDescent="0.3">
      <c r="A289" s="42" t="s">
        <v>39</v>
      </c>
      <c r="B289" s="43">
        <v>43738</v>
      </c>
      <c r="C289" s="42" t="s">
        <v>21</v>
      </c>
      <c r="D289" s="44">
        <v>19.84</v>
      </c>
      <c r="E289" s="44">
        <v>19.920000000000002</v>
      </c>
      <c r="F289">
        <v>2019</v>
      </c>
    </row>
    <row r="290" spans="1:6" ht="15" customHeight="1" x14ac:dyDescent="0.3">
      <c r="A290" s="42" t="s">
        <v>40</v>
      </c>
      <c r="B290" s="43">
        <v>43773</v>
      </c>
      <c r="C290" s="42" t="s">
        <v>21</v>
      </c>
      <c r="D290" s="44">
        <v>15.02</v>
      </c>
      <c r="E290" s="44">
        <v>15.65</v>
      </c>
      <c r="F290">
        <v>2019</v>
      </c>
    </row>
    <row r="291" spans="1:6" ht="15" customHeight="1" x14ac:dyDescent="0.3">
      <c r="A291" s="42" t="s">
        <v>41</v>
      </c>
      <c r="B291" s="43">
        <v>43803</v>
      </c>
      <c r="C291" s="42" t="s">
        <v>21</v>
      </c>
      <c r="D291" s="44">
        <v>8.8000000000000007</v>
      </c>
      <c r="E291" s="44">
        <v>10.06</v>
      </c>
      <c r="F291">
        <v>2019</v>
      </c>
    </row>
    <row r="292" spans="1:6" ht="15" customHeight="1" x14ac:dyDescent="0.3">
      <c r="A292" s="42" t="s">
        <v>502</v>
      </c>
      <c r="B292" s="43">
        <v>43837</v>
      </c>
      <c r="C292" s="42" t="s">
        <v>21</v>
      </c>
      <c r="D292" s="44">
        <v>5.96</v>
      </c>
      <c r="E292" s="44">
        <v>6.63</v>
      </c>
      <c r="F292">
        <v>2020</v>
      </c>
    </row>
    <row r="293" spans="1:6" ht="15" customHeight="1" x14ac:dyDescent="0.3">
      <c r="A293" s="42" t="s">
        <v>503</v>
      </c>
      <c r="B293" s="43">
        <v>43874</v>
      </c>
      <c r="C293" s="42" t="s">
        <v>21</v>
      </c>
      <c r="D293" s="44">
        <v>5.32</v>
      </c>
      <c r="E293" s="44">
        <v>5.4</v>
      </c>
      <c r="F293">
        <v>2020</v>
      </c>
    </row>
    <row r="294" spans="1:6" ht="15" customHeight="1" x14ac:dyDescent="0.3">
      <c r="A294" s="42" t="s">
        <v>504</v>
      </c>
      <c r="B294" s="43">
        <v>43899</v>
      </c>
      <c r="C294" s="42" t="s">
        <v>21</v>
      </c>
      <c r="D294" s="44">
        <v>5.42</v>
      </c>
      <c r="E294" s="44">
        <v>5.39</v>
      </c>
      <c r="F294">
        <v>2020</v>
      </c>
    </row>
    <row r="295" spans="1:6" ht="15" customHeight="1" x14ac:dyDescent="0.3">
      <c r="A295" s="42" t="s">
        <v>510</v>
      </c>
      <c r="B295" s="43">
        <v>43998</v>
      </c>
      <c r="C295" s="42" t="s">
        <v>21</v>
      </c>
      <c r="D295" s="44">
        <v>15.99</v>
      </c>
      <c r="E295" s="44">
        <v>13.89</v>
      </c>
      <c r="F295">
        <v>2020</v>
      </c>
    </row>
    <row r="296" spans="1:6" ht="15" customHeight="1" x14ac:dyDescent="0.3">
      <c r="A296" s="42" t="s">
        <v>505</v>
      </c>
      <c r="B296" s="43">
        <v>44018</v>
      </c>
      <c r="C296" s="42" t="s">
        <v>21</v>
      </c>
      <c r="D296" s="44">
        <v>18.440000000000001</v>
      </c>
      <c r="E296" s="46">
        <v>17.86</v>
      </c>
      <c r="F296">
        <v>2020</v>
      </c>
    </row>
    <row r="297" spans="1:6" ht="15" customHeight="1" x14ac:dyDescent="0.3">
      <c r="A297" s="42" t="s">
        <v>506</v>
      </c>
      <c r="B297" s="43">
        <v>44053</v>
      </c>
      <c r="C297" s="42" t="s">
        <v>21</v>
      </c>
      <c r="D297" s="44">
        <v>22.08</v>
      </c>
      <c r="E297" s="44">
        <v>20.399999999999999</v>
      </c>
      <c r="F297">
        <v>2020</v>
      </c>
    </row>
    <row r="298" spans="1:6" ht="15" customHeight="1" x14ac:dyDescent="0.3">
      <c r="A298" s="42" t="s">
        <v>512</v>
      </c>
      <c r="B298" s="43">
        <v>44068</v>
      </c>
      <c r="C298" s="42" t="s">
        <v>21</v>
      </c>
      <c r="D298" s="44">
        <v>22.16</v>
      </c>
      <c r="E298" s="44">
        <v>21.52</v>
      </c>
      <c r="F298">
        <v>2020</v>
      </c>
    </row>
    <row r="299" spans="1:6" ht="15" customHeight="1" x14ac:dyDescent="0.3">
      <c r="A299" s="42" t="s">
        <v>507</v>
      </c>
      <c r="B299" s="43">
        <v>44084</v>
      </c>
      <c r="C299" s="42" t="s">
        <v>21</v>
      </c>
      <c r="D299" s="44">
        <v>22.54</v>
      </c>
      <c r="E299" s="44">
        <v>20.48</v>
      </c>
      <c r="F299">
        <v>2020</v>
      </c>
    </row>
    <row r="300" spans="1:6" ht="15" customHeight="1" x14ac:dyDescent="0.3">
      <c r="A300" s="42" t="s">
        <v>508</v>
      </c>
      <c r="B300" s="43">
        <v>44110</v>
      </c>
      <c r="C300" s="42" t="s">
        <v>21</v>
      </c>
      <c r="D300" s="44">
        <v>19.05</v>
      </c>
      <c r="E300" s="44">
        <v>19.22</v>
      </c>
      <c r="F300">
        <v>2020</v>
      </c>
    </row>
    <row r="301" spans="1:6" ht="15" customHeight="1" x14ac:dyDescent="0.3">
      <c r="A301" s="42" t="s">
        <v>509</v>
      </c>
      <c r="B301" s="43">
        <v>44144</v>
      </c>
      <c r="C301" s="42" t="s">
        <v>21</v>
      </c>
      <c r="D301" s="44">
        <v>14.78</v>
      </c>
      <c r="E301" s="44">
        <v>14.82</v>
      </c>
      <c r="F301">
        <v>2020</v>
      </c>
    </row>
    <row r="302" spans="1:6" ht="15" customHeight="1" x14ac:dyDescent="0.3">
      <c r="A302" s="49" t="s">
        <v>522</v>
      </c>
      <c r="B302" s="50">
        <v>44263</v>
      </c>
      <c r="C302" s="49" t="s">
        <v>21</v>
      </c>
      <c r="D302" s="51">
        <v>3.33</v>
      </c>
      <c r="E302" s="51">
        <v>3.13</v>
      </c>
      <c r="F302">
        <v>2021</v>
      </c>
    </row>
    <row r="303" spans="1:6" ht="15" customHeight="1" x14ac:dyDescent="0.3">
      <c r="A303" s="49" t="s">
        <v>523</v>
      </c>
      <c r="B303" s="50">
        <v>44292</v>
      </c>
      <c r="C303" s="49" t="s">
        <v>21</v>
      </c>
      <c r="D303" s="51">
        <v>5.87</v>
      </c>
      <c r="E303" s="51">
        <v>5.8</v>
      </c>
      <c r="F303">
        <v>2021</v>
      </c>
    </row>
    <row r="304" spans="1:6" ht="15" customHeight="1" x14ac:dyDescent="0.3">
      <c r="A304" s="49" t="s">
        <v>524</v>
      </c>
      <c r="B304" s="50">
        <v>44322</v>
      </c>
      <c r="C304" s="49" t="s">
        <v>21</v>
      </c>
      <c r="D304" s="51">
        <v>8.7200000000000006</v>
      </c>
      <c r="E304" s="51">
        <v>9.49</v>
      </c>
      <c r="F304">
        <v>2021</v>
      </c>
    </row>
    <row r="305" spans="1:6" ht="15" customHeight="1" x14ac:dyDescent="0.3">
      <c r="A305" s="49" t="s">
        <v>525</v>
      </c>
      <c r="B305" s="50">
        <v>44350</v>
      </c>
      <c r="C305" s="49" t="s">
        <v>21</v>
      </c>
      <c r="D305" s="51">
        <v>12.19</v>
      </c>
      <c r="E305" s="51">
        <v>13.11</v>
      </c>
      <c r="F305">
        <v>2021</v>
      </c>
    </row>
    <row r="306" spans="1:6" ht="15" customHeight="1" x14ac:dyDescent="0.3">
      <c r="A306" s="49" t="s">
        <v>527</v>
      </c>
      <c r="B306" s="50">
        <v>44383</v>
      </c>
      <c r="C306" s="49" t="s">
        <v>21</v>
      </c>
      <c r="D306" s="51">
        <v>16.97</v>
      </c>
      <c r="E306" s="51">
        <v>18.21</v>
      </c>
      <c r="F306">
        <v>2021</v>
      </c>
    </row>
    <row r="307" spans="1:6" ht="15" customHeight="1" x14ac:dyDescent="0.3">
      <c r="A307" s="49" t="s">
        <v>529</v>
      </c>
      <c r="B307" s="50">
        <v>44410</v>
      </c>
      <c r="C307" s="49" t="s">
        <v>21</v>
      </c>
      <c r="D307" s="51">
        <v>19.34</v>
      </c>
      <c r="E307" s="51">
        <v>21.08</v>
      </c>
      <c r="F307">
        <v>2021</v>
      </c>
    </row>
    <row r="308" spans="1:6" ht="15" customHeight="1" x14ac:dyDescent="0.3">
      <c r="A308" s="49" t="s">
        <v>530</v>
      </c>
      <c r="B308" s="50">
        <v>44426</v>
      </c>
      <c r="C308" s="49" t="s">
        <v>21</v>
      </c>
      <c r="D308" s="51">
        <v>20.69</v>
      </c>
      <c r="E308" s="51">
        <v>21.95</v>
      </c>
      <c r="F308">
        <v>2021</v>
      </c>
    </row>
    <row r="309" spans="1:6" ht="15" customHeight="1" x14ac:dyDescent="0.3">
      <c r="A309" s="49" t="s">
        <v>531</v>
      </c>
      <c r="B309" s="50">
        <v>44438</v>
      </c>
      <c r="C309" s="49" t="s">
        <v>21</v>
      </c>
      <c r="D309" s="51">
        <v>21.63</v>
      </c>
      <c r="E309" s="51">
        <v>22.11</v>
      </c>
      <c r="F309">
        <v>2021</v>
      </c>
    </row>
    <row r="310" spans="1:6" ht="15" customHeight="1" x14ac:dyDescent="0.3">
      <c r="A310" s="49" t="s">
        <v>533</v>
      </c>
      <c r="B310" s="50">
        <v>44473</v>
      </c>
      <c r="C310" s="49" t="s">
        <v>21</v>
      </c>
      <c r="D310" s="51">
        <v>20.12</v>
      </c>
      <c r="E310" s="51">
        <v>20.47</v>
      </c>
      <c r="F310">
        <v>2021</v>
      </c>
    </row>
    <row r="311" spans="1:6" ht="15" customHeight="1" x14ac:dyDescent="0.3">
      <c r="A311" s="49" t="s">
        <v>534</v>
      </c>
      <c r="B311" s="50">
        <v>44504</v>
      </c>
      <c r="C311" s="49" t="s">
        <v>21</v>
      </c>
      <c r="D311" s="51">
        <v>16.66</v>
      </c>
      <c r="E311" s="51">
        <v>16.350000000000001</v>
      </c>
      <c r="F311">
        <v>2021</v>
      </c>
    </row>
    <row r="312" spans="1:6" ht="15" customHeight="1" x14ac:dyDescent="0.3">
      <c r="A312" s="49" t="s">
        <v>535</v>
      </c>
      <c r="B312" s="50">
        <v>44532</v>
      </c>
      <c r="C312" s="49" t="s">
        <v>21</v>
      </c>
      <c r="D312" s="51">
        <v>11.81</v>
      </c>
      <c r="E312" s="51">
        <v>11.59</v>
      </c>
      <c r="F312">
        <v>2021</v>
      </c>
    </row>
    <row r="313" spans="1:6" ht="15" customHeight="1" x14ac:dyDescent="0.3">
      <c r="A313" s="111" t="s">
        <v>539</v>
      </c>
      <c r="B313" s="112">
        <v>44593</v>
      </c>
      <c r="C313" s="111" t="s">
        <v>21</v>
      </c>
      <c r="D313" s="113">
        <v>4.0199999999999996</v>
      </c>
      <c r="E313" s="113">
        <v>4.3099999999999996</v>
      </c>
      <c r="F313">
        <v>2022</v>
      </c>
    </row>
    <row r="314" spans="1:6" ht="15" customHeight="1" x14ac:dyDescent="0.3">
      <c r="A314" s="111" t="s">
        <v>541</v>
      </c>
      <c r="B314" s="112">
        <v>44622</v>
      </c>
      <c r="C314" s="111" t="s">
        <v>21</v>
      </c>
      <c r="D314" s="113">
        <v>4.01</v>
      </c>
      <c r="E314" s="113">
        <v>4.21</v>
      </c>
      <c r="F314">
        <v>2022</v>
      </c>
    </row>
    <row r="315" spans="1:6" ht="15" customHeight="1" x14ac:dyDescent="0.3">
      <c r="A315" s="111" t="s">
        <v>542</v>
      </c>
      <c r="B315" s="112">
        <v>44655</v>
      </c>
      <c r="C315" s="111" t="s">
        <v>21</v>
      </c>
      <c r="D315" s="113">
        <v>5.83</v>
      </c>
      <c r="E315" s="113">
        <v>6.01</v>
      </c>
      <c r="F315">
        <v>2022</v>
      </c>
    </row>
    <row r="316" spans="1:6" ht="15" customHeight="1" x14ac:dyDescent="0.3">
      <c r="A316" s="111" t="s">
        <v>543</v>
      </c>
      <c r="B316" s="112">
        <v>44685</v>
      </c>
      <c r="C316" s="111" t="s">
        <v>21</v>
      </c>
      <c r="D316" s="113">
        <v>9.2100000000000009</v>
      </c>
      <c r="E316" s="113">
        <v>8.8000000000000007</v>
      </c>
      <c r="F316">
        <v>2022</v>
      </c>
    </row>
    <row r="317" spans="1:6" ht="15" customHeight="1" x14ac:dyDescent="0.3">
      <c r="A317" s="111" t="s">
        <v>544</v>
      </c>
      <c r="B317" s="112">
        <v>44714</v>
      </c>
      <c r="C317" s="111" t="s">
        <v>21</v>
      </c>
      <c r="D317" s="113">
        <v>14.45</v>
      </c>
      <c r="E317" s="113">
        <v>13.18</v>
      </c>
      <c r="F317">
        <v>2022</v>
      </c>
    </row>
    <row r="318" spans="1:6" ht="15" customHeight="1" x14ac:dyDescent="0.3">
      <c r="A318" s="111" t="s">
        <v>546</v>
      </c>
      <c r="B318" s="112">
        <v>44748</v>
      </c>
      <c r="C318" s="111" t="s">
        <v>21</v>
      </c>
      <c r="D318" s="113">
        <v>18.98</v>
      </c>
      <c r="E318" s="113">
        <v>17</v>
      </c>
      <c r="F318">
        <v>2022</v>
      </c>
    </row>
    <row r="319" spans="1:6" ht="15" customHeight="1" x14ac:dyDescent="0.3">
      <c r="A319" s="111" t="s">
        <v>548</v>
      </c>
      <c r="B319" s="112">
        <v>44774</v>
      </c>
      <c r="C319" s="111" t="s">
        <v>21</v>
      </c>
      <c r="D319" s="113">
        <v>22.21</v>
      </c>
      <c r="E319" s="113">
        <v>19.670000000000002</v>
      </c>
      <c r="F319">
        <v>2022</v>
      </c>
    </row>
    <row r="320" spans="1:6" ht="15" customHeight="1" x14ac:dyDescent="0.3">
      <c r="A320" s="111" t="s">
        <v>550</v>
      </c>
      <c r="B320" s="112">
        <v>44804</v>
      </c>
      <c r="C320" s="111" t="s">
        <v>21</v>
      </c>
      <c r="D320" s="113">
        <v>22.68</v>
      </c>
      <c r="E320" s="113">
        <v>21.82</v>
      </c>
      <c r="F320">
        <v>2022</v>
      </c>
    </row>
    <row r="321" spans="1:6" ht="15" customHeight="1" x14ac:dyDescent="0.3">
      <c r="A321" s="111" t="s">
        <v>552</v>
      </c>
      <c r="B321" s="112">
        <v>44840</v>
      </c>
      <c r="C321" s="111" t="s">
        <v>21</v>
      </c>
      <c r="D321" s="113">
        <v>18.309999999999999</v>
      </c>
      <c r="E321" s="113">
        <v>18.23</v>
      </c>
      <c r="F321">
        <v>2022</v>
      </c>
    </row>
    <row r="322" spans="1:6" ht="15" customHeight="1" x14ac:dyDescent="0.3">
      <c r="A322" s="111" t="s">
        <v>553</v>
      </c>
      <c r="B322" s="112">
        <v>44872</v>
      </c>
      <c r="C322" s="111" t="s">
        <v>21</v>
      </c>
      <c r="D322" s="114"/>
      <c r="E322" s="114"/>
      <c r="F322">
        <v>2022</v>
      </c>
    </row>
    <row r="323" spans="1:6" ht="15" customHeight="1" x14ac:dyDescent="0.3">
      <c r="A323" s="111" t="s">
        <v>556</v>
      </c>
      <c r="B323" s="112">
        <v>44910</v>
      </c>
      <c r="C323" s="111" t="s">
        <v>21</v>
      </c>
      <c r="D323" s="113">
        <v>9.1199999999999992</v>
      </c>
      <c r="E323" s="113">
        <v>9.7799999999999994</v>
      </c>
      <c r="F323">
        <v>2022</v>
      </c>
    </row>
    <row r="324" spans="1:6" ht="15" customHeight="1" x14ac:dyDescent="0.3">
      <c r="A324" s="123" t="s">
        <v>557</v>
      </c>
      <c r="B324" s="124">
        <v>44929</v>
      </c>
      <c r="C324" s="123" t="s">
        <v>21</v>
      </c>
      <c r="D324" s="125">
        <v>6.45</v>
      </c>
      <c r="E324" s="125">
        <v>7.03</v>
      </c>
      <c r="F324">
        <v>2023</v>
      </c>
    </row>
    <row r="325" spans="1:6" ht="15" customHeight="1" x14ac:dyDescent="0.3">
      <c r="A325" s="123" t="s">
        <v>558</v>
      </c>
      <c r="B325" s="124">
        <v>44963</v>
      </c>
      <c r="C325" s="123" t="s">
        <v>21</v>
      </c>
      <c r="D325" s="125">
        <v>5.13</v>
      </c>
      <c r="E325" s="125">
        <v>5.47</v>
      </c>
      <c r="F325">
        <v>2023</v>
      </c>
    </row>
    <row r="326" spans="1:6" ht="15" customHeight="1" x14ac:dyDescent="0.3">
      <c r="A326" s="123" t="s">
        <v>559</v>
      </c>
      <c r="B326" s="124">
        <v>45033</v>
      </c>
      <c r="C326" s="123" t="s">
        <v>21</v>
      </c>
      <c r="D326" s="125">
        <v>8.01</v>
      </c>
      <c r="E326" s="125">
        <v>7.53</v>
      </c>
      <c r="F326">
        <v>2023</v>
      </c>
    </row>
    <row r="327" spans="1:6" ht="15" customHeight="1" x14ac:dyDescent="0.3">
      <c r="A327" s="123" t="s">
        <v>560</v>
      </c>
      <c r="B327" s="124">
        <v>45054</v>
      </c>
      <c r="C327" s="123" t="s">
        <v>21</v>
      </c>
      <c r="D327" s="125">
        <v>10.4</v>
      </c>
      <c r="E327" s="125">
        <v>10.02</v>
      </c>
      <c r="F327">
        <v>2023</v>
      </c>
    </row>
    <row r="328" spans="1:6" ht="15" customHeight="1" x14ac:dyDescent="0.3">
      <c r="A328" s="123" t="s">
        <v>561</v>
      </c>
      <c r="B328" s="124">
        <v>45077</v>
      </c>
      <c r="C328" s="123" t="s">
        <v>21</v>
      </c>
      <c r="D328" s="125">
        <v>14</v>
      </c>
      <c r="E328" s="125">
        <v>13.02</v>
      </c>
      <c r="F328">
        <v>2023</v>
      </c>
    </row>
    <row r="329" spans="1:6" ht="15" customHeight="1" x14ac:dyDescent="0.3">
      <c r="A329" s="123" t="s">
        <v>563</v>
      </c>
      <c r="B329" s="124">
        <v>45112</v>
      </c>
      <c r="C329" s="123" t="s">
        <v>21</v>
      </c>
      <c r="D329" s="126"/>
      <c r="E329" s="126"/>
      <c r="F329">
        <v>2023</v>
      </c>
    </row>
    <row r="330" spans="1:6" ht="15" customHeight="1" x14ac:dyDescent="0.3">
      <c r="A330" s="123" t="s">
        <v>565</v>
      </c>
      <c r="B330" s="124">
        <v>45138</v>
      </c>
      <c r="C330" s="123" t="s">
        <v>21</v>
      </c>
      <c r="D330" s="125">
        <v>22.51</v>
      </c>
      <c r="E330" s="125">
        <v>18.82</v>
      </c>
      <c r="F330">
        <v>2023</v>
      </c>
    </row>
    <row r="331" spans="1:6" ht="15" customHeight="1" x14ac:dyDescent="0.3">
      <c r="A331" s="123" t="s">
        <v>567</v>
      </c>
      <c r="B331" s="124">
        <v>45167</v>
      </c>
      <c r="C331" s="123" t="s">
        <v>21</v>
      </c>
      <c r="D331" s="125">
        <v>20.399999999999999</v>
      </c>
      <c r="E331" s="125">
        <v>19.73</v>
      </c>
      <c r="F331">
        <v>2023</v>
      </c>
    </row>
    <row r="332" spans="1:6" ht="15" customHeight="1" x14ac:dyDescent="0.3">
      <c r="A332" s="123" t="s">
        <v>568</v>
      </c>
      <c r="B332" s="124">
        <v>45204</v>
      </c>
      <c r="C332" s="123" t="s">
        <v>21</v>
      </c>
      <c r="D332" s="125">
        <v>18.95</v>
      </c>
      <c r="E332" s="125">
        <v>18.63</v>
      </c>
      <c r="F332">
        <v>2023</v>
      </c>
    </row>
    <row r="333" spans="1:6" ht="15" customHeight="1" x14ac:dyDescent="0.3">
      <c r="A333" s="123" t="s">
        <v>569</v>
      </c>
      <c r="B333" s="124">
        <v>45237</v>
      </c>
      <c r="C333" s="123" t="s">
        <v>21</v>
      </c>
      <c r="D333" s="125">
        <v>14.8</v>
      </c>
      <c r="E333" s="125">
        <v>15.02</v>
      </c>
      <c r="F333">
        <v>2023</v>
      </c>
    </row>
    <row r="334" spans="1:6" ht="15" customHeight="1" x14ac:dyDescent="0.3">
      <c r="A334" s="123" t="s">
        <v>570</v>
      </c>
      <c r="B334" s="124">
        <v>45264</v>
      </c>
      <c r="C334" s="123" t="s">
        <v>21</v>
      </c>
      <c r="D334" s="125">
        <v>10.58</v>
      </c>
      <c r="E334" s="125">
        <v>11.02</v>
      </c>
      <c r="F334">
        <v>2023</v>
      </c>
    </row>
    <row r="335" spans="1:6" ht="15" customHeight="1" x14ac:dyDescent="0.3">
      <c r="A335" s="111" t="s">
        <v>571</v>
      </c>
      <c r="B335" s="112">
        <v>45294</v>
      </c>
      <c r="C335" s="111" t="s">
        <v>21</v>
      </c>
      <c r="D335" s="113">
        <v>7.9</v>
      </c>
      <c r="E335" s="113">
        <v>8.7100000000000009</v>
      </c>
      <c r="F335">
        <v>2024</v>
      </c>
    </row>
    <row r="336" spans="1:6" ht="15" customHeight="1" x14ac:dyDescent="0.3">
      <c r="A336" s="111" t="s">
        <v>572</v>
      </c>
      <c r="B336" s="112">
        <v>45327</v>
      </c>
      <c r="C336" s="111" t="s">
        <v>21</v>
      </c>
      <c r="D336" s="113">
        <v>4.8899999999999997</v>
      </c>
      <c r="E336" s="113">
        <v>5.8</v>
      </c>
      <c r="F336">
        <v>2024</v>
      </c>
    </row>
    <row r="337" spans="1:6" ht="15" customHeight="1" x14ac:dyDescent="0.3">
      <c r="A337" s="111" t="s">
        <v>574</v>
      </c>
      <c r="B337" s="112">
        <v>45355</v>
      </c>
      <c r="C337" s="111" t="s">
        <v>21</v>
      </c>
      <c r="D337" s="113">
        <v>4.93</v>
      </c>
      <c r="E337" s="113">
        <v>4.9800000000000004</v>
      </c>
      <c r="F337">
        <v>2024</v>
      </c>
    </row>
    <row r="338" spans="1:6" ht="15" customHeight="1" x14ac:dyDescent="0.3">
      <c r="A338" s="111" t="s">
        <v>576</v>
      </c>
      <c r="B338" s="112">
        <v>45383</v>
      </c>
      <c r="C338" s="111" t="s">
        <v>21</v>
      </c>
      <c r="D338" s="113">
        <v>6.22</v>
      </c>
      <c r="E338" s="113">
        <v>5.87</v>
      </c>
      <c r="F338">
        <v>2024</v>
      </c>
    </row>
    <row r="339" spans="1:6" ht="15" customHeight="1" x14ac:dyDescent="0.3">
      <c r="A339" s="111" t="s">
        <v>577</v>
      </c>
      <c r="B339" s="112">
        <v>45414</v>
      </c>
      <c r="C339" s="111" t="s">
        <v>21</v>
      </c>
      <c r="D339" s="113">
        <v>9.42</v>
      </c>
      <c r="E339" s="113">
        <v>8.41</v>
      </c>
      <c r="F339">
        <v>2024</v>
      </c>
    </row>
    <row r="340" spans="1:6" ht="15" customHeight="1" x14ac:dyDescent="0.3">
      <c r="A340" s="111" t="s">
        <v>578</v>
      </c>
      <c r="B340" s="112">
        <v>45442</v>
      </c>
      <c r="C340" s="111" t="s">
        <v>21</v>
      </c>
      <c r="D340" s="113">
        <v>14.53</v>
      </c>
      <c r="E340" s="113">
        <v>12.72</v>
      </c>
      <c r="F340">
        <v>2024</v>
      </c>
    </row>
    <row r="341" spans="1:6" ht="15" customHeight="1" x14ac:dyDescent="0.3">
      <c r="A341" s="111" t="s">
        <v>580</v>
      </c>
      <c r="B341" s="112">
        <v>45470</v>
      </c>
      <c r="C341" s="111" t="s">
        <v>21</v>
      </c>
      <c r="D341" s="113">
        <v>17.05</v>
      </c>
      <c r="E341" s="113">
        <v>15.64</v>
      </c>
      <c r="F341">
        <v>2024</v>
      </c>
    </row>
    <row r="342" spans="1:6" ht="15" customHeight="1" x14ac:dyDescent="0.3">
      <c r="A342" s="111" t="s">
        <v>581</v>
      </c>
      <c r="B342" s="112">
        <v>45488</v>
      </c>
      <c r="C342" s="111" t="s">
        <v>21</v>
      </c>
      <c r="D342" s="113">
        <v>21.73</v>
      </c>
      <c r="E342" s="113">
        <v>17.399999999999999</v>
      </c>
      <c r="F342">
        <v>2024</v>
      </c>
    </row>
    <row r="343" spans="1:6" ht="15" customHeight="1" x14ac:dyDescent="0.3">
      <c r="A343" s="111" t="s">
        <v>582</v>
      </c>
      <c r="B343" s="112">
        <v>45502</v>
      </c>
      <c r="C343" s="111" t="s">
        <v>21</v>
      </c>
      <c r="D343" s="113">
        <v>19.7</v>
      </c>
      <c r="E343" s="113">
        <v>18.48</v>
      </c>
      <c r="F343">
        <v>2024</v>
      </c>
    </row>
    <row r="344" spans="1:6" ht="15" customHeight="1" x14ac:dyDescent="0.3">
      <c r="A344" s="111" t="s">
        <v>584</v>
      </c>
      <c r="B344" s="112">
        <v>45530</v>
      </c>
      <c r="C344" s="111" t="s">
        <v>21</v>
      </c>
      <c r="D344" s="113">
        <v>20.68</v>
      </c>
      <c r="E344" s="113">
        <v>20.02</v>
      </c>
      <c r="F344">
        <v>2024</v>
      </c>
    </row>
    <row r="345" spans="1:6" ht="15" customHeight="1" x14ac:dyDescent="0.3">
      <c r="A345" s="153" t="s">
        <v>585</v>
      </c>
      <c r="B345" s="34">
        <v>45567</v>
      </c>
      <c r="C345" s="153" t="s">
        <v>21</v>
      </c>
      <c r="D345" s="154">
        <v>18.989999999999998</v>
      </c>
      <c r="E345" s="154">
        <v>19.14</v>
      </c>
      <c r="F345">
        <v>2024</v>
      </c>
    </row>
    <row r="346" spans="1:6" ht="15" customHeight="1" x14ac:dyDescent="0.3">
      <c r="A346" t="s">
        <v>602</v>
      </c>
      <c r="B346" s="34">
        <v>45663</v>
      </c>
      <c r="C346" t="s">
        <v>21</v>
      </c>
      <c r="D346">
        <v>5.9080000000000004</v>
      </c>
      <c r="E346">
        <v>6.6</v>
      </c>
      <c r="F346">
        <v>2025</v>
      </c>
    </row>
    <row r="347" spans="1:6" ht="15" customHeight="1" x14ac:dyDescent="0.3">
      <c r="A347" t="s">
        <v>601</v>
      </c>
      <c r="B347" s="34">
        <v>45691</v>
      </c>
      <c r="C347" t="s">
        <v>21</v>
      </c>
      <c r="D347">
        <v>3.51</v>
      </c>
      <c r="E347">
        <v>3.64</v>
      </c>
      <c r="F347">
        <v>2025</v>
      </c>
    </row>
    <row r="348" spans="1:6" ht="15" customHeight="1" x14ac:dyDescent="0.3">
      <c r="A348" t="s">
        <v>593</v>
      </c>
      <c r="B348" s="34">
        <v>45720</v>
      </c>
      <c r="C348" t="s">
        <v>21</v>
      </c>
      <c r="D348">
        <v>2.62</v>
      </c>
      <c r="E348">
        <v>2.86</v>
      </c>
      <c r="F348">
        <v>2025</v>
      </c>
    </row>
    <row r="349" spans="1:6" ht="15" customHeight="1" x14ac:dyDescent="0.3">
      <c r="A349" t="s">
        <v>594</v>
      </c>
      <c r="B349" s="34">
        <v>45751</v>
      </c>
      <c r="C349" t="s">
        <v>21</v>
      </c>
      <c r="D349">
        <v>6.81</v>
      </c>
      <c r="E349">
        <v>5.95</v>
      </c>
      <c r="F349">
        <v>2025</v>
      </c>
    </row>
    <row r="350" spans="1:6" ht="15" customHeight="1" x14ac:dyDescent="0.3">
      <c r="A350" t="s">
        <v>595</v>
      </c>
      <c r="B350" s="34">
        <v>45782</v>
      </c>
      <c r="C350" t="s">
        <v>21</v>
      </c>
      <c r="D350">
        <v>9.92</v>
      </c>
      <c r="E350">
        <v>8.8699999999999992</v>
      </c>
      <c r="F350">
        <v>2025</v>
      </c>
    </row>
    <row r="351" spans="1:6" ht="15" customHeight="1" x14ac:dyDescent="0.3">
      <c r="A351" t="s">
        <v>596</v>
      </c>
      <c r="B351" s="34">
        <v>45810</v>
      </c>
      <c r="C351" t="s">
        <v>21</v>
      </c>
      <c r="D351">
        <v>13.07</v>
      </c>
      <c r="E351">
        <v>12.62</v>
      </c>
      <c r="F351">
        <v>2025</v>
      </c>
    </row>
    <row r="352" spans="1:6" ht="15" customHeight="1" x14ac:dyDescent="0.3">
      <c r="A352" t="s">
        <v>597</v>
      </c>
      <c r="B352" s="34">
        <v>45840</v>
      </c>
      <c r="C352" t="s">
        <v>21</v>
      </c>
      <c r="D352">
        <v>18.82</v>
      </c>
      <c r="E352">
        <v>17.22</v>
      </c>
      <c r="F352">
        <v>2025</v>
      </c>
    </row>
    <row r="353" spans="1:6" ht="15" customHeight="1" x14ac:dyDescent="0.3">
      <c r="A353" t="s">
        <v>599</v>
      </c>
      <c r="B353" s="34">
        <v>45867</v>
      </c>
      <c r="C353" t="s">
        <v>21</v>
      </c>
      <c r="D353">
        <v>21.21</v>
      </c>
      <c r="E353">
        <v>19.2</v>
      </c>
      <c r="F353">
        <v>2025</v>
      </c>
    </row>
    <row r="354" spans="1:6" ht="15" customHeight="1" x14ac:dyDescent="0.3">
      <c r="A354" t="s">
        <v>603</v>
      </c>
      <c r="B354" s="34">
        <v>45894</v>
      </c>
      <c r="C354" t="s">
        <v>21</v>
      </c>
      <c r="D354">
        <v>21.25</v>
      </c>
      <c r="E354">
        <v>21</v>
      </c>
      <c r="F354">
        <v>2025</v>
      </c>
    </row>
  </sheetData>
  <pageMargins left="0.7" right="0.7" top="0.75" bottom="0.75" header="0.3" footer="0.3"/>
  <pageSetup orientation="portrait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83"/>
  <sheetViews>
    <sheetView workbookViewId="0">
      <pane ySplit="1" topLeftCell="A359" activePane="bottomLeft" state="frozen"/>
      <selection pane="bottomLeft" activeCell="A383" sqref="A383"/>
    </sheetView>
  </sheetViews>
  <sheetFormatPr defaultRowHeight="14.4" x14ac:dyDescent="0.3"/>
  <cols>
    <col min="1" max="1" width="17.77734375" customWidth="1"/>
    <col min="2" max="2" width="7.5546875" customWidth="1"/>
    <col min="3" max="3" width="16.44140625" customWidth="1"/>
    <col min="4" max="5" width="7.5546875" customWidth="1"/>
    <col min="6" max="6" width="7.6640625" style="173" customWidth="1"/>
    <col min="7" max="7" width="16.44140625" style="173" customWidth="1"/>
    <col min="8" max="8" width="12.5546875" style="173" bestFit="1" customWidth="1"/>
    <col min="9" max="9" width="17" style="173" bestFit="1" customWidth="1"/>
    <col min="10" max="10" width="16.88671875" bestFit="1" customWidth="1"/>
    <col min="14" max="15" width="15.44140625" bestFit="1" customWidth="1"/>
  </cols>
  <sheetData>
    <row r="1" spans="1:15" x14ac:dyDescent="0.3">
      <c r="A1" s="189" t="s">
        <v>1</v>
      </c>
      <c r="B1" s="189" t="s">
        <v>2</v>
      </c>
      <c r="C1" s="189" t="s">
        <v>3</v>
      </c>
      <c r="D1" s="189" t="s">
        <v>591</v>
      </c>
      <c r="E1" s="189" t="s">
        <v>592</v>
      </c>
      <c r="F1" s="196" t="s">
        <v>480</v>
      </c>
      <c r="G1" s="196"/>
      <c r="H1" s="196"/>
      <c r="I1" s="196"/>
      <c r="J1" s="194"/>
      <c r="L1" t="s">
        <v>480</v>
      </c>
      <c r="M1" t="s">
        <v>499</v>
      </c>
      <c r="N1" t="s">
        <v>481</v>
      </c>
      <c r="O1" t="s">
        <v>482</v>
      </c>
    </row>
    <row r="2" spans="1:15" x14ac:dyDescent="0.3">
      <c r="A2" s="190" t="s">
        <v>492</v>
      </c>
      <c r="B2" s="190" t="s">
        <v>20</v>
      </c>
      <c r="C2" s="191">
        <v>33268</v>
      </c>
      <c r="D2" s="192"/>
      <c r="E2" s="193">
        <v>4.9641999999999999</v>
      </c>
      <c r="F2" s="197">
        <v>1991</v>
      </c>
      <c r="G2" s="197"/>
      <c r="H2" s="47" t="s">
        <v>515</v>
      </c>
      <c r="I2" t="s">
        <v>518</v>
      </c>
      <c r="J2" t="s">
        <v>519</v>
      </c>
      <c r="L2">
        <v>1991</v>
      </c>
      <c r="M2" t="s">
        <v>20</v>
      </c>
      <c r="N2">
        <v>12.670957142857144</v>
      </c>
      <c r="O2">
        <v>15.040716666666668</v>
      </c>
    </row>
    <row r="3" spans="1:15" x14ac:dyDescent="0.3">
      <c r="A3" s="190" t="s">
        <v>43</v>
      </c>
      <c r="B3" s="190" t="s">
        <v>20</v>
      </c>
      <c r="C3" s="191">
        <v>33289</v>
      </c>
      <c r="D3" s="193">
        <v>4.4903000000000004</v>
      </c>
      <c r="E3" s="193">
        <v>4.4390999999999998</v>
      </c>
      <c r="F3" s="197">
        <v>1991</v>
      </c>
      <c r="G3" s="197"/>
      <c r="H3" s="9">
        <v>1991</v>
      </c>
      <c r="I3">
        <v>12.670957142857144</v>
      </c>
      <c r="J3">
        <v>15.040716666666668</v>
      </c>
      <c r="L3">
        <v>1992</v>
      </c>
      <c r="M3" t="s">
        <v>20</v>
      </c>
      <c r="N3">
        <v>11.0692</v>
      </c>
      <c r="O3">
        <v>10.720050000000001</v>
      </c>
    </row>
    <row r="4" spans="1:15" x14ac:dyDescent="0.3">
      <c r="A4" s="190" t="s">
        <v>44</v>
      </c>
      <c r="B4" s="190" t="s">
        <v>20</v>
      </c>
      <c r="C4" s="191">
        <v>33322</v>
      </c>
      <c r="D4" s="192"/>
      <c r="E4" s="192"/>
      <c r="F4" s="197">
        <v>1991</v>
      </c>
      <c r="G4" s="197"/>
      <c r="H4" s="9">
        <v>1992</v>
      </c>
      <c r="I4">
        <v>11.0692</v>
      </c>
      <c r="J4">
        <v>10.720050000000001</v>
      </c>
      <c r="L4">
        <v>1993</v>
      </c>
      <c r="M4" t="s">
        <v>20</v>
      </c>
      <c r="N4">
        <v>11.589659999999999</v>
      </c>
      <c r="O4">
        <v>13.450116666666666</v>
      </c>
    </row>
    <row r="5" spans="1:15" x14ac:dyDescent="0.3">
      <c r="A5" s="190" t="s">
        <v>45</v>
      </c>
      <c r="B5" s="190" t="s">
        <v>20</v>
      </c>
      <c r="C5" s="191">
        <v>33330</v>
      </c>
      <c r="D5" s="192"/>
      <c r="E5" s="192"/>
      <c r="F5" s="197">
        <v>1991</v>
      </c>
      <c r="G5" s="197"/>
      <c r="H5" s="9">
        <v>1993</v>
      </c>
      <c r="I5">
        <v>11.589659999999999</v>
      </c>
      <c r="J5">
        <v>13.450116666666666</v>
      </c>
      <c r="L5">
        <v>1994</v>
      </c>
      <c r="M5" t="s">
        <v>20</v>
      </c>
      <c r="N5">
        <v>10.409090909090908</v>
      </c>
      <c r="O5">
        <v>10.711818181818181</v>
      </c>
    </row>
    <row r="6" spans="1:15" x14ac:dyDescent="0.3">
      <c r="A6" s="190" t="s">
        <v>46</v>
      </c>
      <c r="B6" s="190" t="s">
        <v>20</v>
      </c>
      <c r="C6" s="191">
        <v>33359</v>
      </c>
      <c r="D6" s="192"/>
      <c r="E6" s="192"/>
      <c r="F6" s="197">
        <v>1991</v>
      </c>
      <c r="G6" s="197"/>
      <c r="H6" s="9">
        <v>1994</v>
      </c>
      <c r="I6">
        <v>10.409090909090908</v>
      </c>
      <c r="J6">
        <v>10.711818181818181</v>
      </c>
      <c r="L6">
        <v>1995</v>
      </c>
      <c r="M6" t="s">
        <v>20</v>
      </c>
      <c r="N6">
        <v>10.9634</v>
      </c>
      <c r="O6">
        <v>10.657999999999999</v>
      </c>
    </row>
    <row r="7" spans="1:15" x14ac:dyDescent="0.3">
      <c r="A7" s="190" t="s">
        <v>47</v>
      </c>
      <c r="B7" s="190" t="s">
        <v>20</v>
      </c>
      <c r="C7" s="191">
        <v>33393</v>
      </c>
      <c r="D7" s="192"/>
      <c r="E7" s="193">
        <v>13.784700000000001</v>
      </c>
      <c r="F7" s="197">
        <v>1991</v>
      </c>
      <c r="G7" s="197"/>
      <c r="H7" s="9">
        <v>1995</v>
      </c>
      <c r="I7">
        <v>10.9634</v>
      </c>
      <c r="J7">
        <v>10.657999999999999</v>
      </c>
      <c r="L7">
        <v>1996</v>
      </c>
      <c r="M7" t="s">
        <v>20</v>
      </c>
      <c r="N7">
        <v>9.6990909090909092</v>
      </c>
      <c r="O7">
        <v>10.094545454545456</v>
      </c>
    </row>
    <row r="8" spans="1:15" x14ac:dyDescent="0.3">
      <c r="A8" s="190" t="s">
        <v>48</v>
      </c>
      <c r="B8" s="190" t="s">
        <v>20</v>
      </c>
      <c r="C8" s="191">
        <v>33427</v>
      </c>
      <c r="D8" s="193">
        <v>16.6252</v>
      </c>
      <c r="E8" s="193">
        <v>16.527200000000001</v>
      </c>
      <c r="F8" s="197">
        <v>1991</v>
      </c>
      <c r="G8" s="197"/>
      <c r="H8" s="9">
        <v>1996</v>
      </c>
      <c r="I8">
        <v>9.6990909090909092</v>
      </c>
      <c r="J8">
        <v>10.094545454545456</v>
      </c>
      <c r="L8">
        <v>1997</v>
      </c>
      <c r="M8" t="s">
        <v>20</v>
      </c>
      <c r="N8">
        <v>10.964166666666666</v>
      </c>
      <c r="O8">
        <v>11.313333333333333</v>
      </c>
    </row>
    <row r="9" spans="1:15" x14ac:dyDescent="0.3">
      <c r="A9" s="190" t="s">
        <v>49</v>
      </c>
      <c r="B9" s="190" t="s">
        <v>20</v>
      </c>
      <c r="C9" s="191">
        <v>33463</v>
      </c>
      <c r="D9" s="193">
        <v>19.186699999999998</v>
      </c>
      <c r="E9" s="193">
        <v>18.610099999999999</v>
      </c>
      <c r="F9" s="197">
        <v>1991</v>
      </c>
      <c r="G9" s="197"/>
      <c r="H9" s="9">
        <v>1997</v>
      </c>
      <c r="I9">
        <v>10.964166666666666</v>
      </c>
      <c r="J9">
        <v>11.313333333333333</v>
      </c>
      <c r="L9">
        <v>1998</v>
      </c>
      <c r="M9" t="s">
        <v>20</v>
      </c>
      <c r="N9">
        <v>11.076666666666668</v>
      </c>
      <c r="O9">
        <v>11.749166666666666</v>
      </c>
    </row>
    <row r="10" spans="1:15" x14ac:dyDescent="0.3">
      <c r="A10" s="190" t="s">
        <v>50</v>
      </c>
      <c r="B10" s="190" t="s">
        <v>20</v>
      </c>
      <c r="C10" s="191">
        <v>33485</v>
      </c>
      <c r="D10" s="193">
        <v>20.052199999999999</v>
      </c>
      <c r="E10" s="192"/>
      <c r="F10" s="197">
        <v>1991</v>
      </c>
      <c r="G10" s="197"/>
      <c r="H10" s="9">
        <v>1998</v>
      </c>
      <c r="I10">
        <v>11.076666666666668</v>
      </c>
      <c r="J10">
        <v>11.749166666666666</v>
      </c>
      <c r="L10">
        <v>1999</v>
      </c>
      <c r="M10" t="s">
        <v>20</v>
      </c>
      <c r="N10">
        <v>11.863333333333335</v>
      </c>
      <c r="O10">
        <v>12.0375</v>
      </c>
    </row>
    <row r="11" spans="1:15" x14ac:dyDescent="0.3">
      <c r="A11" s="190" t="s">
        <v>51</v>
      </c>
      <c r="B11" s="190" t="s">
        <v>20</v>
      </c>
      <c r="C11" s="191">
        <v>33512</v>
      </c>
      <c r="D11" s="193">
        <v>18.117000000000001</v>
      </c>
      <c r="E11" s="193">
        <v>18.058399999999999</v>
      </c>
      <c r="F11" s="197">
        <v>1991</v>
      </c>
      <c r="G11" s="197"/>
      <c r="H11" s="9">
        <v>1999</v>
      </c>
      <c r="I11">
        <v>11.863333333333335</v>
      </c>
      <c r="J11">
        <v>12.0375</v>
      </c>
      <c r="L11">
        <v>2000</v>
      </c>
      <c r="M11" t="s">
        <v>20</v>
      </c>
      <c r="N11">
        <v>11.192499999999997</v>
      </c>
      <c r="O11">
        <v>11.172499999999999</v>
      </c>
    </row>
    <row r="12" spans="1:15" x14ac:dyDescent="0.3">
      <c r="A12" s="190" t="s">
        <v>52</v>
      </c>
      <c r="B12" s="190" t="s">
        <v>20</v>
      </c>
      <c r="C12" s="191">
        <v>33557</v>
      </c>
      <c r="D12" s="193">
        <v>11.7729</v>
      </c>
      <c r="E12" s="193">
        <v>12.313000000000001</v>
      </c>
      <c r="F12" s="197">
        <v>1991</v>
      </c>
      <c r="G12" s="197"/>
      <c r="H12" s="9">
        <v>2000</v>
      </c>
      <c r="I12">
        <v>11.192499999999997</v>
      </c>
      <c r="J12">
        <v>11.172499999999999</v>
      </c>
      <c r="L12">
        <v>2001</v>
      </c>
      <c r="M12" t="s">
        <v>20</v>
      </c>
      <c r="N12">
        <v>12.141</v>
      </c>
      <c r="O12">
        <v>12.593</v>
      </c>
    </row>
    <row r="13" spans="1:15" x14ac:dyDescent="0.3">
      <c r="A13" s="190" t="s">
        <v>53</v>
      </c>
      <c r="B13" s="190" t="s">
        <v>20</v>
      </c>
      <c r="C13" s="191">
        <v>33610</v>
      </c>
      <c r="D13" s="193">
        <v>6.3646000000000003</v>
      </c>
      <c r="E13" s="193">
        <v>6.5407000000000002</v>
      </c>
      <c r="F13" s="197">
        <v>1992</v>
      </c>
      <c r="G13" s="197"/>
      <c r="H13" s="9">
        <v>2001</v>
      </c>
      <c r="I13">
        <v>12.141</v>
      </c>
      <c r="J13">
        <v>12.593</v>
      </c>
      <c r="L13">
        <v>2002</v>
      </c>
      <c r="M13" t="s">
        <v>20</v>
      </c>
      <c r="N13">
        <v>11.668333333333331</v>
      </c>
      <c r="O13">
        <v>11.97</v>
      </c>
    </row>
    <row r="14" spans="1:15" x14ac:dyDescent="0.3">
      <c r="A14" s="190" t="s">
        <v>54</v>
      </c>
      <c r="B14" s="190" t="s">
        <v>20</v>
      </c>
      <c r="C14" s="191">
        <v>33638</v>
      </c>
      <c r="D14" s="193">
        <v>3.2052</v>
      </c>
      <c r="E14" s="193">
        <v>3.5596000000000001</v>
      </c>
      <c r="F14" s="197">
        <v>1992</v>
      </c>
      <c r="G14" s="197"/>
      <c r="H14" s="9">
        <v>2002</v>
      </c>
      <c r="I14">
        <v>11.668333333333331</v>
      </c>
      <c r="J14">
        <v>11.97</v>
      </c>
      <c r="L14">
        <v>2003</v>
      </c>
      <c r="M14" t="s">
        <v>20</v>
      </c>
      <c r="N14">
        <v>10.15</v>
      </c>
      <c r="O14">
        <v>10.323333333333332</v>
      </c>
    </row>
    <row r="15" spans="1:15" x14ac:dyDescent="0.3">
      <c r="A15" s="190" t="s">
        <v>493</v>
      </c>
      <c r="B15" s="190" t="s">
        <v>20</v>
      </c>
      <c r="C15" s="191">
        <v>33653</v>
      </c>
      <c r="D15" s="193">
        <v>3.0766</v>
      </c>
      <c r="E15" s="193">
        <v>3.1122999999999998</v>
      </c>
      <c r="F15" s="197">
        <v>1992</v>
      </c>
      <c r="G15" s="197"/>
      <c r="H15" s="9">
        <v>2003</v>
      </c>
      <c r="I15">
        <v>10.15</v>
      </c>
      <c r="J15">
        <v>10.323333333333332</v>
      </c>
      <c r="L15">
        <v>2004</v>
      </c>
      <c r="M15" t="s">
        <v>20</v>
      </c>
      <c r="N15">
        <v>11.004</v>
      </c>
      <c r="O15">
        <v>11.310999999999998</v>
      </c>
    </row>
    <row r="16" spans="1:15" x14ac:dyDescent="0.3">
      <c r="A16" s="190" t="s">
        <v>55</v>
      </c>
      <c r="B16" s="190" t="s">
        <v>20</v>
      </c>
      <c r="C16" s="191">
        <v>33729</v>
      </c>
      <c r="D16" s="193">
        <v>7.3677000000000001</v>
      </c>
      <c r="E16" s="192"/>
      <c r="F16" s="197">
        <v>1992</v>
      </c>
      <c r="G16" s="197"/>
      <c r="H16" s="9">
        <v>2004</v>
      </c>
      <c r="I16">
        <v>11.004</v>
      </c>
      <c r="J16">
        <v>11.310999999999998</v>
      </c>
      <c r="L16">
        <v>2005</v>
      </c>
      <c r="M16" t="s">
        <v>20</v>
      </c>
      <c r="N16">
        <v>10.612499999999999</v>
      </c>
      <c r="O16">
        <v>10.8725</v>
      </c>
    </row>
    <row r="17" spans="1:16" x14ac:dyDescent="0.3">
      <c r="A17" s="190" t="s">
        <v>56</v>
      </c>
      <c r="B17" s="190" t="s">
        <v>20</v>
      </c>
      <c r="C17" s="191">
        <v>33757</v>
      </c>
      <c r="D17" s="193">
        <v>11.4038</v>
      </c>
      <c r="E17" s="193">
        <v>11.384499999999999</v>
      </c>
      <c r="F17" s="197">
        <v>1992</v>
      </c>
      <c r="G17" s="197"/>
      <c r="H17" s="9">
        <v>2005</v>
      </c>
      <c r="I17">
        <v>10.612499999999999</v>
      </c>
      <c r="J17">
        <v>10.8725</v>
      </c>
      <c r="L17">
        <v>2006</v>
      </c>
      <c r="M17" t="s">
        <v>20</v>
      </c>
      <c r="N17">
        <v>14.0175</v>
      </c>
      <c r="O17">
        <v>15.229999999999999</v>
      </c>
    </row>
    <row r="18" spans="1:16" x14ac:dyDescent="0.3">
      <c r="A18" s="190" t="s">
        <v>57</v>
      </c>
      <c r="B18" s="190" t="s">
        <v>20</v>
      </c>
      <c r="C18" s="191">
        <v>33793</v>
      </c>
      <c r="D18" s="192"/>
      <c r="E18" s="192"/>
      <c r="F18" s="197">
        <v>1992</v>
      </c>
      <c r="G18" s="197"/>
      <c r="H18" s="9">
        <v>2006</v>
      </c>
      <c r="I18">
        <v>14.0175</v>
      </c>
      <c r="J18">
        <v>15.229999999999999</v>
      </c>
      <c r="L18">
        <v>2007</v>
      </c>
      <c r="M18" t="s">
        <v>20</v>
      </c>
      <c r="N18">
        <v>11.626666666666667</v>
      </c>
      <c r="O18">
        <v>11.776666666666666</v>
      </c>
    </row>
    <row r="19" spans="1:16" x14ac:dyDescent="0.3">
      <c r="A19" s="190" t="s">
        <v>58</v>
      </c>
      <c r="B19" s="190" t="s">
        <v>20</v>
      </c>
      <c r="C19" s="191">
        <v>33821</v>
      </c>
      <c r="D19" s="193">
        <v>18.424299999999999</v>
      </c>
      <c r="E19" s="193">
        <v>18.156400000000001</v>
      </c>
      <c r="F19" s="197">
        <v>1992</v>
      </c>
      <c r="G19" s="197"/>
      <c r="H19" s="9">
        <v>2007</v>
      </c>
      <c r="I19">
        <v>11.626666666666667</v>
      </c>
      <c r="J19">
        <v>11.776666666666666</v>
      </c>
      <c r="L19">
        <v>2008</v>
      </c>
      <c r="M19" t="s">
        <v>20</v>
      </c>
      <c r="N19">
        <v>9.7729999999999997</v>
      </c>
      <c r="O19">
        <v>10.640909090909091</v>
      </c>
    </row>
    <row r="20" spans="1:16" x14ac:dyDescent="0.3">
      <c r="A20" s="190" t="s">
        <v>59</v>
      </c>
      <c r="B20" s="190" t="s">
        <v>20</v>
      </c>
      <c r="C20" s="191">
        <v>33848</v>
      </c>
      <c r="D20" s="193">
        <v>19.1296</v>
      </c>
      <c r="E20" s="193">
        <v>18.842700000000001</v>
      </c>
      <c r="F20" s="197">
        <v>1992</v>
      </c>
      <c r="G20" s="197"/>
      <c r="H20" s="9">
        <v>2008</v>
      </c>
      <c r="I20">
        <v>9.7729999999999997</v>
      </c>
      <c r="J20">
        <v>10.640909090909091</v>
      </c>
      <c r="L20">
        <v>2009</v>
      </c>
      <c r="M20" t="s">
        <v>20</v>
      </c>
      <c r="N20">
        <v>10.786666666666667</v>
      </c>
      <c r="O20">
        <v>11.669999999999998</v>
      </c>
    </row>
    <row r="21" spans="1:16" x14ac:dyDescent="0.3">
      <c r="A21" s="190" t="s">
        <v>60</v>
      </c>
      <c r="B21" s="190" t="s">
        <v>20</v>
      </c>
      <c r="C21" s="191">
        <v>33883</v>
      </c>
      <c r="D21" s="193">
        <v>16.190300000000001</v>
      </c>
      <c r="E21" s="193">
        <v>16.273499999999999</v>
      </c>
      <c r="F21" s="197">
        <v>1992</v>
      </c>
      <c r="G21" s="197"/>
      <c r="H21" s="9">
        <v>2009</v>
      </c>
      <c r="I21">
        <v>10.786666666666667</v>
      </c>
      <c r="J21">
        <v>11.669999999999998</v>
      </c>
      <c r="L21">
        <v>2010</v>
      </c>
      <c r="M21" t="s">
        <v>20</v>
      </c>
      <c r="N21" s="4"/>
      <c r="O21" s="4"/>
      <c r="P21" s="4" t="s">
        <v>538</v>
      </c>
    </row>
    <row r="22" spans="1:16" x14ac:dyDescent="0.3">
      <c r="A22" s="190" t="s">
        <v>61</v>
      </c>
      <c r="B22" s="190" t="s">
        <v>20</v>
      </c>
      <c r="C22" s="191">
        <v>33912</v>
      </c>
      <c r="D22" s="193">
        <v>13.2308</v>
      </c>
      <c r="E22" s="193">
        <v>12.75</v>
      </c>
      <c r="F22" s="197">
        <v>1992</v>
      </c>
      <c r="G22" s="197"/>
      <c r="H22" s="9">
        <v>2010</v>
      </c>
      <c r="I22">
        <v>5.1480000000000006</v>
      </c>
      <c r="J22">
        <v>5.4219999999999997</v>
      </c>
      <c r="L22">
        <v>2011</v>
      </c>
      <c r="M22" t="s">
        <v>20</v>
      </c>
      <c r="N22">
        <v>15.85125</v>
      </c>
      <c r="O22">
        <v>16.346250000000001</v>
      </c>
    </row>
    <row r="23" spans="1:16" x14ac:dyDescent="0.3">
      <c r="A23" s="190" t="s">
        <v>62</v>
      </c>
      <c r="B23" s="190" t="s">
        <v>20</v>
      </c>
      <c r="C23" s="191">
        <v>33946</v>
      </c>
      <c r="D23" s="193">
        <v>8.8076000000000008</v>
      </c>
      <c r="E23" s="193">
        <v>9.0030999999999999</v>
      </c>
      <c r="F23" s="197">
        <v>1992</v>
      </c>
      <c r="G23" s="197"/>
      <c r="H23" s="9">
        <v>2011</v>
      </c>
      <c r="I23">
        <v>15.85125</v>
      </c>
      <c r="J23">
        <v>16.346250000000001</v>
      </c>
      <c r="L23">
        <v>2012</v>
      </c>
      <c r="M23" t="s">
        <v>20</v>
      </c>
      <c r="N23">
        <v>12</v>
      </c>
      <c r="O23">
        <v>12.846666666666669</v>
      </c>
    </row>
    <row r="24" spans="1:16" x14ac:dyDescent="0.3">
      <c r="A24" s="190" t="s">
        <v>63</v>
      </c>
      <c r="B24" s="190" t="s">
        <v>20</v>
      </c>
      <c r="C24" s="191">
        <v>33983</v>
      </c>
      <c r="D24" s="193">
        <v>4.9561000000000002</v>
      </c>
      <c r="E24" s="193">
        <v>5.0237999999999996</v>
      </c>
      <c r="F24" s="197">
        <v>1993</v>
      </c>
      <c r="G24" s="197"/>
      <c r="H24" s="9">
        <v>2012</v>
      </c>
      <c r="I24">
        <v>12</v>
      </c>
      <c r="J24">
        <v>12.846666666666669</v>
      </c>
      <c r="L24">
        <v>2013</v>
      </c>
      <c r="M24" t="s">
        <v>20</v>
      </c>
      <c r="N24">
        <v>10.831818181818182</v>
      </c>
      <c r="O24">
        <v>11.749166666666666</v>
      </c>
    </row>
    <row r="25" spans="1:16" x14ac:dyDescent="0.3">
      <c r="A25" s="190" t="s">
        <v>64</v>
      </c>
      <c r="B25" s="190" t="s">
        <v>20</v>
      </c>
      <c r="C25" s="191">
        <v>34008</v>
      </c>
      <c r="D25" s="192"/>
      <c r="E25" s="193">
        <v>3.0819999999999999</v>
      </c>
      <c r="F25" s="197">
        <v>1993</v>
      </c>
      <c r="G25" s="197"/>
      <c r="H25" s="9">
        <v>2013</v>
      </c>
      <c r="I25">
        <v>10.831818181818182</v>
      </c>
      <c r="J25">
        <v>11.749166666666666</v>
      </c>
      <c r="L25">
        <v>2014</v>
      </c>
      <c r="M25" t="s">
        <v>20</v>
      </c>
      <c r="N25">
        <v>11</v>
      </c>
      <c r="O25">
        <v>11.153333333333334</v>
      </c>
    </row>
    <row r="26" spans="1:16" x14ac:dyDescent="0.3">
      <c r="A26" s="190" t="s">
        <v>65</v>
      </c>
      <c r="B26" s="190" t="s">
        <v>20</v>
      </c>
      <c r="C26" s="191">
        <v>34036</v>
      </c>
      <c r="D26" s="192"/>
      <c r="E26" s="193">
        <v>2.1276999999999999</v>
      </c>
      <c r="F26" s="197">
        <v>1993</v>
      </c>
      <c r="G26" s="197"/>
      <c r="H26" s="9">
        <v>2014</v>
      </c>
      <c r="I26">
        <v>11</v>
      </c>
      <c r="J26">
        <v>11.153333333333334</v>
      </c>
      <c r="L26">
        <v>2015</v>
      </c>
      <c r="M26" t="s">
        <v>20</v>
      </c>
      <c r="N26">
        <v>10.722500000000002</v>
      </c>
      <c r="O26">
        <v>11.085833333333332</v>
      </c>
    </row>
    <row r="27" spans="1:16" x14ac:dyDescent="0.3">
      <c r="A27" s="190" t="s">
        <v>66</v>
      </c>
      <c r="B27" s="190" t="s">
        <v>20</v>
      </c>
      <c r="C27" s="191">
        <v>34094</v>
      </c>
      <c r="D27" s="192"/>
      <c r="E27" s="193">
        <v>7.6661000000000001</v>
      </c>
      <c r="F27" s="197">
        <v>1993</v>
      </c>
      <c r="G27" s="197"/>
      <c r="H27" s="9">
        <v>2015</v>
      </c>
      <c r="I27">
        <v>10.722500000000002</v>
      </c>
      <c r="J27">
        <v>11.085833333333332</v>
      </c>
      <c r="L27">
        <v>2016</v>
      </c>
      <c r="M27" t="s">
        <v>20</v>
      </c>
      <c r="N27">
        <v>12.708333333333334</v>
      </c>
      <c r="O27">
        <v>12.905000000000001</v>
      </c>
    </row>
    <row r="28" spans="1:16" x14ac:dyDescent="0.3">
      <c r="A28" s="190" t="s">
        <v>67</v>
      </c>
      <c r="B28" s="190" t="s">
        <v>20</v>
      </c>
      <c r="C28" s="191">
        <v>34121</v>
      </c>
      <c r="D28" s="192"/>
      <c r="E28" s="193">
        <v>11.628399999999999</v>
      </c>
      <c r="F28" s="197">
        <v>1993</v>
      </c>
      <c r="G28" s="197"/>
      <c r="H28" s="9">
        <v>2016</v>
      </c>
      <c r="I28">
        <v>12.708333333333334</v>
      </c>
      <c r="J28">
        <v>12.905000000000001</v>
      </c>
      <c r="L28">
        <v>2017</v>
      </c>
      <c r="M28" t="s">
        <v>20</v>
      </c>
      <c r="N28">
        <v>13.462999999999999</v>
      </c>
      <c r="O28">
        <v>13.355555555555556</v>
      </c>
    </row>
    <row r="29" spans="1:16" x14ac:dyDescent="0.3">
      <c r="A29" s="190" t="s">
        <v>68</v>
      </c>
      <c r="B29" s="190" t="s">
        <v>20</v>
      </c>
      <c r="C29" s="191">
        <v>34157</v>
      </c>
      <c r="D29" s="193">
        <v>17.099900000000002</v>
      </c>
      <c r="E29" s="193">
        <v>16.684000000000001</v>
      </c>
      <c r="F29" s="197">
        <v>1993</v>
      </c>
      <c r="G29" s="197"/>
      <c r="H29" s="9">
        <v>2017</v>
      </c>
      <c r="I29">
        <v>13.462999999999999</v>
      </c>
      <c r="J29">
        <v>13.355555555555556</v>
      </c>
      <c r="L29">
        <v>2018</v>
      </c>
      <c r="M29" t="s">
        <v>20</v>
      </c>
      <c r="N29">
        <v>11.813636363636363</v>
      </c>
      <c r="O29">
        <v>12.24818181818182</v>
      </c>
    </row>
    <row r="30" spans="1:16" x14ac:dyDescent="0.3">
      <c r="A30" s="190" t="s">
        <v>69</v>
      </c>
      <c r="B30" s="190" t="s">
        <v>20</v>
      </c>
      <c r="C30" s="191">
        <v>34183</v>
      </c>
      <c r="D30" s="193">
        <v>19.139399999999998</v>
      </c>
      <c r="E30" s="193">
        <v>18.6572</v>
      </c>
      <c r="F30" s="197">
        <v>1993</v>
      </c>
      <c r="G30" s="197"/>
      <c r="H30" s="9">
        <v>2018</v>
      </c>
      <c r="I30">
        <v>11.813636363636363</v>
      </c>
      <c r="J30">
        <v>12.24818181818182</v>
      </c>
      <c r="L30">
        <v>2019</v>
      </c>
      <c r="M30" t="s">
        <v>20</v>
      </c>
      <c r="N30">
        <v>11.259166666666667</v>
      </c>
      <c r="O30">
        <v>11.734999999999999</v>
      </c>
    </row>
    <row r="31" spans="1:16" x14ac:dyDescent="0.3">
      <c r="A31" s="190" t="s">
        <v>70</v>
      </c>
      <c r="B31" s="190" t="s">
        <v>20</v>
      </c>
      <c r="C31" s="191">
        <v>34219</v>
      </c>
      <c r="D31" s="192"/>
      <c r="E31" s="193">
        <v>20.467300000000002</v>
      </c>
      <c r="F31" s="197">
        <v>1993</v>
      </c>
      <c r="G31" s="197"/>
      <c r="H31" s="9">
        <v>2019</v>
      </c>
      <c r="I31">
        <v>11.259166666666667</v>
      </c>
      <c r="J31">
        <v>11.734999999999999</v>
      </c>
      <c r="L31">
        <v>2020</v>
      </c>
      <c r="M31" t="s">
        <v>20</v>
      </c>
      <c r="N31">
        <v>13.734999999999999</v>
      </c>
      <c r="O31">
        <v>13.84125</v>
      </c>
    </row>
    <row r="32" spans="1:16" x14ac:dyDescent="0.3">
      <c r="A32" s="190" t="s">
        <v>71</v>
      </c>
      <c r="B32" s="190" t="s">
        <v>20</v>
      </c>
      <c r="C32" s="191">
        <v>34247</v>
      </c>
      <c r="D32" s="193">
        <v>17.211200000000002</v>
      </c>
      <c r="E32" s="193">
        <v>17.1463</v>
      </c>
      <c r="F32" s="197">
        <v>1993</v>
      </c>
      <c r="G32" s="197"/>
      <c r="H32" s="9">
        <v>2020</v>
      </c>
      <c r="I32">
        <v>13.734999999999999</v>
      </c>
      <c r="J32">
        <v>13.84125</v>
      </c>
      <c r="L32">
        <v>2021</v>
      </c>
      <c r="M32" t="s">
        <v>20</v>
      </c>
      <c r="N32">
        <v>13.728</v>
      </c>
      <c r="O32">
        <v>13.934000000000001</v>
      </c>
    </row>
    <row r="33" spans="1:15" x14ac:dyDescent="0.3">
      <c r="A33" s="190" t="s">
        <v>494</v>
      </c>
      <c r="B33" s="190" t="s">
        <v>20</v>
      </c>
      <c r="C33" s="191">
        <v>34275</v>
      </c>
      <c r="D33" s="193">
        <v>13.396800000000001</v>
      </c>
      <c r="E33" s="193">
        <v>13.4138</v>
      </c>
      <c r="F33" s="197">
        <v>1993</v>
      </c>
      <c r="G33" s="197"/>
      <c r="H33" s="9">
        <v>2021</v>
      </c>
      <c r="I33">
        <v>13.728</v>
      </c>
      <c r="J33">
        <v>13.934000000000001</v>
      </c>
      <c r="L33">
        <v>2022</v>
      </c>
      <c r="M33" t="s">
        <v>20</v>
      </c>
      <c r="N33">
        <v>11.036666666666667</v>
      </c>
      <c r="O33">
        <v>12.608000000000001</v>
      </c>
    </row>
    <row r="34" spans="1:15" x14ac:dyDescent="0.3">
      <c r="A34" s="190" t="s">
        <v>72</v>
      </c>
      <c r="B34" s="190" t="s">
        <v>20</v>
      </c>
      <c r="C34" s="191">
        <v>34318</v>
      </c>
      <c r="D34" s="193">
        <v>8.8972999999999995</v>
      </c>
      <c r="E34" s="192"/>
      <c r="F34" s="197">
        <v>1993</v>
      </c>
      <c r="G34" s="197"/>
      <c r="H34" s="9">
        <v>2022</v>
      </c>
      <c r="I34">
        <v>11.036666666666667</v>
      </c>
      <c r="J34">
        <v>12.608000000000001</v>
      </c>
      <c r="L34">
        <v>2023</v>
      </c>
      <c r="M34" t="s">
        <v>20</v>
      </c>
      <c r="N34">
        <v>13.052727272727271</v>
      </c>
      <c r="O34">
        <v>13.223636363636365</v>
      </c>
    </row>
    <row r="35" spans="1:15" x14ac:dyDescent="0.3">
      <c r="A35" s="190" t="s">
        <v>73</v>
      </c>
      <c r="B35" s="190" t="s">
        <v>20</v>
      </c>
      <c r="C35" s="191">
        <v>34345</v>
      </c>
      <c r="D35" s="193">
        <v>4</v>
      </c>
      <c r="E35" s="193">
        <v>3.8</v>
      </c>
      <c r="F35" s="197">
        <v>1994</v>
      </c>
      <c r="G35" s="197"/>
      <c r="H35" s="9">
        <v>2023</v>
      </c>
      <c r="I35">
        <v>13.052727272727271</v>
      </c>
      <c r="J35">
        <v>13.223636363636365</v>
      </c>
      <c r="L35">
        <v>2024</v>
      </c>
      <c r="M35" t="s">
        <v>20</v>
      </c>
      <c r="N35" s="131">
        <v>11.818</v>
      </c>
      <c r="O35" s="131">
        <v>12.262</v>
      </c>
    </row>
    <row r="36" spans="1:15" x14ac:dyDescent="0.3">
      <c r="A36" s="190" t="s">
        <v>74</v>
      </c>
      <c r="B36" s="190" t="s">
        <v>20</v>
      </c>
      <c r="C36" s="191">
        <v>34366</v>
      </c>
      <c r="D36" s="193">
        <v>1.69</v>
      </c>
      <c r="E36" s="193">
        <v>1.81</v>
      </c>
      <c r="F36" s="197">
        <v>1994</v>
      </c>
      <c r="G36" s="197"/>
      <c r="H36" s="9">
        <v>2024</v>
      </c>
      <c r="I36">
        <v>11.818</v>
      </c>
      <c r="J36">
        <v>12.262</v>
      </c>
    </row>
    <row r="37" spans="1:15" x14ac:dyDescent="0.3">
      <c r="A37" s="190" t="s">
        <v>75</v>
      </c>
      <c r="B37" s="190" t="s">
        <v>20</v>
      </c>
      <c r="C37" s="191">
        <v>34400</v>
      </c>
      <c r="D37" s="193">
        <v>0.89</v>
      </c>
      <c r="E37" s="193">
        <v>1.02</v>
      </c>
      <c r="F37" s="197">
        <v>1994</v>
      </c>
      <c r="G37" s="197"/>
      <c r="H37" s="9" t="s">
        <v>516</v>
      </c>
      <c r="I37"/>
    </row>
    <row r="38" spans="1:15" x14ac:dyDescent="0.3">
      <c r="A38" s="190" t="s">
        <v>76</v>
      </c>
      <c r="B38" s="190" t="s">
        <v>20</v>
      </c>
      <c r="C38" s="191">
        <v>34429</v>
      </c>
      <c r="D38" s="193">
        <v>3.48</v>
      </c>
      <c r="E38" s="193">
        <v>3.51</v>
      </c>
      <c r="F38" s="197">
        <v>1994</v>
      </c>
      <c r="G38" s="197"/>
      <c r="H38" s="9" t="s">
        <v>517</v>
      </c>
      <c r="I38">
        <v>11.534511396011398</v>
      </c>
      <c r="J38">
        <v>11.970955840455836</v>
      </c>
    </row>
    <row r="39" spans="1:15" x14ac:dyDescent="0.3">
      <c r="A39" s="190" t="s">
        <v>77</v>
      </c>
      <c r="B39" s="190" t="s">
        <v>20</v>
      </c>
      <c r="C39" s="191">
        <v>34457</v>
      </c>
      <c r="D39" s="193">
        <v>6.76</v>
      </c>
      <c r="E39" s="193">
        <v>6.61</v>
      </c>
      <c r="F39" s="197">
        <v>1994</v>
      </c>
      <c r="G39" s="197"/>
      <c r="H39" s="197"/>
      <c r="I39" s="197"/>
      <c r="J39" s="195"/>
    </row>
    <row r="40" spans="1:15" x14ac:dyDescent="0.3">
      <c r="A40" s="190" t="s">
        <v>78</v>
      </c>
      <c r="B40" s="190" t="s">
        <v>20</v>
      </c>
      <c r="C40" s="191">
        <v>34486</v>
      </c>
      <c r="D40" s="193">
        <v>11.6</v>
      </c>
      <c r="E40" s="193">
        <v>10.7</v>
      </c>
      <c r="F40" s="197">
        <v>1994</v>
      </c>
      <c r="G40" s="197"/>
      <c r="H40" s="197"/>
      <c r="I40" s="197"/>
      <c r="J40" s="195"/>
    </row>
    <row r="41" spans="1:15" x14ac:dyDescent="0.3">
      <c r="A41" s="190" t="s">
        <v>80</v>
      </c>
      <c r="B41" s="190" t="s">
        <v>20</v>
      </c>
      <c r="C41" s="191">
        <v>34526</v>
      </c>
      <c r="D41" s="193">
        <v>17.7</v>
      </c>
      <c r="E41" s="193">
        <v>17.14</v>
      </c>
      <c r="F41" s="197">
        <v>1994</v>
      </c>
      <c r="G41" s="197"/>
      <c r="H41" s="197"/>
      <c r="I41" s="197"/>
      <c r="J41" s="195"/>
    </row>
    <row r="42" spans="1:15" x14ac:dyDescent="0.3">
      <c r="A42" s="190" t="s">
        <v>82</v>
      </c>
      <c r="B42" s="190" t="s">
        <v>20</v>
      </c>
      <c r="C42" s="191">
        <v>34547</v>
      </c>
      <c r="D42" s="193">
        <v>20.239999999999998</v>
      </c>
      <c r="E42" s="193">
        <v>18.66</v>
      </c>
      <c r="F42" s="197">
        <v>1994</v>
      </c>
      <c r="G42" s="197"/>
      <c r="H42" s="197"/>
      <c r="I42" s="197"/>
      <c r="J42" s="195"/>
    </row>
    <row r="43" spans="1:15" x14ac:dyDescent="0.3">
      <c r="A43" s="190" t="s">
        <v>84</v>
      </c>
      <c r="B43" s="190" t="s">
        <v>20</v>
      </c>
      <c r="C43" s="191">
        <v>34575</v>
      </c>
      <c r="D43" s="193">
        <v>19.899999999999999</v>
      </c>
      <c r="E43" s="193">
        <v>19.84</v>
      </c>
      <c r="F43" s="197">
        <v>1994</v>
      </c>
      <c r="G43" s="197"/>
      <c r="H43" s="197"/>
      <c r="I43" s="197"/>
      <c r="J43" s="195"/>
    </row>
    <row r="44" spans="1:15" x14ac:dyDescent="0.3">
      <c r="A44" s="190" t="s">
        <v>86</v>
      </c>
      <c r="B44" s="190" t="s">
        <v>20</v>
      </c>
      <c r="C44" s="191">
        <v>34611</v>
      </c>
      <c r="D44" s="193">
        <v>17.100000000000001</v>
      </c>
      <c r="E44" s="193">
        <v>16.98</v>
      </c>
      <c r="F44" s="197">
        <v>1994</v>
      </c>
      <c r="G44" s="197"/>
      <c r="H44" s="197"/>
      <c r="I44" s="197"/>
      <c r="J44" s="195"/>
    </row>
    <row r="45" spans="1:15" x14ac:dyDescent="0.3">
      <c r="A45" s="190" t="s">
        <v>87</v>
      </c>
      <c r="B45" s="190" t="s">
        <v>20</v>
      </c>
      <c r="C45" s="191">
        <v>34647</v>
      </c>
      <c r="D45" s="193">
        <v>14.47</v>
      </c>
      <c r="E45" s="193">
        <v>14.43</v>
      </c>
      <c r="F45" s="197">
        <v>1994</v>
      </c>
      <c r="G45" s="197"/>
      <c r="H45" s="197"/>
      <c r="I45" s="197"/>
      <c r="J45" s="195"/>
    </row>
    <row r="46" spans="1:15" x14ac:dyDescent="0.3">
      <c r="A46" s="190" t="s">
        <v>89</v>
      </c>
      <c r="B46" s="190" t="s">
        <v>20</v>
      </c>
      <c r="C46" s="191">
        <v>34710</v>
      </c>
      <c r="D46" s="193">
        <v>6</v>
      </c>
      <c r="E46" s="193">
        <v>6.17</v>
      </c>
      <c r="F46" s="197">
        <v>1995</v>
      </c>
      <c r="G46" s="197"/>
      <c r="H46" s="197"/>
      <c r="I46" s="197"/>
      <c r="J46" s="195"/>
    </row>
    <row r="47" spans="1:15" x14ac:dyDescent="0.3">
      <c r="A47" s="190" t="s">
        <v>90</v>
      </c>
      <c r="B47" s="190" t="s">
        <v>20</v>
      </c>
      <c r="C47" s="191">
        <v>34746</v>
      </c>
      <c r="D47" s="193">
        <v>3.29</v>
      </c>
      <c r="E47" s="193">
        <v>3.43</v>
      </c>
      <c r="F47" s="197">
        <v>1995</v>
      </c>
      <c r="G47" s="197"/>
      <c r="H47" s="197"/>
      <c r="I47" s="197"/>
      <c r="J47" s="195"/>
    </row>
    <row r="48" spans="1:15" x14ac:dyDescent="0.3">
      <c r="A48" s="190" t="s">
        <v>91</v>
      </c>
      <c r="B48" s="190" t="s">
        <v>20</v>
      </c>
      <c r="C48" s="191">
        <v>34764</v>
      </c>
      <c r="D48" s="193">
        <v>3.49</v>
      </c>
      <c r="E48" s="193">
        <v>3.53</v>
      </c>
      <c r="F48" s="197">
        <v>1995</v>
      </c>
      <c r="G48" s="197"/>
      <c r="H48" s="197"/>
      <c r="I48" s="197"/>
      <c r="J48" s="195"/>
    </row>
    <row r="49" spans="1:10" x14ac:dyDescent="0.3">
      <c r="A49" s="190" t="s">
        <v>92</v>
      </c>
      <c r="B49" s="190" t="s">
        <v>20</v>
      </c>
      <c r="C49" s="191">
        <v>34792</v>
      </c>
      <c r="D49" s="193">
        <v>5.36</v>
      </c>
      <c r="E49" s="193">
        <v>5.36</v>
      </c>
      <c r="F49" s="197">
        <v>1995</v>
      </c>
      <c r="G49" s="197"/>
      <c r="H49" s="197"/>
      <c r="I49" s="197"/>
      <c r="J49" s="195"/>
    </row>
    <row r="50" spans="1:10" x14ac:dyDescent="0.3">
      <c r="A50" s="190" t="s">
        <v>93</v>
      </c>
      <c r="B50" s="190" t="s">
        <v>20</v>
      </c>
      <c r="C50" s="191">
        <v>34824</v>
      </c>
      <c r="D50" s="193">
        <v>8.11</v>
      </c>
      <c r="E50" s="193">
        <v>7.96</v>
      </c>
      <c r="F50" s="197">
        <v>1995</v>
      </c>
      <c r="G50" s="197"/>
      <c r="H50" s="197"/>
      <c r="I50" s="197"/>
      <c r="J50" s="195"/>
    </row>
    <row r="51" spans="1:10" x14ac:dyDescent="0.3">
      <c r="A51" s="190" t="s">
        <v>94</v>
      </c>
      <c r="B51" s="190" t="s">
        <v>20</v>
      </c>
      <c r="C51" s="191">
        <v>34852</v>
      </c>
      <c r="D51" s="193">
        <v>11.93</v>
      </c>
      <c r="E51" s="193">
        <v>11.7315</v>
      </c>
      <c r="F51" s="197">
        <v>1995</v>
      </c>
      <c r="G51" s="197"/>
      <c r="H51" s="197"/>
      <c r="I51" s="197"/>
      <c r="J51" s="195"/>
    </row>
    <row r="52" spans="1:10" x14ac:dyDescent="0.3">
      <c r="A52" s="190" t="s">
        <v>96</v>
      </c>
      <c r="B52" s="190" t="s">
        <v>20</v>
      </c>
      <c r="C52" s="191">
        <v>34891</v>
      </c>
      <c r="D52" s="192"/>
      <c r="E52" s="193">
        <v>16.385899999999999</v>
      </c>
      <c r="F52" s="197">
        <v>1995</v>
      </c>
      <c r="G52" s="197"/>
      <c r="H52" s="197"/>
      <c r="I52" s="197"/>
      <c r="J52" s="195"/>
    </row>
    <row r="53" spans="1:10" x14ac:dyDescent="0.3">
      <c r="A53" s="190" t="s">
        <v>98</v>
      </c>
      <c r="B53" s="190" t="s">
        <v>20</v>
      </c>
      <c r="C53" s="191">
        <v>34911</v>
      </c>
      <c r="D53" s="193">
        <v>19.75</v>
      </c>
      <c r="E53" s="193">
        <v>18.04</v>
      </c>
      <c r="F53" s="197">
        <v>1995</v>
      </c>
      <c r="G53" s="197"/>
      <c r="H53" s="197"/>
      <c r="I53" s="197"/>
      <c r="J53" s="195"/>
    </row>
    <row r="54" spans="1:10" x14ac:dyDescent="0.3">
      <c r="A54" s="190" t="s">
        <v>100</v>
      </c>
      <c r="B54" s="190" t="s">
        <v>20</v>
      </c>
      <c r="C54" s="191">
        <v>34954</v>
      </c>
      <c r="D54" s="193">
        <v>20.22</v>
      </c>
      <c r="E54" s="193">
        <v>19.55</v>
      </c>
      <c r="F54" s="197">
        <v>1995</v>
      </c>
      <c r="G54" s="197"/>
      <c r="H54" s="197"/>
      <c r="I54" s="197"/>
      <c r="J54" s="195"/>
    </row>
    <row r="55" spans="1:10" x14ac:dyDescent="0.3">
      <c r="A55" s="190" t="s">
        <v>101</v>
      </c>
      <c r="B55" s="190" t="s">
        <v>20</v>
      </c>
      <c r="C55" s="191">
        <v>34974</v>
      </c>
      <c r="D55" s="193">
        <v>18.52</v>
      </c>
      <c r="E55" s="193">
        <v>18.5</v>
      </c>
      <c r="F55" s="197">
        <v>1995</v>
      </c>
      <c r="G55" s="197"/>
      <c r="H55" s="197"/>
      <c r="I55" s="197"/>
      <c r="J55" s="195"/>
    </row>
    <row r="56" spans="1:10" x14ac:dyDescent="0.3">
      <c r="A56" s="190" t="s">
        <v>103</v>
      </c>
      <c r="B56" s="190" t="s">
        <v>20</v>
      </c>
      <c r="C56" s="191">
        <v>35037</v>
      </c>
      <c r="D56" s="193">
        <v>9.91</v>
      </c>
      <c r="E56" s="193">
        <v>9.94</v>
      </c>
      <c r="F56" s="197">
        <v>1995</v>
      </c>
      <c r="G56" s="197"/>
      <c r="H56" s="197"/>
      <c r="I56" s="197"/>
      <c r="J56" s="195"/>
    </row>
    <row r="57" spans="1:10" x14ac:dyDescent="0.3">
      <c r="A57" s="190" t="s">
        <v>495</v>
      </c>
      <c r="B57" s="190" t="s">
        <v>20</v>
      </c>
      <c r="C57" s="191">
        <v>35073</v>
      </c>
      <c r="D57" s="193">
        <v>3.09</v>
      </c>
      <c r="E57" s="193">
        <v>3.08</v>
      </c>
      <c r="F57" s="197">
        <v>1996</v>
      </c>
      <c r="G57" s="197"/>
      <c r="H57" s="197"/>
      <c r="I57" s="197"/>
      <c r="J57" s="195"/>
    </row>
    <row r="58" spans="1:10" x14ac:dyDescent="0.3">
      <c r="A58" s="190" t="s">
        <v>104</v>
      </c>
      <c r="B58" s="190" t="s">
        <v>20</v>
      </c>
      <c r="C58" s="191">
        <v>35101</v>
      </c>
      <c r="D58" s="193">
        <v>1.07</v>
      </c>
      <c r="E58" s="193">
        <v>1.42</v>
      </c>
      <c r="F58" s="197">
        <v>1996</v>
      </c>
      <c r="G58" s="197"/>
      <c r="H58" s="197"/>
      <c r="I58" s="197"/>
      <c r="J58" s="195"/>
    </row>
    <row r="59" spans="1:10" x14ac:dyDescent="0.3">
      <c r="A59" s="190" t="s">
        <v>105</v>
      </c>
      <c r="B59" s="190" t="s">
        <v>20</v>
      </c>
      <c r="C59" s="191">
        <v>35131</v>
      </c>
      <c r="D59" s="193">
        <v>1.82</v>
      </c>
      <c r="E59" s="193">
        <v>2.04</v>
      </c>
      <c r="F59" s="197">
        <v>1996</v>
      </c>
      <c r="G59" s="197"/>
      <c r="H59" s="197"/>
      <c r="I59" s="197"/>
      <c r="J59" s="195"/>
    </row>
    <row r="60" spans="1:10" x14ac:dyDescent="0.3">
      <c r="A60" s="190" t="s">
        <v>106</v>
      </c>
      <c r="B60" s="190" t="s">
        <v>20</v>
      </c>
      <c r="C60" s="191">
        <v>35156</v>
      </c>
      <c r="D60" s="193">
        <v>3.35</v>
      </c>
      <c r="E60" s="193">
        <v>3.26</v>
      </c>
      <c r="F60" s="197">
        <v>1996</v>
      </c>
      <c r="G60" s="197"/>
      <c r="H60" s="197"/>
      <c r="I60" s="197"/>
      <c r="J60" s="195"/>
    </row>
    <row r="61" spans="1:10" x14ac:dyDescent="0.3">
      <c r="A61" s="190" t="s">
        <v>107</v>
      </c>
      <c r="B61" s="190" t="s">
        <v>20</v>
      </c>
      <c r="C61" s="191">
        <v>35194</v>
      </c>
      <c r="D61" s="193">
        <v>7.52</v>
      </c>
      <c r="E61" s="193">
        <v>7.35</v>
      </c>
      <c r="F61" s="197">
        <v>1996</v>
      </c>
      <c r="G61" s="197"/>
      <c r="H61" s="197"/>
      <c r="I61" s="197"/>
      <c r="J61" s="195"/>
    </row>
    <row r="62" spans="1:10" x14ac:dyDescent="0.3">
      <c r="A62" s="190" t="s">
        <v>108</v>
      </c>
      <c r="B62" s="190" t="s">
        <v>20</v>
      </c>
      <c r="C62" s="191">
        <v>35222</v>
      </c>
      <c r="D62" s="193">
        <v>12.24</v>
      </c>
      <c r="E62" s="193">
        <v>11.58</v>
      </c>
      <c r="F62" s="197">
        <v>1996</v>
      </c>
      <c r="G62" s="197"/>
      <c r="H62" s="197"/>
      <c r="I62" s="197"/>
      <c r="J62" s="195"/>
    </row>
    <row r="63" spans="1:10" x14ac:dyDescent="0.3">
      <c r="A63" s="190" t="s">
        <v>110</v>
      </c>
      <c r="B63" s="190" t="s">
        <v>20</v>
      </c>
      <c r="C63" s="191">
        <v>35257</v>
      </c>
      <c r="D63" s="193">
        <v>17.27</v>
      </c>
      <c r="E63" s="193">
        <v>14.26</v>
      </c>
      <c r="F63" s="197">
        <v>1996</v>
      </c>
      <c r="G63" s="197"/>
      <c r="H63" s="197"/>
      <c r="I63" s="197"/>
      <c r="J63" s="195"/>
    </row>
    <row r="64" spans="1:10" x14ac:dyDescent="0.3">
      <c r="A64" s="190" t="s">
        <v>112</v>
      </c>
      <c r="B64" s="190" t="s">
        <v>20</v>
      </c>
      <c r="C64" s="191">
        <v>35282</v>
      </c>
      <c r="D64" s="193">
        <v>17.79</v>
      </c>
      <c r="E64" s="193">
        <v>17.53</v>
      </c>
      <c r="F64" s="197">
        <v>1996</v>
      </c>
      <c r="G64" s="197"/>
      <c r="H64" s="197"/>
      <c r="I64" s="197"/>
      <c r="J64" s="195"/>
    </row>
    <row r="65" spans="1:10" x14ac:dyDescent="0.3">
      <c r="A65" s="190" t="s">
        <v>114</v>
      </c>
      <c r="B65" s="190" t="s">
        <v>20</v>
      </c>
      <c r="C65" s="191">
        <v>35311</v>
      </c>
      <c r="D65" s="193">
        <v>19.149999999999999</v>
      </c>
      <c r="E65" s="193">
        <v>18.98</v>
      </c>
      <c r="F65" s="197">
        <v>1996</v>
      </c>
      <c r="G65" s="197"/>
      <c r="H65" s="197"/>
      <c r="I65" s="197"/>
      <c r="J65" s="195"/>
    </row>
    <row r="66" spans="1:10" x14ac:dyDescent="0.3">
      <c r="A66" s="190" t="s">
        <v>115</v>
      </c>
      <c r="B66" s="190" t="s">
        <v>20</v>
      </c>
      <c r="C66" s="191">
        <v>35339</v>
      </c>
      <c r="D66" s="193">
        <v>18.39</v>
      </c>
      <c r="E66" s="193">
        <v>17.84</v>
      </c>
      <c r="F66" s="197">
        <v>1996</v>
      </c>
      <c r="G66" s="197"/>
      <c r="H66" s="197"/>
      <c r="I66" s="197"/>
      <c r="J66" s="195"/>
    </row>
    <row r="67" spans="1:10" x14ac:dyDescent="0.3">
      <c r="A67" s="190" t="s">
        <v>116</v>
      </c>
      <c r="B67" s="190" t="s">
        <v>20</v>
      </c>
      <c r="C67" s="191">
        <v>35381</v>
      </c>
      <c r="D67" s="192"/>
      <c r="E67" s="192"/>
      <c r="F67" s="197">
        <v>1996</v>
      </c>
      <c r="G67" s="197"/>
      <c r="H67" s="197"/>
      <c r="I67" s="197"/>
      <c r="J67" s="195"/>
    </row>
    <row r="68" spans="1:10" x14ac:dyDescent="0.3">
      <c r="A68" s="190" t="s">
        <v>117</v>
      </c>
      <c r="B68" s="190" t="s">
        <v>20</v>
      </c>
      <c r="C68" s="191">
        <v>35401</v>
      </c>
      <c r="D68" s="193">
        <v>9.35</v>
      </c>
      <c r="E68" s="193">
        <v>9.35</v>
      </c>
      <c r="F68" s="197">
        <v>1996</v>
      </c>
      <c r="G68" s="197"/>
      <c r="H68" s="197"/>
      <c r="I68" s="197"/>
      <c r="J68" s="195"/>
    </row>
    <row r="69" spans="1:10" x14ac:dyDescent="0.3">
      <c r="A69" s="190" t="s">
        <v>496</v>
      </c>
      <c r="B69" s="190" t="s">
        <v>20</v>
      </c>
      <c r="C69" s="191">
        <v>35439</v>
      </c>
      <c r="D69" s="193">
        <v>6.33</v>
      </c>
      <c r="E69" s="193">
        <v>6.37</v>
      </c>
      <c r="F69" s="197">
        <v>1997</v>
      </c>
      <c r="G69" s="197"/>
      <c r="H69" s="197"/>
      <c r="I69" s="197"/>
      <c r="J69" s="195"/>
    </row>
    <row r="70" spans="1:10" x14ac:dyDescent="0.3">
      <c r="A70" s="190" t="s">
        <v>118</v>
      </c>
      <c r="B70" s="190" t="s">
        <v>20</v>
      </c>
      <c r="C70" s="191">
        <v>35468</v>
      </c>
      <c r="D70" s="193">
        <v>4.09</v>
      </c>
      <c r="E70" s="193">
        <v>4.3099999999999996</v>
      </c>
      <c r="F70" s="197">
        <v>1997</v>
      </c>
      <c r="G70" s="197"/>
      <c r="H70" s="197"/>
      <c r="I70" s="197"/>
      <c r="J70" s="195"/>
    </row>
    <row r="71" spans="1:10" x14ac:dyDescent="0.3">
      <c r="A71" s="190" t="s">
        <v>119</v>
      </c>
      <c r="B71" s="190" t="s">
        <v>20</v>
      </c>
      <c r="C71" s="191">
        <v>35494</v>
      </c>
      <c r="D71" s="193">
        <v>4.2</v>
      </c>
      <c r="E71" s="193">
        <v>4.37</v>
      </c>
      <c r="F71" s="197">
        <v>1997</v>
      </c>
      <c r="G71" s="197"/>
      <c r="H71" s="197"/>
      <c r="I71" s="197"/>
      <c r="J71" s="195"/>
    </row>
    <row r="72" spans="1:10" x14ac:dyDescent="0.3">
      <c r="A72" s="190" t="s">
        <v>120</v>
      </c>
      <c r="B72" s="190" t="s">
        <v>20</v>
      </c>
      <c r="C72" s="191">
        <v>35524</v>
      </c>
      <c r="D72" s="193">
        <v>5.66</v>
      </c>
      <c r="E72" s="193">
        <v>5.32</v>
      </c>
      <c r="F72" s="197">
        <v>1997</v>
      </c>
      <c r="G72" s="197"/>
      <c r="H72" s="197"/>
      <c r="I72" s="197"/>
      <c r="J72" s="195"/>
    </row>
    <row r="73" spans="1:10" x14ac:dyDescent="0.3">
      <c r="A73" s="190" t="s">
        <v>121</v>
      </c>
      <c r="B73" s="190" t="s">
        <v>20</v>
      </c>
      <c r="C73" s="191">
        <v>35555</v>
      </c>
      <c r="D73" s="193">
        <v>8.09</v>
      </c>
      <c r="E73" s="193">
        <v>7.93</v>
      </c>
      <c r="F73" s="197">
        <v>1997</v>
      </c>
      <c r="G73" s="197"/>
      <c r="H73" s="197"/>
      <c r="I73" s="197"/>
      <c r="J73" s="195"/>
    </row>
    <row r="74" spans="1:10" x14ac:dyDescent="0.3">
      <c r="A74" s="190" t="s">
        <v>122</v>
      </c>
      <c r="B74" s="190" t="s">
        <v>20</v>
      </c>
      <c r="C74" s="191">
        <v>35583</v>
      </c>
      <c r="D74" s="193">
        <v>10.220000000000001</v>
      </c>
      <c r="E74" s="193">
        <v>10.42</v>
      </c>
      <c r="F74" s="197">
        <v>1997</v>
      </c>
      <c r="G74" s="197"/>
      <c r="H74" s="197"/>
      <c r="I74" s="197"/>
      <c r="J74" s="195"/>
    </row>
    <row r="75" spans="1:10" x14ac:dyDescent="0.3">
      <c r="A75" s="190" t="s">
        <v>491</v>
      </c>
      <c r="B75" s="190" t="s">
        <v>20</v>
      </c>
      <c r="C75" s="191">
        <v>35619</v>
      </c>
      <c r="D75" s="193">
        <v>17.88</v>
      </c>
      <c r="E75" s="193">
        <v>15.49</v>
      </c>
      <c r="F75" s="197">
        <v>1997</v>
      </c>
      <c r="G75" s="197"/>
      <c r="H75" s="197"/>
      <c r="I75" s="197"/>
      <c r="J75" s="195"/>
    </row>
    <row r="76" spans="1:10" x14ac:dyDescent="0.3">
      <c r="A76" s="190" t="s">
        <v>125</v>
      </c>
      <c r="B76" s="190" t="s">
        <v>20</v>
      </c>
      <c r="C76" s="191">
        <v>35649</v>
      </c>
      <c r="D76" s="193">
        <v>18.88</v>
      </c>
      <c r="E76" s="193">
        <v>17.66</v>
      </c>
      <c r="F76" s="197">
        <v>1997</v>
      </c>
      <c r="G76" s="197"/>
      <c r="H76" s="197"/>
      <c r="I76" s="197"/>
      <c r="J76" s="195"/>
    </row>
    <row r="77" spans="1:10" x14ac:dyDescent="0.3">
      <c r="A77" s="190" t="s">
        <v>127</v>
      </c>
      <c r="B77" s="190" t="s">
        <v>20</v>
      </c>
      <c r="C77" s="191">
        <v>35675</v>
      </c>
      <c r="D77" s="193">
        <v>19.89</v>
      </c>
      <c r="E77" s="193">
        <v>19.260000000000002</v>
      </c>
      <c r="F77" s="197">
        <v>1997</v>
      </c>
      <c r="G77" s="197"/>
      <c r="H77" s="197"/>
      <c r="I77" s="197"/>
      <c r="J77" s="195"/>
    </row>
    <row r="78" spans="1:10" x14ac:dyDescent="0.3">
      <c r="A78" s="190" t="s">
        <v>128</v>
      </c>
      <c r="B78" s="190" t="s">
        <v>20</v>
      </c>
      <c r="C78" s="191">
        <v>35709</v>
      </c>
      <c r="D78" s="193">
        <v>17.440000000000001</v>
      </c>
      <c r="E78" s="193">
        <v>17.27</v>
      </c>
      <c r="F78" s="197">
        <v>1997</v>
      </c>
      <c r="G78" s="197"/>
      <c r="H78" s="197"/>
      <c r="I78" s="197"/>
      <c r="J78" s="195"/>
    </row>
    <row r="79" spans="1:10" x14ac:dyDescent="0.3">
      <c r="A79" s="190" t="s">
        <v>129</v>
      </c>
      <c r="B79" s="190" t="s">
        <v>20</v>
      </c>
      <c r="C79" s="191">
        <v>35740</v>
      </c>
      <c r="D79" s="193">
        <v>14.28</v>
      </c>
      <c r="E79" s="193">
        <v>14.22</v>
      </c>
      <c r="F79" s="197">
        <v>1997</v>
      </c>
      <c r="G79" s="197"/>
      <c r="H79" s="197"/>
      <c r="I79" s="197"/>
      <c r="J79" s="195"/>
    </row>
    <row r="80" spans="1:10" x14ac:dyDescent="0.3">
      <c r="A80" s="190" t="s">
        <v>130</v>
      </c>
      <c r="B80" s="190" t="s">
        <v>20</v>
      </c>
      <c r="C80" s="191">
        <v>35768</v>
      </c>
      <c r="D80" s="193">
        <v>8.8000000000000007</v>
      </c>
      <c r="E80" s="193">
        <v>8.9499999999999993</v>
      </c>
      <c r="F80" s="197">
        <v>1997</v>
      </c>
      <c r="G80" s="197"/>
      <c r="H80" s="197"/>
      <c r="I80" s="197"/>
      <c r="J80" s="195"/>
    </row>
    <row r="81" spans="1:10" x14ac:dyDescent="0.3">
      <c r="A81" s="190" t="s">
        <v>131</v>
      </c>
      <c r="B81" s="190" t="s">
        <v>20</v>
      </c>
      <c r="C81" s="191">
        <v>35800</v>
      </c>
      <c r="D81" s="193">
        <v>5.67</v>
      </c>
      <c r="E81" s="193">
        <v>5.78</v>
      </c>
      <c r="F81" s="197">
        <v>1998</v>
      </c>
      <c r="G81" s="197"/>
      <c r="H81" s="197"/>
      <c r="I81" s="197"/>
      <c r="J81" s="195"/>
    </row>
    <row r="82" spans="1:10" x14ac:dyDescent="0.3">
      <c r="A82" s="190" t="s">
        <v>132</v>
      </c>
      <c r="B82" s="190" t="s">
        <v>20</v>
      </c>
      <c r="C82" s="191">
        <v>35829</v>
      </c>
      <c r="D82" s="193">
        <v>4.43</v>
      </c>
      <c r="E82" s="193">
        <v>4.58</v>
      </c>
      <c r="F82" s="197">
        <v>1998</v>
      </c>
      <c r="G82" s="197"/>
      <c r="H82" s="197"/>
      <c r="I82" s="197"/>
      <c r="J82" s="195"/>
    </row>
    <row r="83" spans="1:10" x14ac:dyDescent="0.3">
      <c r="A83" s="190" t="s">
        <v>134</v>
      </c>
      <c r="B83" s="190" t="s">
        <v>20</v>
      </c>
      <c r="C83" s="191">
        <v>35853</v>
      </c>
      <c r="D83" s="193">
        <v>4.17</v>
      </c>
      <c r="E83" s="193">
        <v>4.16</v>
      </c>
      <c r="F83" s="197">
        <v>1998</v>
      </c>
      <c r="G83" s="197"/>
      <c r="H83" s="197"/>
      <c r="I83" s="197"/>
      <c r="J83" s="195"/>
    </row>
    <row r="84" spans="1:10" x14ac:dyDescent="0.3">
      <c r="A84" s="190" t="s">
        <v>136</v>
      </c>
      <c r="B84" s="190" t="s">
        <v>20</v>
      </c>
      <c r="C84" s="191">
        <v>35899</v>
      </c>
      <c r="D84" s="193">
        <v>6.52</v>
      </c>
      <c r="E84" s="193">
        <v>6.48</v>
      </c>
      <c r="F84" s="197">
        <v>1998</v>
      </c>
      <c r="G84" s="197"/>
      <c r="H84" s="197"/>
      <c r="I84" s="197"/>
      <c r="J84" s="195"/>
    </row>
    <row r="85" spans="1:10" x14ac:dyDescent="0.3">
      <c r="A85" s="190" t="s">
        <v>137</v>
      </c>
      <c r="B85" s="190" t="s">
        <v>20</v>
      </c>
      <c r="C85" s="191">
        <v>35922</v>
      </c>
      <c r="D85" s="193">
        <v>9.64</v>
      </c>
      <c r="E85" s="193">
        <v>9.65</v>
      </c>
      <c r="F85" s="197">
        <v>1998</v>
      </c>
      <c r="G85" s="197"/>
      <c r="H85" s="197"/>
      <c r="I85" s="197"/>
      <c r="J85" s="195"/>
    </row>
    <row r="86" spans="1:10" x14ac:dyDescent="0.3">
      <c r="A86" s="190" t="s">
        <v>138</v>
      </c>
      <c r="B86" s="190" t="s">
        <v>20</v>
      </c>
      <c r="C86" s="191">
        <v>35954</v>
      </c>
      <c r="D86" s="193">
        <v>13.2</v>
      </c>
      <c r="E86" s="193">
        <v>11.82</v>
      </c>
      <c r="F86" s="197">
        <v>1998</v>
      </c>
      <c r="G86" s="197"/>
      <c r="H86" s="197"/>
      <c r="I86" s="197"/>
      <c r="J86" s="195"/>
    </row>
    <row r="87" spans="1:10" x14ac:dyDescent="0.3">
      <c r="A87" s="190" t="s">
        <v>140</v>
      </c>
      <c r="B87" s="190" t="s">
        <v>20</v>
      </c>
      <c r="C87" s="191">
        <v>35982</v>
      </c>
      <c r="D87" s="193">
        <v>16.64</v>
      </c>
      <c r="E87" s="193">
        <v>13.82</v>
      </c>
      <c r="F87" s="197">
        <v>1998</v>
      </c>
      <c r="G87" s="197"/>
      <c r="H87" s="197"/>
      <c r="I87" s="197"/>
      <c r="J87" s="195"/>
    </row>
    <row r="88" spans="1:10" x14ac:dyDescent="0.3">
      <c r="A88" s="190" t="s">
        <v>142</v>
      </c>
      <c r="B88" s="190" t="s">
        <v>20</v>
      </c>
      <c r="C88" s="191">
        <v>36013</v>
      </c>
      <c r="D88" s="193">
        <v>18.41</v>
      </c>
      <c r="E88" s="193">
        <v>16.39</v>
      </c>
      <c r="F88" s="197">
        <v>1998</v>
      </c>
      <c r="G88" s="197"/>
      <c r="H88" s="197"/>
      <c r="I88" s="197"/>
      <c r="J88" s="195"/>
    </row>
    <row r="89" spans="1:10" x14ac:dyDescent="0.3">
      <c r="A89" s="190" t="s">
        <v>144</v>
      </c>
      <c r="B89" s="190" t="s">
        <v>20</v>
      </c>
      <c r="C89" s="191">
        <v>36038</v>
      </c>
      <c r="D89" s="193">
        <v>20.2</v>
      </c>
      <c r="E89" s="193">
        <v>19.47</v>
      </c>
      <c r="F89" s="197">
        <v>1998</v>
      </c>
      <c r="G89" s="197"/>
      <c r="H89" s="197"/>
      <c r="I89" s="197"/>
      <c r="J89" s="195"/>
    </row>
    <row r="90" spans="1:10" x14ac:dyDescent="0.3">
      <c r="A90" s="190" t="s">
        <v>146</v>
      </c>
      <c r="B90" s="190" t="s">
        <v>20</v>
      </c>
      <c r="C90" s="191">
        <v>36069</v>
      </c>
      <c r="D90" s="193">
        <v>19.03</v>
      </c>
      <c r="E90" s="193">
        <v>17.72</v>
      </c>
      <c r="F90" s="197">
        <v>1998</v>
      </c>
      <c r="G90" s="197"/>
      <c r="H90" s="197"/>
      <c r="I90" s="197"/>
      <c r="J90" s="195"/>
    </row>
    <row r="91" spans="1:10" x14ac:dyDescent="0.3">
      <c r="A91" s="190" t="s">
        <v>147</v>
      </c>
      <c r="B91" s="190" t="s">
        <v>20</v>
      </c>
      <c r="C91" s="191">
        <v>36103</v>
      </c>
      <c r="D91" s="193">
        <v>12.95</v>
      </c>
      <c r="E91" s="193">
        <v>12.93</v>
      </c>
      <c r="F91" s="197">
        <v>1998</v>
      </c>
      <c r="G91" s="197"/>
      <c r="H91" s="197"/>
      <c r="I91" s="197"/>
      <c r="J91" s="195"/>
    </row>
    <row r="92" spans="1:10" x14ac:dyDescent="0.3">
      <c r="A92" s="190" t="s">
        <v>148</v>
      </c>
      <c r="B92" s="190" t="s">
        <v>20</v>
      </c>
      <c r="C92" s="191">
        <v>36129</v>
      </c>
      <c r="D92" s="193">
        <v>10.130000000000001</v>
      </c>
      <c r="E92" s="193">
        <v>10.119999999999999</v>
      </c>
      <c r="F92" s="197">
        <v>1998</v>
      </c>
      <c r="G92" s="197"/>
      <c r="H92" s="197"/>
      <c r="I92" s="197"/>
      <c r="J92" s="195"/>
    </row>
    <row r="93" spans="1:10" x14ac:dyDescent="0.3">
      <c r="A93" s="190" t="s">
        <v>149</v>
      </c>
      <c r="B93" s="190" t="s">
        <v>20</v>
      </c>
      <c r="C93" s="191">
        <v>36165</v>
      </c>
      <c r="D93" s="193">
        <v>6.01</v>
      </c>
      <c r="E93" s="193">
        <v>6.03</v>
      </c>
      <c r="F93" s="197">
        <v>1999</v>
      </c>
      <c r="G93" s="197"/>
      <c r="H93" s="197"/>
      <c r="I93" s="197"/>
      <c r="J93" s="195"/>
    </row>
    <row r="94" spans="1:10" x14ac:dyDescent="0.3">
      <c r="A94" s="190" t="s">
        <v>150</v>
      </c>
      <c r="B94" s="190" t="s">
        <v>20</v>
      </c>
      <c r="C94" s="191">
        <v>36192</v>
      </c>
      <c r="D94" s="193">
        <v>4.2699999999999996</v>
      </c>
      <c r="E94" s="193">
        <v>4.3600000000000003</v>
      </c>
      <c r="F94" s="197">
        <v>1999</v>
      </c>
      <c r="G94" s="197"/>
      <c r="H94" s="197"/>
      <c r="I94" s="197"/>
      <c r="J94" s="195"/>
    </row>
    <row r="95" spans="1:10" x14ac:dyDescent="0.3">
      <c r="A95" s="190" t="s">
        <v>152</v>
      </c>
      <c r="B95" s="190" t="s">
        <v>20</v>
      </c>
      <c r="C95" s="191">
        <v>36222</v>
      </c>
      <c r="D95" s="193">
        <v>4.4000000000000004</v>
      </c>
      <c r="E95" s="193">
        <v>4.54</v>
      </c>
      <c r="F95" s="197">
        <v>1999</v>
      </c>
      <c r="G95" s="197"/>
      <c r="H95" s="197"/>
      <c r="I95" s="197"/>
      <c r="J95" s="195"/>
    </row>
    <row r="96" spans="1:10" x14ac:dyDescent="0.3">
      <c r="A96" s="190" t="s">
        <v>154</v>
      </c>
      <c r="B96" s="190" t="s">
        <v>20</v>
      </c>
      <c r="C96" s="191">
        <v>36255</v>
      </c>
      <c r="D96" s="193">
        <v>5.61</v>
      </c>
      <c r="E96" s="193">
        <v>5.84</v>
      </c>
      <c r="F96" s="197">
        <v>1999</v>
      </c>
      <c r="G96" s="197"/>
      <c r="H96" s="197"/>
      <c r="I96" s="197"/>
      <c r="J96" s="195"/>
    </row>
    <row r="97" spans="1:10" x14ac:dyDescent="0.3">
      <c r="A97" s="190" t="s">
        <v>155</v>
      </c>
      <c r="B97" s="190" t="s">
        <v>20</v>
      </c>
      <c r="C97" s="191">
        <v>36285</v>
      </c>
      <c r="D97" s="193">
        <v>8.7200000000000006</v>
      </c>
      <c r="E97" s="193">
        <v>8.7200000000000006</v>
      </c>
      <c r="F97" s="197">
        <v>1999</v>
      </c>
      <c r="G97" s="197"/>
      <c r="H97" s="197"/>
      <c r="I97" s="197"/>
      <c r="J97" s="195"/>
    </row>
    <row r="98" spans="1:10" x14ac:dyDescent="0.3">
      <c r="A98" s="190" t="s">
        <v>156</v>
      </c>
      <c r="B98" s="190" t="s">
        <v>20</v>
      </c>
      <c r="C98" s="191">
        <v>36313</v>
      </c>
      <c r="D98" s="193">
        <v>13.46</v>
      </c>
      <c r="E98" s="193">
        <v>13.13</v>
      </c>
      <c r="F98" s="197">
        <v>1999</v>
      </c>
      <c r="G98" s="197"/>
      <c r="H98" s="197"/>
      <c r="I98" s="197"/>
      <c r="J98" s="195"/>
    </row>
    <row r="99" spans="1:10" x14ac:dyDescent="0.3">
      <c r="A99" s="190" t="s">
        <v>158</v>
      </c>
      <c r="B99" s="190" t="s">
        <v>20</v>
      </c>
      <c r="C99" s="191">
        <v>36347</v>
      </c>
      <c r="D99" s="193">
        <v>17.329999999999998</v>
      </c>
      <c r="E99" s="193">
        <v>16.46</v>
      </c>
      <c r="F99" s="197">
        <v>1999</v>
      </c>
      <c r="G99" s="197"/>
      <c r="H99" s="197"/>
      <c r="I99" s="197"/>
      <c r="J99" s="195"/>
    </row>
    <row r="100" spans="1:10" x14ac:dyDescent="0.3">
      <c r="A100" s="190" t="s">
        <v>160</v>
      </c>
      <c r="B100" s="190" t="s">
        <v>20</v>
      </c>
      <c r="C100" s="191">
        <v>36374</v>
      </c>
      <c r="D100" s="193">
        <v>20.48</v>
      </c>
      <c r="E100" s="193">
        <v>19.38</v>
      </c>
      <c r="F100" s="197">
        <v>1999</v>
      </c>
      <c r="G100" s="197"/>
      <c r="H100" s="197"/>
      <c r="I100" s="197"/>
      <c r="J100" s="195"/>
    </row>
    <row r="101" spans="1:10" x14ac:dyDescent="0.3">
      <c r="A101" s="190" t="s">
        <v>162</v>
      </c>
      <c r="B101" s="190" t="s">
        <v>20</v>
      </c>
      <c r="C101" s="191">
        <v>36406</v>
      </c>
      <c r="D101" s="193">
        <v>20.41</v>
      </c>
      <c r="E101" s="193">
        <v>20.260000000000002</v>
      </c>
      <c r="F101" s="197">
        <v>1999</v>
      </c>
      <c r="G101" s="197"/>
      <c r="H101" s="197"/>
      <c r="I101" s="197"/>
      <c r="J101" s="195"/>
    </row>
    <row r="102" spans="1:10" x14ac:dyDescent="0.3">
      <c r="A102" s="190" t="s">
        <v>163</v>
      </c>
      <c r="B102" s="190" t="s">
        <v>20</v>
      </c>
      <c r="C102" s="191">
        <v>36438</v>
      </c>
      <c r="D102" s="193">
        <v>18.86</v>
      </c>
      <c r="E102" s="193">
        <v>18.809999999999999</v>
      </c>
      <c r="F102" s="197">
        <v>1999</v>
      </c>
      <c r="G102" s="197"/>
      <c r="H102" s="197"/>
      <c r="I102" s="197"/>
      <c r="J102" s="195"/>
    </row>
    <row r="103" spans="1:10" x14ac:dyDescent="0.3">
      <c r="A103" s="190" t="s">
        <v>164</v>
      </c>
      <c r="B103" s="190" t="s">
        <v>20</v>
      </c>
      <c r="C103" s="191">
        <v>36473</v>
      </c>
      <c r="D103" s="193">
        <v>14.04</v>
      </c>
      <c r="E103" s="193">
        <v>13.95</v>
      </c>
      <c r="F103" s="197">
        <v>1999</v>
      </c>
      <c r="G103" s="197"/>
      <c r="H103" s="197"/>
      <c r="I103" s="197"/>
      <c r="J103" s="195"/>
    </row>
    <row r="104" spans="1:10" x14ac:dyDescent="0.3">
      <c r="A104" s="190" t="s">
        <v>165</v>
      </c>
      <c r="B104" s="190" t="s">
        <v>20</v>
      </c>
      <c r="C104" s="191">
        <v>36500</v>
      </c>
      <c r="D104" s="193">
        <v>10.86</v>
      </c>
      <c r="E104" s="193">
        <v>10.88</v>
      </c>
      <c r="F104" s="197">
        <v>1999</v>
      </c>
      <c r="G104" s="197"/>
      <c r="H104" s="197"/>
      <c r="I104" s="197"/>
      <c r="J104" s="195"/>
    </row>
    <row r="105" spans="1:10" x14ac:dyDescent="0.3">
      <c r="A105" s="190" t="s">
        <v>166</v>
      </c>
      <c r="B105" s="190" t="s">
        <v>20</v>
      </c>
      <c r="C105" s="191">
        <v>36538</v>
      </c>
      <c r="D105" s="193">
        <v>6.76</v>
      </c>
      <c r="E105" s="193">
        <v>7</v>
      </c>
      <c r="F105" s="197">
        <v>2000</v>
      </c>
      <c r="G105" s="197"/>
      <c r="H105" s="197"/>
      <c r="I105" s="197"/>
      <c r="J105" s="195"/>
    </row>
    <row r="106" spans="1:10" x14ac:dyDescent="0.3">
      <c r="A106" s="190" t="s">
        <v>167</v>
      </c>
      <c r="B106" s="190" t="s">
        <v>20</v>
      </c>
      <c r="C106" s="191">
        <v>36559</v>
      </c>
      <c r="D106" s="193">
        <v>2.69</v>
      </c>
      <c r="E106" s="193">
        <v>2.7</v>
      </c>
      <c r="F106" s="197">
        <v>2000</v>
      </c>
      <c r="G106" s="197"/>
      <c r="H106" s="197"/>
      <c r="I106" s="197"/>
      <c r="J106" s="195"/>
    </row>
    <row r="107" spans="1:10" x14ac:dyDescent="0.3">
      <c r="A107" s="190" t="s">
        <v>169</v>
      </c>
      <c r="B107" s="190" t="s">
        <v>20</v>
      </c>
      <c r="C107" s="191">
        <v>36586</v>
      </c>
      <c r="D107" s="193">
        <v>3.3</v>
      </c>
      <c r="E107" s="193">
        <v>3.56</v>
      </c>
      <c r="F107" s="197">
        <v>2000</v>
      </c>
      <c r="G107" s="197"/>
      <c r="H107" s="197"/>
      <c r="I107" s="197"/>
      <c r="J107" s="195"/>
    </row>
    <row r="108" spans="1:10" x14ac:dyDescent="0.3">
      <c r="A108" s="190" t="s">
        <v>171</v>
      </c>
      <c r="B108" s="190" t="s">
        <v>20</v>
      </c>
      <c r="C108" s="191">
        <v>36619</v>
      </c>
      <c r="D108" s="193">
        <v>5.51</v>
      </c>
      <c r="E108" s="193">
        <v>5.53</v>
      </c>
      <c r="F108" s="197">
        <v>2000</v>
      </c>
      <c r="G108" s="197"/>
      <c r="H108" s="197"/>
      <c r="I108" s="197"/>
      <c r="J108" s="195"/>
    </row>
    <row r="109" spans="1:10" x14ac:dyDescent="0.3">
      <c r="A109" s="190" t="s">
        <v>172</v>
      </c>
      <c r="B109" s="190" t="s">
        <v>20</v>
      </c>
      <c r="C109" s="191">
        <v>36647</v>
      </c>
      <c r="D109" s="193">
        <v>7.76</v>
      </c>
      <c r="E109" s="193">
        <v>7.9</v>
      </c>
      <c r="F109" s="197">
        <v>2000</v>
      </c>
      <c r="G109" s="197"/>
      <c r="H109" s="197"/>
      <c r="I109" s="197"/>
      <c r="J109" s="195"/>
    </row>
    <row r="110" spans="1:10" x14ac:dyDescent="0.3">
      <c r="A110" s="190" t="s">
        <v>173</v>
      </c>
      <c r="B110" s="190" t="s">
        <v>20</v>
      </c>
      <c r="C110" s="191">
        <v>36678</v>
      </c>
      <c r="D110" s="193">
        <v>12.05</v>
      </c>
      <c r="E110" s="193">
        <v>12.41</v>
      </c>
      <c r="F110" s="197">
        <v>2000</v>
      </c>
      <c r="G110" s="197"/>
      <c r="H110" s="197"/>
      <c r="I110" s="197"/>
      <c r="J110" s="195"/>
    </row>
    <row r="111" spans="1:10" x14ac:dyDescent="0.3">
      <c r="A111" s="190" t="s">
        <v>175</v>
      </c>
      <c r="B111" s="190" t="s">
        <v>20</v>
      </c>
      <c r="C111" s="191">
        <v>36712</v>
      </c>
      <c r="D111" s="193">
        <v>17.309999999999999</v>
      </c>
      <c r="E111" s="193">
        <v>17.02</v>
      </c>
      <c r="F111" s="197">
        <v>2000</v>
      </c>
      <c r="G111" s="197"/>
      <c r="H111" s="197"/>
      <c r="I111" s="197"/>
      <c r="J111" s="195"/>
    </row>
    <row r="112" spans="1:10" x14ac:dyDescent="0.3">
      <c r="A112" s="190" t="s">
        <v>177</v>
      </c>
      <c r="B112" s="190" t="s">
        <v>20</v>
      </c>
      <c r="C112" s="191">
        <v>36738</v>
      </c>
      <c r="D112" s="193">
        <v>19.010000000000002</v>
      </c>
      <c r="E112" s="193">
        <v>18.940000000000001</v>
      </c>
      <c r="F112" s="197">
        <v>2000</v>
      </c>
      <c r="G112" s="197"/>
      <c r="H112" s="197"/>
      <c r="I112" s="197"/>
      <c r="J112" s="195"/>
    </row>
    <row r="113" spans="1:10" x14ac:dyDescent="0.3">
      <c r="A113" s="190" t="s">
        <v>179</v>
      </c>
      <c r="B113" s="190" t="s">
        <v>20</v>
      </c>
      <c r="C113" s="191">
        <v>36767</v>
      </c>
      <c r="D113" s="193">
        <v>19.57</v>
      </c>
      <c r="E113" s="193">
        <v>19.239999999999998</v>
      </c>
      <c r="F113" s="197">
        <v>2000</v>
      </c>
      <c r="G113" s="197"/>
      <c r="H113" s="197"/>
      <c r="I113" s="197"/>
      <c r="J113" s="195"/>
    </row>
    <row r="114" spans="1:10" x14ac:dyDescent="0.3">
      <c r="A114" s="190" t="s">
        <v>180</v>
      </c>
      <c r="B114" s="190" t="s">
        <v>20</v>
      </c>
      <c r="C114" s="191">
        <v>36804</v>
      </c>
      <c r="D114" s="193">
        <v>18.05</v>
      </c>
      <c r="E114" s="193">
        <v>17.96</v>
      </c>
      <c r="F114" s="197">
        <v>2000</v>
      </c>
      <c r="G114" s="197"/>
      <c r="H114" s="197"/>
      <c r="I114" s="197"/>
      <c r="J114" s="195"/>
    </row>
    <row r="115" spans="1:10" x14ac:dyDescent="0.3">
      <c r="A115" s="190" t="s">
        <v>181</v>
      </c>
      <c r="B115" s="190" t="s">
        <v>20</v>
      </c>
      <c r="C115" s="191">
        <v>36838</v>
      </c>
      <c r="D115" s="193">
        <v>13.35</v>
      </c>
      <c r="E115" s="193">
        <v>13.27</v>
      </c>
      <c r="F115" s="197">
        <v>2000</v>
      </c>
      <c r="G115" s="197"/>
      <c r="H115" s="197"/>
      <c r="I115" s="197"/>
      <c r="J115" s="195"/>
    </row>
    <row r="116" spans="1:10" x14ac:dyDescent="0.3">
      <c r="A116" s="190" t="s">
        <v>182</v>
      </c>
      <c r="B116" s="190" t="s">
        <v>20</v>
      </c>
      <c r="C116" s="191">
        <v>36866</v>
      </c>
      <c r="D116" s="193">
        <v>8.7100000000000009</v>
      </c>
      <c r="E116" s="193">
        <v>8.7799999999999994</v>
      </c>
      <c r="F116" s="197">
        <v>2000</v>
      </c>
      <c r="G116" s="197"/>
      <c r="H116" s="197"/>
      <c r="I116" s="197"/>
      <c r="J116" s="195"/>
    </row>
    <row r="117" spans="1:10" x14ac:dyDescent="0.3">
      <c r="A117" s="190" t="s">
        <v>183</v>
      </c>
      <c r="B117" s="190" t="s">
        <v>20</v>
      </c>
      <c r="C117" s="191">
        <v>36899</v>
      </c>
      <c r="D117" s="192"/>
      <c r="E117" s="192"/>
      <c r="F117" s="197">
        <v>2001</v>
      </c>
      <c r="G117" s="197"/>
      <c r="H117" s="197"/>
      <c r="I117" s="197"/>
      <c r="J117" s="195"/>
    </row>
    <row r="118" spans="1:10" x14ac:dyDescent="0.3">
      <c r="A118" s="190" t="s">
        <v>184</v>
      </c>
      <c r="B118" s="190" t="s">
        <v>20</v>
      </c>
      <c r="C118" s="191">
        <v>36923</v>
      </c>
      <c r="D118" s="193">
        <v>2.86</v>
      </c>
      <c r="E118" s="193">
        <v>3.21</v>
      </c>
      <c r="F118" s="197">
        <v>2001</v>
      </c>
      <c r="G118" s="197"/>
      <c r="H118" s="197"/>
      <c r="I118" s="197"/>
      <c r="J118" s="195"/>
    </row>
    <row r="119" spans="1:10" x14ac:dyDescent="0.3">
      <c r="A119" s="190" t="s">
        <v>186</v>
      </c>
      <c r="B119" s="190" t="s">
        <v>20</v>
      </c>
      <c r="C119" s="191">
        <v>36951</v>
      </c>
      <c r="D119" s="193">
        <v>2.6</v>
      </c>
      <c r="E119" s="193">
        <v>2.95</v>
      </c>
      <c r="F119" s="197">
        <v>2001</v>
      </c>
      <c r="G119" s="197"/>
      <c r="H119" s="197"/>
      <c r="I119" s="197"/>
      <c r="J119" s="195"/>
    </row>
    <row r="120" spans="1:10" x14ac:dyDescent="0.3">
      <c r="A120" s="190" t="s">
        <v>187</v>
      </c>
      <c r="B120" s="190" t="s">
        <v>20</v>
      </c>
      <c r="C120" s="191">
        <v>36984</v>
      </c>
      <c r="D120" s="193">
        <v>4.09</v>
      </c>
      <c r="E120" s="193">
        <v>4.05</v>
      </c>
      <c r="F120" s="197">
        <v>2001</v>
      </c>
      <c r="G120" s="197"/>
      <c r="H120" s="197"/>
      <c r="I120" s="197"/>
      <c r="J120" s="195"/>
    </row>
    <row r="121" spans="1:10" x14ac:dyDescent="0.3">
      <c r="A121" s="190" t="s">
        <v>188</v>
      </c>
      <c r="B121" s="190" t="s">
        <v>20</v>
      </c>
      <c r="C121" s="191">
        <v>37011</v>
      </c>
      <c r="D121" s="192"/>
      <c r="E121" s="192"/>
      <c r="F121" s="197">
        <v>2001</v>
      </c>
      <c r="G121" s="197"/>
      <c r="H121" s="197"/>
      <c r="I121" s="197"/>
      <c r="J121" s="195"/>
    </row>
    <row r="122" spans="1:10" x14ac:dyDescent="0.3">
      <c r="A122" s="190" t="s">
        <v>189</v>
      </c>
      <c r="B122" s="190" t="s">
        <v>20</v>
      </c>
      <c r="C122" s="191">
        <v>37046</v>
      </c>
      <c r="D122" s="193">
        <v>12.44</v>
      </c>
      <c r="E122" s="193">
        <v>12.34</v>
      </c>
      <c r="F122" s="197">
        <v>2001</v>
      </c>
      <c r="G122" s="197"/>
      <c r="H122" s="197"/>
      <c r="I122" s="197"/>
      <c r="J122" s="195"/>
    </row>
    <row r="123" spans="1:10" x14ac:dyDescent="0.3">
      <c r="A123" s="190" t="s">
        <v>191</v>
      </c>
      <c r="B123" s="190" t="s">
        <v>20</v>
      </c>
      <c r="C123" s="191">
        <v>37078</v>
      </c>
      <c r="D123" s="193">
        <v>16.95</v>
      </c>
      <c r="E123" s="193">
        <v>16.649999999999999</v>
      </c>
      <c r="F123" s="197">
        <v>2001</v>
      </c>
      <c r="G123" s="197"/>
      <c r="H123" s="197"/>
      <c r="I123" s="197"/>
      <c r="J123" s="195"/>
    </row>
    <row r="124" spans="1:10" x14ac:dyDescent="0.3">
      <c r="A124" s="190" t="s">
        <v>193</v>
      </c>
      <c r="B124" s="190" t="s">
        <v>20</v>
      </c>
      <c r="C124" s="191">
        <v>37112</v>
      </c>
      <c r="D124" s="193">
        <v>21.48</v>
      </c>
      <c r="E124" s="193">
        <v>17.63</v>
      </c>
      <c r="F124" s="197">
        <v>2001</v>
      </c>
      <c r="G124" s="197"/>
      <c r="H124" s="197"/>
      <c r="I124" s="197"/>
      <c r="J124" s="195"/>
    </row>
    <row r="125" spans="1:10" x14ac:dyDescent="0.3">
      <c r="A125" s="190" t="s">
        <v>196</v>
      </c>
      <c r="B125" s="190" t="s">
        <v>20</v>
      </c>
      <c r="C125" s="191">
        <v>37144</v>
      </c>
      <c r="D125" s="193">
        <v>20.81</v>
      </c>
      <c r="E125" s="193">
        <v>19.86</v>
      </c>
      <c r="F125" s="197">
        <v>2001</v>
      </c>
      <c r="G125" s="197"/>
      <c r="H125" s="197"/>
      <c r="I125" s="197"/>
      <c r="J125" s="195"/>
    </row>
    <row r="126" spans="1:10" x14ac:dyDescent="0.3">
      <c r="A126" s="190" t="s">
        <v>198</v>
      </c>
      <c r="B126" s="190" t="s">
        <v>20</v>
      </c>
      <c r="C126" s="191">
        <v>37166</v>
      </c>
      <c r="D126" s="193">
        <v>18.53</v>
      </c>
      <c r="E126" s="193">
        <v>18.45</v>
      </c>
      <c r="F126" s="197">
        <v>2001</v>
      </c>
      <c r="G126" s="197"/>
      <c r="H126" s="197"/>
      <c r="I126" s="197"/>
      <c r="J126" s="195"/>
    </row>
    <row r="127" spans="1:10" x14ac:dyDescent="0.3">
      <c r="A127" s="190" t="s">
        <v>199</v>
      </c>
      <c r="B127" s="190" t="s">
        <v>20</v>
      </c>
      <c r="C127" s="191">
        <v>37203</v>
      </c>
      <c r="D127" s="193">
        <v>14.13</v>
      </c>
      <c r="E127" s="193">
        <v>14.16</v>
      </c>
      <c r="F127" s="197">
        <v>2001</v>
      </c>
      <c r="G127" s="197"/>
      <c r="H127" s="197"/>
      <c r="I127" s="197"/>
      <c r="J127" s="195"/>
    </row>
    <row r="128" spans="1:10" x14ac:dyDescent="0.3">
      <c r="A128" s="190" t="s">
        <v>200</v>
      </c>
      <c r="B128" s="190" t="s">
        <v>20</v>
      </c>
      <c r="C128" s="191">
        <v>37228</v>
      </c>
      <c r="D128" s="193">
        <v>12.04</v>
      </c>
      <c r="E128" s="193">
        <v>12.11</v>
      </c>
      <c r="F128" s="197">
        <v>2001</v>
      </c>
      <c r="G128" s="197"/>
      <c r="H128" s="197"/>
      <c r="I128" s="197"/>
      <c r="J128" s="195"/>
    </row>
    <row r="129" spans="1:10" x14ac:dyDescent="0.3">
      <c r="A129" s="190" t="s">
        <v>201</v>
      </c>
      <c r="B129" s="190" t="s">
        <v>20</v>
      </c>
      <c r="C129" s="191">
        <v>37267</v>
      </c>
      <c r="D129" s="193">
        <v>6.62</v>
      </c>
      <c r="E129" s="193">
        <v>6.75</v>
      </c>
      <c r="F129" s="197">
        <v>2002</v>
      </c>
      <c r="G129" s="197"/>
      <c r="H129" s="197"/>
      <c r="I129" s="197"/>
      <c r="J129" s="195"/>
    </row>
    <row r="130" spans="1:10" x14ac:dyDescent="0.3">
      <c r="A130" s="190" t="s">
        <v>202</v>
      </c>
      <c r="B130" s="190" t="s">
        <v>20</v>
      </c>
      <c r="C130" s="191">
        <v>37291</v>
      </c>
      <c r="D130" s="193">
        <v>5.4</v>
      </c>
      <c r="E130" s="193">
        <v>5.53</v>
      </c>
      <c r="F130" s="197">
        <v>2002</v>
      </c>
      <c r="G130" s="197"/>
      <c r="H130" s="197"/>
      <c r="I130" s="197"/>
      <c r="J130" s="195"/>
    </row>
    <row r="131" spans="1:10" x14ac:dyDescent="0.3">
      <c r="A131" s="190" t="s">
        <v>204</v>
      </c>
      <c r="B131" s="190" t="s">
        <v>20</v>
      </c>
      <c r="C131" s="191">
        <v>37320</v>
      </c>
      <c r="D131" s="193">
        <v>5.25</v>
      </c>
      <c r="E131" s="193">
        <v>5.27</v>
      </c>
      <c r="F131" s="197">
        <v>2002</v>
      </c>
      <c r="G131" s="197"/>
      <c r="H131" s="197"/>
      <c r="I131" s="197"/>
      <c r="J131" s="195"/>
    </row>
    <row r="132" spans="1:10" x14ac:dyDescent="0.3">
      <c r="A132" s="190" t="s">
        <v>206</v>
      </c>
      <c r="B132" s="190" t="s">
        <v>20</v>
      </c>
      <c r="C132" s="191">
        <v>37348</v>
      </c>
      <c r="D132" s="193">
        <v>5.93</v>
      </c>
      <c r="E132" s="193">
        <v>5.98</v>
      </c>
      <c r="F132" s="197">
        <v>2002</v>
      </c>
      <c r="G132" s="197"/>
      <c r="H132" s="197"/>
      <c r="I132" s="197"/>
      <c r="J132" s="195"/>
    </row>
    <row r="133" spans="1:10" x14ac:dyDescent="0.3">
      <c r="A133" s="190" t="s">
        <v>207</v>
      </c>
      <c r="B133" s="190" t="s">
        <v>20</v>
      </c>
      <c r="C133" s="191">
        <v>37382</v>
      </c>
      <c r="D133" s="193">
        <v>9.8000000000000007</v>
      </c>
      <c r="E133" s="193">
        <v>9.1999999999999993</v>
      </c>
      <c r="F133" s="197">
        <v>2002</v>
      </c>
      <c r="G133" s="197"/>
      <c r="H133" s="197"/>
      <c r="I133" s="197"/>
      <c r="J133" s="195"/>
    </row>
    <row r="134" spans="1:10" x14ac:dyDescent="0.3">
      <c r="A134" s="190" t="s">
        <v>208</v>
      </c>
      <c r="B134" s="190" t="s">
        <v>20</v>
      </c>
      <c r="C134" s="191">
        <v>37411</v>
      </c>
      <c r="D134" s="193">
        <v>12.64</v>
      </c>
      <c r="E134" s="193">
        <v>12.25</v>
      </c>
      <c r="F134" s="197">
        <v>2002</v>
      </c>
      <c r="G134" s="197"/>
      <c r="H134" s="197"/>
      <c r="I134" s="197"/>
      <c r="J134" s="195"/>
    </row>
    <row r="135" spans="1:10" x14ac:dyDescent="0.3">
      <c r="A135" s="190" t="s">
        <v>210</v>
      </c>
      <c r="B135" s="190" t="s">
        <v>20</v>
      </c>
      <c r="C135" s="191">
        <v>37445</v>
      </c>
      <c r="D135" s="193">
        <v>16.62</v>
      </c>
      <c r="E135" s="193">
        <v>15.07</v>
      </c>
      <c r="F135" s="197">
        <v>2002</v>
      </c>
      <c r="G135" s="197"/>
      <c r="H135" s="197"/>
      <c r="I135" s="197"/>
      <c r="J135" s="195"/>
    </row>
    <row r="136" spans="1:10" x14ac:dyDescent="0.3">
      <c r="A136" s="190" t="s">
        <v>212</v>
      </c>
      <c r="B136" s="190" t="s">
        <v>20</v>
      </c>
      <c r="C136" s="191">
        <v>37473</v>
      </c>
      <c r="D136" s="193">
        <v>20.41</v>
      </c>
      <c r="E136" s="193">
        <v>19.079999999999998</v>
      </c>
      <c r="F136" s="197">
        <v>2002</v>
      </c>
      <c r="G136" s="197"/>
      <c r="H136" s="197"/>
      <c r="I136" s="197"/>
      <c r="J136" s="195"/>
    </row>
    <row r="137" spans="1:10" x14ac:dyDescent="0.3">
      <c r="A137" s="190" t="s">
        <v>214</v>
      </c>
      <c r="B137" s="190" t="s">
        <v>20</v>
      </c>
      <c r="C137" s="191">
        <v>37508</v>
      </c>
      <c r="D137" s="193">
        <v>20.53</v>
      </c>
      <c r="E137" s="193">
        <v>20.37</v>
      </c>
      <c r="F137" s="197">
        <v>2002</v>
      </c>
      <c r="G137" s="197"/>
      <c r="H137" s="197"/>
      <c r="I137" s="197"/>
      <c r="J137" s="195"/>
    </row>
    <row r="138" spans="1:10" x14ac:dyDescent="0.3">
      <c r="A138" s="190" t="s">
        <v>215</v>
      </c>
      <c r="B138" s="190" t="s">
        <v>20</v>
      </c>
      <c r="C138" s="191">
        <v>37537</v>
      </c>
      <c r="D138" s="193">
        <v>18.84</v>
      </c>
      <c r="E138" s="193">
        <v>18.88</v>
      </c>
      <c r="F138" s="197">
        <v>2002</v>
      </c>
      <c r="G138" s="197"/>
      <c r="H138" s="197"/>
      <c r="I138" s="197"/>
      <c r="J138" s="195"/>
    </row>
    <row r="139" spans="1:10" x14ac:dyDescent="0.3">
      <c r="A139" s="190" t="s">
        <v>216</v>
      </c>
      <c r="B139" s="190" t="s">
        <v>20</v>
      </c>
      <c r="C139" s="191">
        <v>37565</v>
      </c>
      <c r="D139" s="193">
        <v>13.73</v>
      </c>
      <c r="E139" s="193">
        <v>13.64</v>
      </c>
      <c r="F139" s="197">
        <v>2002</v>
      </c>
      <c r="G139" s="197"/>
      <c r="H139" s="197"/>
      <c r="I139" s="197"/>
      <c r="J139" s="195"/>
    </row>
    <row r="140" spans="1:10" x14ac:dyDescent="0.3">
      <c r="A140" s="190" t="s">
        <v>217</v>
      </c>
      <c r="B140" s="190" t="s">
        <v>20</v>
      </c>
      <c r="C140" s="191">
        <v>37599</v>
      </c>
      <c r="D140" s="193">
        <v>7.87</v>
      </c>
      <c r="E140" s="193">
        <v>8</v>
      </c>
      <c r="F140" s="197">
        <v>2002</v>
      </c>
      <c r="G140" s="197"/>
      <c r="H140" s="197"/>
      <c r="I140" s="197"/>
      <c r="J140" s="195"/>
    </row>
    <row r="141" spans="1:10" x14ac:dyDescent="0.3">
      <c r="A141" s="190" t="s">
        <v>218</v>
      </c>
      <c r="B141" s="190" t="s">
        <v>20</v>
      </c>
      <c r="C141" s="191">
        <v>37649</v>
      </c>
      <c r="D141" s="193">
        <v>2.02</v>
      </c>
      <c r="E141" s="193">
        <v>2.13</v>
      </c>
      <c r="F141" s="197">
        <v>2003</v>
      </c>
      <c r="G141" s="197"/>
      <c r="H141" s="197"/>
      <c r="I141" s="197"/>
      <c r="J141" s="195"/>
    </row>
    <row r="142" spans="1:10" x14ac:dyDescent="0.3">
      <c r="A142" s="190" t="s">
        <v>219</v>
      </c>
      <c r="B142" s="190" t="s">
        <v>20</v>
      </c>
      <c r="C142" s="191">
        <v>37684</v>
      </c>
      <c r="D142" s="193">
        <v>1.31</v>
      </c>
      <c r="E142" s="193">
        <v>1.46</v>
      </c>
      <c r="F142" s="197">
        <v>2003</v>
      </c>
      <c r="G142" s="197"/>
      <c r="H142" s="197"/>
      <c r="I142" s="197"/>
      <c r="J142" s="195"/>
    </row>
    <row r="143" spans="1:10" x14ac:dyDescent="0.3">
      <c r="A143" s="190" t="s">
        <v>221</v>
      </c>
      <c r="B143" s="190" t="s">
        <v>20</v>
      </c>
      <c r="C143" s="191">
        <v>37714</v>
      </c>
      <c r="D143" s="193">
        <v>3.92</v>
      </c>
      <c r="E143" s="193">
        <v>3.8</v>
      </c>
      <c r="F143" s="197">
        <v>2003</v>
      </c>
      <c r="G143" s="197"/>
      <c r="H143" s="197"/>
      <c r="I143" s="197"/>
      <c r="J143" s="195"/>
    </row>
    <row r="144" spans="1:10" x14ac:dyDescent="0.3">
      <c r="A144" s="190" t="s">
        <v>222</v>
      </c>
      <c r="B144" s="190" t="s">
        <v>20</v>
      </c>
      <c r="C144" s="191">
        <v>37746</v>
      </c>
      <c r="D144" s="193">
        <v>7.05</v>
      </c>
      <c r="E144" s="193">
        <v>6.94</v>
      </c>
      <c r="F144" s="197">
        <v>2003</v>
      </c>
      <c r="G144" s="197"/>
      <c r="H144" s="197"/>
      <c r="I144" s="197"/>
      <c r="J144" s="195"/>
    </row>
    <row r="145" spans="1:10" x14ac:dyDescent="0.3">
      <c r="A145" s="190" t="s">
        <v>223</v>
      </c>
      <c r="B145" s="190" t="s">
        <v>20</v>
      </c>
      <c r="C145" s="191">
        <v>37775</v>
      </c>
      <c r="D145" s="193">
        <v>11.52</v>
      </c>
      <c r="E145" s="193">
        <v>11.16</v>
      </c>
      <c r="F145" s="197">
        <v>2003</v>
      </c>
      <c r="G145" s="197"/>
      <c r="H145" s="197"/>
      <c r="I145" s="197"/>
      <c r="J145" s="195"/>
    </row>
    <row r="146" spans="1:10" x14ac:dyDescent="0.3">
      <c r="A146" s="190" t="s">
        <v>225</v>
      </c>
      <c r="B146" s="190" t="s">
        <v>20</v>
      </c>
      <c r="C146" s="191">
        <v>37809</v>
      </c>
      <c r="D146" s="193">
        <v>16.38</v>
      </c>
      <c r="E146" s="193">
        <v>15.86</v>
      </c>
      <c r="F146" s="197">
        <v>2003</v>
      </c>
      <c r="G146" s="197"/>
      <c r="H146" s="197"/>
      <c r="I146" s="197"/>
      <c r="J146" s="195"/>
    </row>
    <row r="147" spans="1:10" x14ac:dyDescent="0.3">
      <c r="A147" s="190" t="s">
        <v>227</v>
      </c>
      <c r="B147" s="190" t="s">
        <v>20</v>
      </c>
      <c r="C147" s="191">
        <v>37837</v>
      </c>
      <c r="D147" s="193">
        <v>17.600000000000001</v>
      </c>
      <c r="E147" s="193">
        <v>17.149999999999999</v>
      </c>
      <c r="F147" s="197">
        <v>2003</v>
      </c>
      <c r="G147" s="197"/>
      <c r="H147" s="197"/>
      <c r="I147" s="197"/>
      <c r="J147" s="195"/>
    </row>
    <row r="148" spans="1:10" x14ac:dyDescent="0.3">
      <c r="A148" s="190" t="s">
        <v>229</v>
      </c>
      <c r="B148" s="190" t="s">
        <v>20</v>
      </c>
      <c r="C148" s="191">
        <v>37873</v>
      </c>
      <c r="D148" s="193">
        <v>18.54</v>
      </c>
      <c r="E148" s="193">
        <v>18.510000000000002</v>
      </c>
      <c r="F148" s="197">
        <v>2003</v>
      </c>
      <c r="G148" s="197"/>
      <c r="H148" s="197"/>
      <c r="I148" s="197"/>
      <c r="J148" s="195"/>
    </row>
    <row r="149" spans="1:10" x14ac:dyDescent="0.3">
      <c r="A149" s="190" t="s">
        <v>231</v>
      </c>
      <c r="B149" s="190" t="s">
        <v>20</v>
      </c>
      <c r="C149" s="191">
        <v>37928</v>
      </c>
      <c r="D149" s="193">
        <v>14.57</v>
      </c>
      <c r="E149" s="193">
        <v>14.34</v>
      </c>
      <c r="F149" s="197">
        <v>2003</v>
      </c>
      <c r="G149" s="197"/>
      <c r="H149" s="197"/>
      <c r="I149" s="197"/>
      <c r="J149" s="195"/>
    </row>
    <row r="150" spans="1:10" x14ac:dyDescent="0.3">
      <c r="A150" s="190" t="s">
        <v>232</v>
      </c>
      <c r="B150" s="190" t="s">
        <v>20</v>
      </c>
      <c r="C150" s="191">
        <v>37963</v>
      </c>
      <c r="D150" s="192"/>
      <c r="E150" s="192"/>
      <c r="F150" s="197">
        <v>2003</v>
      </c>
      <c r="G150" s="197"/>
      <c r="H150" s="197"/>
      <c r="I150" s="197"/>
      <c r="J150" s="195"/>
    </row>
    <row r="151" spans="1:10" x14ac:dyDescent="0.3">
      <c r="A151" s="190" t="s">
        <v>497</v>
      </c>
      <c r="B151" s="190" t="s">
        <v>20</v>
      </c>
      <c r="C151" s="191">
        <v>37991</v>
      </c>
      <c r="D151" s="192"/>
      <c r="E151" s="192"/>
      <c r="F151" s="197">
        <v>2004</v>
      </c>
      <c r="G151" s="197"/>
      <c r="H151" s="197"/>
      <c r="I151" s="197"/>
      <c r="J151" s="195"/>
    </row>
    <row r="152" spans="1:10" x14ac:dyDescent="0.3">
      <c r="A152" s="190" t="s">
        <v>233</v>
      </c>
      <c r="B152" s="190" t="s">
        <v>20</v>
      </c>
      <c r="C152" s="191">
        <v>38022</v>
      </c>
      <c r="D152" s="193">
        <v>1.39</v>
      </c>
      <c r="E152" s="193">
        <v>1.65</v>
      </c>
      <c r="F152" s="197">
        <v>2004</v>
      </c>
      <c r="G152" s="197"/>
      <c r="H152" s="197"/>
      <c r="I152" s="197"/>
      <c r="J152" s="195"/>
    </row>
    <row r="153" spans="1:10" x14ac:dyDescent="0.3">
      <c r="A153" s="190" t="s">
        <v>235</v>
      </c>
      <c r="B153" s="190" t="s">
        <v>20</v>
      </c>
      <c r="C153" s="191">
        <v>38050</v>
      </c>
      <c r="D153" s="193">
        <v>2.46</v>
      </c>
      <c r="E153" s="193">
        <v>2.61</v>
      </c>
      <c r="F153" s="197">
        <v>2004</v>
      </c>
      <c r="G153" s="197"/>
      <c r="H153" s="197"/>
      <c r="I153" s="197"/>
      <c r="J153" s="195"/>
    </row>
    <row r="154" spans="1:10" x14ac:dyDescent="0.3">
      <c r="A154" s="190" t="s">
        <v>237</v>
      </c>
      <c r="B154" s="190" t="s">
        <v>20</v>
      </c>
      <c r="C154" s="191">
        <v>38084</v>
      </c>
      <c r="D154" s="193">
        <v>3.84</v>
      </c>
      <c r="E154" s="193">
        <v>3.81</v>
      </c>
      <c r="F154" s="197">
        <v>2004</v>
      </c>
      <c r="G154" s="197"/>
      <c r="H154" s="197"/>
      <c r="I154" s="197"/>
      <c r="J154" s="195"/>
    </row>
    <row r="155" spans="1:10" x14ac:dyDescent="0.3">
      <c r="A155" s="190" t="s">
        <v>238</v>
      </c>
      <c r="B155" s="190" t="s">
        <v>20</v>
      </c>
      <c r="C155" s="191">
        <v>38112</v>
      </c>
      <c r="D155" s="193">
        <v>7.75</v>
      </c>
      <c r="E155" s="193">
        <v>7.03</v>
      </c>
      <c r="F155" s="197">
        <v>2004</v>
      </c>
      <c r="G155" s="197"/>
      <c r="H155" s="197"/>
      <c r="I155" s="197"/>
      <c r="J155" s="195"/>
    </row>
    <row r="156" spans="1:10" x14ac:dyDescent="0.3">
      <c r="A156" s="190" t="s">
        <v>239</v>
      </c>
      <c r="B156" s="190" t="s">
        <v>20</v>
      </c>
      <c r="C156" s="191">
        <v>38139</v>
      </c>
      <c r="D156" s="193">
        <v>11.69</v>
      </c>
      <c r="E156" s="193">
        <v>11.65</v>
      </c>
      <c r="F156" s="197">
        <v>2004</v>
      </c>
      <c r="G156" s="197"/>
      <c r="H156" s="197"/>
      <c r="I156" s="197"/>
      <c r="J156" s="195"/>
    </row>
    <row r="157" spans="1:10" x14ac:dyDescent="0.3">
      <c r="A157" s="190" t="s">
        <v>241</v>
      </c>
      <c r="B157" s="190" t="s">
        <v>20</v>
      </c>
      <c r="C157" s="191">
        <v>38176</v>
      </c>
      <c r="D157" s="193">
        <v>17.12</v>
      </c>
      <c r="E157" s="193">
        <v>15.77</v>
      </c>
      <c r="F157" s="197">
        <v>2004</v>
      </c>
      <c r="G157" s="197"/>
      <c r="H157" s="197"/>
      <c r="I157" s="197"/>
      <c r="J157" s="195"/>
    </row>
    <row r="158" spans="1:10" x14ac:dyDescent="0.3">
      <c r="A158" s="190" t="s">
        <v>243</v>
      </c>
      <c r="B158" s="190" t="s">
        <v>20</v>
      </c>
      <c r="C158" s="191">
        <v>38201</v>
      </c>
      <c r="D158" s="193">
        <v>19.43</v>
      </c>
      <c r="E158" s="193">
        <v>19.149999999999999</v>
      </c>
      <c r="F158" s="197">
        <v>2004</v>
      </c>
      <c r="G158" s="197"/>
      <c r="H158" s="197"/>
      <c r="I158" s="197"/>
      <c r="J158" s="195"/>
    </row>
    <row r="159" spans="1:10" x14ac:dyDescent="0.3">
      <c r="A159" s="190" t="s">
        <v>245</v>
      </c>
      <c r="B159" s="190" t="s">
        <v>20</v>
      </c>
      <c r="C159" s="191">
        <v>38230</v>
      </c>
      <c r="D159" s="193">
        <v>20.100000000000001</v>
      </c>
      <c r="E159" s="193">
        <v>19.23</v>
      </c>
      <c r="F159" s="197">
        <v>2004</v>
      </c>
      <c r="G159" s="197"/>
      <c r="H159" s="197"/>
      <c r="I159" s="197"/>
      <c r="J159" s="195"/>
    </row>
    <row r="160" spans="1:10" x14ac:dyDescent="0.3">
      <c r="A160" s="190" t="s">
        <v>246</v>
      </c>
      <c r="B160" s="190" t="s">
        <v>20</v>
      </c>
      <c r="C160" s="191">
        <v>38266</v>
      </c>
      <c r="D160" s="193">
        <v>18.54</v>
      </c>
      <c r="E160" s="193">
        <v>18.32</v>
      </c>
      <c r="F160" s="197">
        <v>2004</v>
      </c>
      <c r="G160" s="197"/>
      <c r="H160" s="197"/>
      <c r="I160" s="197"/>
      <c r="J160" s="195"/>
    </row>
    <row r="161" spans="1:10" x14ac:dyDescent="0.3">
      <c r="A161" s="190" t="s">
        <v>247</v>
      </c>
      <c r="B161" s="190" t="s">
        <v>20</v>
      </c>
      <c r="C161" s="191">
        <v>38320</v>
      </c>
      <c r="D161" s="193">
        <v>10.79</v>
      </c>
      <c r="E161" s="193">
        <v>10.82</v>
      </c>
      <c r="F161" s="197">
        <v>2004</v>
      </c>
      <c r="G161" s="197"/>
      <c r="H161" s="197"/>
      <c r="I161" s="197"/>
      <c r="J161" s="195"/>
    </row>
    <row r="162" spans="1:10" x14ac:dyDescent="0.3">
      <c r="A162" s="190" t="s">
        <v>248</v>
      </c>
      <c r="B162" s="190" t="s">
        <v>20</v>
      </c>
      <c r="C162" s="191">
        <v>38362</v>
      </c>
      <c r="D162" s="193">
        <v>5.98</v>
      </c>
      <c r="E162" s="193">
        <v>5.98</v>
      </c>
      <c r="F162" s="197">
        <v>2005</v>
      </c>
      <c r="G162" s="197"/>
      <c r="H162" s="197"/>
      <c r="I162" s="197"/>
      <c r="J162" s="195"/>
    </row>
    <row r="163" spans="1:10" x14ac:dyDescent="0.3">
      <c r="A163" s="190" t="s">
        <v>249</v>
      </c>
      <c r="B163" s="190" t="s">
        <v>20</v>
      </c>
      <c r="C163" s="191">
        <v>38385</v>
      </c>
      <c r="D163" s="193">
        <v>2.4</v>
      </c>
      <c r="E163" s="193">
        <v>2.65</v>
      </c>
      <c r="F163" s="197">
        <v>2005</v>
      </c>
      <c r="G163" s="197"/>
      <c r="H163" s="197"/>
      <c r="I163" s="197"/>
      <c r="J163" s="195"/>
    </row>
    <row r="164" spans="1:10" x14ac:dyDescent="0.3">
      <c r="A164" s="190" t="s">
        <v>250</v>
      </c>
      <c r="B164" s="190" t="s">
        <v>20</v>
      </c>
      <c r="C164" s="191">
        <v>38418</v>
      </c>
      <c r="D164" s="193">
        <v>2</v>
      </c>
      <c r="E164" s="193">
        <v>2.08</v>
      </c>
      <c r="F164" s="197">
        <v>2005</v>
      </c>
      <c r="G164" s="197"/>
      <c r="H164" s="197"/>
      <c r="I164" s="197"/>
      <c r="J164" s="195"/>
    </row>
    <row r="165" spans="1:10" x14ac:dyDescent="0.3">
      <c r="A165" s="190" t="s">
        <v>251</v>
      </c>
      <c r="B165" s="190" t="s">
        <v>20</v>
      </c>
      <c r="C165" s="191">
        <v>38447</v>
      </c>
      <c r="D165" s="193">
        <v>3.87</v>
      </c>
      <c r="E165" s="193">
        <v>3.79</v>
      </c>
      <c r="F165" s="197">
        <v>2005</v>
      </c>
      <c r="G165" s="197"/>
      <c r="H165" s="197"/>
      <c r="I165" s="197"/>
      <c r="J165" s="195"/>
    </row>
    <row r="166" spans="1:10" x14ac:dyDescent="0.3">
      <c r="A166" s="190" t="s">
        <v>252</v>
      </c>
      <c r="B166" s="190" t="s">
        <v>20</v>
      </c>
      <c r="C166" s="191">
        <v>38477</v>
      </c>
      <c r="D166" s="193">
        <v>7.36</v>
      </c>
      <c r="E166" s="193">
        <v>6.95</v>
      </c>
      <c r="F166" s="197">
        <v>2005</v>
      </c>
      <c r="G166" s="197"/>
      <c r="H166" s="197"/>
      <c r="I166" s="197"/>
      <c r="J166" s="195"/>
    </row>
    <row r="167" spans="1:10" x14ac:dyDescent="0.3">
      <c r="A167" s="190" t="s">
        <v>253</v>
      </c>
      <c r="B167" s="190" t="s">
        <v>20</v>
      </c>
      <c r="C167" s="191">
        <v>38509</v>
      </c>
      <c r="D167" s="193">
        <v>12.05</v>
      </c>
      <c r="E167" s="193">
        <v>12.15</v>
      </c>
      <c r="F167" s="197">
        <v>2005</v>
      </c>
      <c r="G167" s="197"/>
      <c r="H167" s="197"/>
      <c r="I167" s="197"/>
      <c r="J167" s="195"/>
    </row>
    <row r="168" spans="1:10" x14ac:dyDescent="0.3">
      <c r="A168" s="190" t="s">
        <v>255</v>
      </c>
      <c r="B168" s="190" t="s">
        <v>20</v>
      </c>
      <c r="C168" s="191">
        <v>38540</v>
      </c>
      <c r="D168" s="193">
        <v>16.149999999999999</v>
      </c>
      <c r="E168" s="193">
        <v>15.22</v>
      </c>
      <c r="F168" s="197">
        <v>2005</v>
      </c>
      <c r="G168" s="197"/>
      <c r="H168" s="197"/>
      <c r="I168" s="197"/>
      <c r="J168" s="195"/>
    </row>
    <row r="169" spans="1:10" x14ac:dyDescent="0.3">
      <c r="A169" s="190" t="s">
        <v>257</v>
      </c>
      <c r="B169" s="190" t="s">
        <v>20</v>
      </c>
      <c r="C169" s="191">
        <v>38566</v>
      </c>
      <c r="D169" s="193">
        <v>17.989999999999998</v>
      </c>
      <c r="E169" s="193">
        <v>17.260000000000002</v>
      </c>
      <c r="F169" s="197">
        <v>2005</v>
      </c>
      <c r="G169" s="197"/>
      <c r="H169" s="197"/>
      <c r="I169" s="197"/>
      <c r="J169" s="195"/>
    </row>
    <row r="170" spans="1:10" x14ac:dyDescent="0.3">
      <c r="A170" s="190" t="s">
        <v>259</v>
      </c>
      <c r="B170" s="190" t="s">
        <v>20</v>
      </c>
      <c r="C170" s="191">
        <v>38593</v>
      </c>
      <c r="D170" s="193">
        <v>20.45</v>
      </c>
      <c r="E170" s="193">
        <v>19.61</v>
      </c>
      <c r="F170" s="197">
        <v>2005</v>
      </c>
      <c r="G170" s="197"/>
      <c r="H170" s="197"/>
      <c r="I170" s="197"/>
      <c r="J170" s="195"/>
    </row>
    <row r="171" spans="1:10" x14ac:dyDescent="0.3">
      <c r="A171" s="190" t="s">
        <v>261</v>
      </c>
      <c r="B171" s="190" t="s">
        <v>20</v>
      </c>
      <c r="C171" s="191">
        <v>38631</v>
      </c>
      <c r="D171" s="193">
        <v>18.52</v>
      </c>
      <c r="E171" s="193">
        <v>17.96</v>
      </c>
      <c r="F171" s="197">
        <v>2005</v>
      </c>
      <c r="G171" s="197"/>
      <c r="H171" s="197"/>
      <c r="I171" s="197"/>
      <c r="J171" s="195"/>
    </row>
    <row r="172" spans="1:10" x14ac:dyDescent="0.3">
      <c r="A172" s="190" t="s">
        <v>262</v>
      </c>
      <c r="B172" s="190" t="s">
        <v>20</v>
      </c>
      <c r="C172" s="191">
        <v>38670</v>
      </c>
      <c r="D172" s="193">
        <v>13.43</v>
      </c>
      <c r="E172" s="193">
        <v>13.32</v>
      </c>
      <c r="F172" s="197">
        <v>2005</v>
      </c>
      <c r="G172" s="197"/>
      <c r="H172" s="197"/>
      <c r="I172" s="197"/>
      <c r="J172" s="195"/>
    </row>
    <row r="173" spans="1:10" x14ac:dyDescent="0.3">
      <c r="A173" s="190" t="s">
        <v>263</v>
      </c>
      <c r="B173" s="190" t="s">
        <v>20</v>
      </c>
      <c r="C173" s="191">
        <v>38691</v>
      </c>
      <c r="D173" s="193">
        <v>10.27</v>
      </c>
      <c r="E173" s="193">
        <v>10.38</v>
      </c>
      <c r="F173" s="197">
        <v>2005</v>
      </c>
      <c r="G173" s="197"/>
      <c r="H173" s="197"/>
      <c r="I173" s="197"/>
      <c r="J173" s="195"/>
    </row>
    <row r="174" spans="1:10" x14ac:dyDescent="0.3">
      <c r="A174" s="190" t="s">
        <v>498</v>
      </c>
      <c r="B174" s="190" t="s">
        <v>20</v>
      </c>
      <c r="C174" s="191">
        <v>38818</v>
      </c>
      <c r="D174" s="193">
        <v>6.47</v>
      </c>
      <c r="E174" s="193">
        <v>6.35</v>
      </c>
      <c r="F174" s="197">
        <v>2006</v>
      </c>
      <c r="G174" s="197"/>
      <c r="H174" s="197"/>
      <c r="I174" s="197"/>
      <c r="J174" s="195"/>
    </row>
    <row r="175" spans="1:10" x14ac:dyDescent="0.3">
      <c r="A175" s="190" t="s">
        <v>265</v>
      </c>
      <c r="B175" s="190" t="s">
        <v>20</v>
      </c>
      <c r="C175" s="191">
        <v>38839</v>
      </c>
      <c r="D175" s="193">
        <v>8.8699999999999992</v>
      </c>
      <c r="E175" s="193">
        <v>8.9499999999999993</v>
      </c>
      <c r="F175" s="197">
        <v>2006</v>
      </c>
      <c r="G175" s="197"/>
      <c r="H175" s="197"/>
      <c r="I175" s="197"/>
      <c r="J175" s="195"/>
    </row>
    <row r="176" spans="1:10" x14ac:dyDescent="0.3">
      <c r="A176" s="190" t="s">
        <v>266</v>
      </c>
      <c r="B176" s="190" t="s">
        <v>20</v>
      </c>
      <c r="C176" s="191">
        <v>38874</v>
      </c>
      <c r="D176" s="193">
        <v>12.51</v>
      </c>
      <c r="E176" s="193">
        <v>12.23</v>
      </c>
      <c r="F176" s="197">
        <v>2006</v>
      </c>
      <c r="G176" s="197"/>
      <c r="H176" s="197"/>
      <c r="I176" s="197"/>
      <c r="J176" s="195"/>
    </row>
    <row r="177" spans="1:10" x14ac:dyDescent="0.3">
      <c r="A177" s="190" t="s">
        <v>268</v>
      </c>
      <c r="B177" s="190" t="s">
        <v>20</v>
      </c>
      <c r="C177" s="191">
        <v>38904</v>
      </c>
      <c r="D177" s="193">
        <v>16.920000000000002</v>
      </c>
      <c r="E177" s="193">
        <v>16.079999999999998</v>
      </c>
      <c r="F177" s="197">
        <v>2006</v>
      </c>
      <c r="G177" s="197"/>
      <c r="H177" s="197"/>
      <c r="I177" s="197"/>
      <c r="J177" s="195"/>
    </row>
    <row r="178" spans="1:10" x14ac:dyDescent="0.3">
      <c r="A178" s="190" t="s">
        <v>270</v>
      </c>
      <c r="B178" s="190" t="s">
        <v>20</v>
      </c>
      <c r="C178" s="191">
        <v>38930</v>
      </c>
      <c r="D178" s="193">
        <v>20.78</v>
      </c>
      <c r="E178" s="193">
        <v>17.79</v>
      </c>
      <c r="F178" s="197">
        <v>2006</v>
      </c>
      <c r="G178" s="197"/>
      <c r="H178" s="197"/>
      <c r="I178" s="197"/>
      <c r="J178" s="195"/>
    </row>
    <row r="179" spans="1:10" x14ac:dyDescent="0.3">
      <c r="A179" s="190" t="s">
        <v>500</v>
      </c>
      <c r="B179" s="190" t="s">
        <v>20</v>
      </c>
      <c r="C179" s="191">
        <v>38943</v>
      </c>
      <c r="D179" s="193">
        <v>20.02</v>
      </c>
      <c r="E179" s="193">
        <v>19.2</v>
      </c>
      <c r="F179" s="197">
        <v>2006</v>
      </c>
      <c r="G179" s="197"/>
      <c r="H179" s="197"/>
      <c r="I179" s="197"/>
      <c r="J179" s="195"/>
    </row>
    <row r="180" spans="1:10" x14ac:dyDescent="0.3">
      <c r="A180" s="190" t="s">
        <v>272</v>
      </c>
      <c r="B180" s="190" t="s">
        <v>20</v>
      </c>
      <c r="C180" s="191">
        <v>38958</v>
      </c>
      <c r="D180" s="193">
        <v>19.61</v>
      </c>
      <c r="E180" s="192"/>
      <c r="F180" s="197">
        <v>2006</v>
      </c>
      <c r="G180" s="197"/>
      <c r="H180" s="197"/>
      <c r="I180" s="197"/>
      <c r="J180" s="195"/>
    </row>
    <row r="181" spans="1:10" x14ac:dyDescent="0.3">
      <c r="A181" s="190" t="s">
        <v>273</v>
      </c>
      <c r="B181" s="190" t="s">
        <v>20</v>
      </c>
      <c r="C181" s="191">
        <v>38993</v>
      </c>
      <c r="D181" s="193">
        <v>18.489999999999998</v>
      </c>
      <c r="E181" s="193">
        <v>18.149999999999999</v>
      </c>
      <c r="F181" s="197">
        <v>2006</v>
      </c>
      <c r="G181" s="197"/>
      <c r="H181" s="197"/>
      <c r="I181" s="197"/>
      <c r="J181" s="195"/>
    </row>
    <row r="182" spans="1:10" x14ac:dyDescent="0.3">
      <c r="A182" s="190" t="s">
        <v>274</v>
      </c>
      <c r="B182" s="190" t="s">
        <v>20</v>
      </c>
      <c r="C182" s="191">
        <v>39027</v>
      </c>
      <c r="D182" s="193">
        <v>13.4</v>
      </c>
      <c r="E182" s="193">
        <v>13.39</v>
      </c>
      <c r="F182" s="197">
        <v>2006</v>
      </c>
      <c r="G182" s="197"/>
      <c r="H182" s="197"/>
      <c r="I182" s="197"/>
      <c r="J182" s="195"/>
    </row>
    <row r="183" spans="1:10" x14ac:dyDescent="0.3">
      <c r="A183" s="190" t="s">
        <v>276</v>
      </c>
      <c r="B183" s="190" t="s">
        <v>20</v>
      </c>
      <c r="C183" s="191">
        <v>39093</v>
      </c>
      <c r="D183" s="193">
        <v>8.11</v>
      </c>
      <c r="E183" s="193">
        <v>8.5399999999999991</v>
      </c>
      <c r="F183" s="197">
        <v>2007</v>
      </c>
      <c r="G183" s="197"/>
      <c r="H183" s="197"/>
      <c r="I183" s="197"/>
      <c r="J183" s="195"/>
    </row>
    <row r="184" spans="1:10" x14ac:dyDescent="0.3">
      <c r="A184" s="190" t="s">
        <v>277</v>
      </c>
      <c r="B184" s="190" t="s">
        <v>20</v>
      </c>
      <c r="C184" s="191">
        <v>39114</v>
      </c>
      <c r="D184" s="193">
        <v>5.78</v>
      </c>
      <c r="E184" s="193">
        <v>5.9</v>
      </c>
      <c r="F184" s="197">
        <v>2007</v>
      </c>
      <c r="G184" s="197"/>
      <c r="H184" s="197"/>
      <c r="I184" s="197"/>
      <c r="J184" s="195"/>
    </row>
    <row r="185" spans="1:10" x14ac:dyDescent="0.3">
      <c r="A185" s="190" t="s">
        <v>278</v>
      </c>
      <c r="B185" s="190" t="s">
        <v>20</v>
      </c>
      <c r="C185" s="191">
        <v>39142</v>
      </c>
      <c r="D185" s="193">
        <v>2.71</v>
      </c>
      <c r="E185" s="193">
        <v>3.08</v>
      </c>
      <c r="F185" s="197">
        <v>2007</v>
      </c>
      <c r="G185" s="197"/>
      <c r="H185" s="197"/>
      <c r="I185" s="197"/>
      <c r="J185" s="195"/>
    </row>
    <row r="186" spans="1:10" x14ac:dyDescent="0.3">
      <c r="A186" s="190" t="s">
        <v>280</v>
      </c>
      <c r="B186" s="190" t="s">
        <v>20</v>
      </c>
      <c r="C186" s="191">
        <v>39174</v>
      </c>
      <c r="D186" s="193">
        <v>4.51</v>
      </c>
      <c r="E186" s="193">
        <v>4.6900000000000004</v>
      </c>
      <c r="F186" s="197">
        <v>2007</v>
      </c>
      <c r="G186" s="197"/>
      <c r="H186" s="197"/>
      <c r="I186" s="197"/>
      <c r="J186" s="195"/>
    </row>
    <row r="187" spans="1:10" x14ac:dyDescent="0.3">
      <c r="A187" s="190" t="s">
        <v>281</v>
      </c>
      <c r="B187" s="190" t="s">
        <v>20</v>
      </c>
      <c r="C187" s="191">
        <v>39209</v>
      </c>
      <c r="D187" s="193">
        <v>8.0500000000000007</v>
      </c>
      <c r="E187" s="193">
        <v>7.67</v>
      </c>
      <c r="F187" s="197">
        <v>2007</v>
      </c>
      <c r="G187" s="197"/>
      <c r="H187" s="197"/>
      <c r="I187" s="197"/>
      <c r="J187" s="195"/>
    </row>
    <row r="188" spans="1:10" x14ac:dyDescent="0.3">
      <c r="A188" s="190" t="s">
        <v>282</v>
      </c>
      <c r="B188" s="190" t="s">
        <v>20</v>
      </c>
      <c r="C188" s="191">
        <v>39238</v>
      </c>
      <c r="D188" s="193">
        <v>13.8</v>
      </c>
      <c r="E188" s="193">
        <v>13.1</v>
      </c>
      <c r="F188" s="197">
        <v>2007</v>
      </c>
      <c r="G188" s="197"/>
      <c r="H188" s="197"/>
      <c r="I188" s="197"/>
      <c r="J188" s="195"/>
    </row>
    <row r="189" spans="1:10" x14ac:dyDescent="0.3">
      <c r="A189" s="190" t="s">
        <v>284</v>
      </c>
      <c r="B189" s="190" t="s">
        <v>20</v>
      </c>
      <c r="C189" s="191">
        <v>39272</v>
      </c>
      <c r="D189" s="193">
        <v>16.98</v>
      </c>
      <c r="E189" s="193">
        <v>16.309999999999999</v>
      </c>
      <c r="F189" s="197">
        <v>2007</v>
      </c>
      <c r="G189" s="197"/>
      <c r="H189" s="197"/>
      <c r="I189" s="197"/>
      <c r="J189" s="195"/>
    </row>
    <row r="190" spans="1:10" x14ac:dyDescent="0.3">
      <c r="A190" s="190" t="s">
        <v>286</v>
      </c>
      <c r="B190" s="190" t="s">
        <v>20</v>
      </c>
      <c r="C190" s="191">
        <v>39293</v>
      </c>
      <c r="D190" s="193">
        <v>19.260000000000002</v>
      </c>
      <c r="E190" s="193">
        <v>18.68</v>
      </c>
      <c r="F190" s="197">
        <v>2007</v>
      </c>
      <c r="G190" s="197"/>
      <c r="H190" s="197"/>
      <c r="I190" s="197"/>
      <c r="J190" s="195"/>
    </row>
    <row r="191" spans="1:10" x14ac:dyDescent="0.3">
      <c r="A191" s="190" t="s">
        <v>288</v>
      </c>
      <c r="B191" s="190" t="s">
        <v>20</v>
      </c>
      <c r="C191" s="191">
        <v>39322</v>
      </c>
      <c r="D191" s="193">
        <v>20.18</v>
      </c>
      <c r="E191" s="193">
        <v>19.64</v>
      </c>
      <c r="F191" s="197">
        <v>2007</v>
      </c>
      <c r="G191" s="197"/>
      <c r="H191" s="197"/>
      <c r="I191" s="197"/>
      <c r="J191" s="195"/>
    </row>
    <row r="192" spans="1:10" x14ac:dyDescent="0.3">
      <c r="A192" s="190" t="s">
        <v>290</v>
      </c>
      <c r="B192" s="190" t="s">
        <v>20</v>
      </c>
      <c r="C192" s="191">
        <v>39357</v>
      </c>
      <c r="D192" s="193">
        <v>18.760000000000002</v>
      </c>
      <c r="E192" s="193">
        <v>18.579999999999998</v>
      </c>
      <c r="F192" s="197">
        <v>2007</v>
      </c>
      <c r="G192" s="197"/>
      <c r="H192" s="197"/>
      <c r="I192" s="197"/>
      <c r="J192" s="195"/>
    </row>
    <row r="193" spans="1:10" x14ac:dyDescent="0.3">
      <c r="A193" s="190" t="s">
        <v>291</v>
      </c>
      <c r="B193" s="190" t="s">
        <v>20</v>
      </c>
      <c r="C193" s="191">
        <v>39394</v>
      </c>
      <c r="D193" s="193">
        <v>14.31</v>
      </c>
      <c r="E193" s="193">
        <v>14.18</v>
      </c>
      <c r="F193" s="197">
        <v>2007</v>
      </c>
      <c r="G193" s="197"/>
      <c r="H193" s="197"/>
      <c r="I193" s="197"/>
      <c r="J193" s="195"/>
    </row>
    <row r="194" spans="1:10" x14ac:dyDescent="0.3">
      <c r="A194" s="190" t="s">
        <v>292</v>
      </c>
      <c r="B194" s="190" t="s">
        <v>20</v>
      </c>
      <c r="C194" s="191">
        <v>39421</v>
      </c>
      <c r="D194" s="193">
        <v>8.8699999999999992</v>
      </c>
      <c r="E194" s="193">
        <v>9.15</v>
      </c>
      <c r="F194" s="197">
        <v>2007</v>
      </c>
      <c r="G194" s="197"/>
      <c r="H194" s="197"/>
      <c r="I194" s="197"/>
      <c r="J194" s="195"/>
    </row>
    <row r="195" spans="1:10" x14ac:dyDescent="0.3">
      <c r="A195" s="190" t="s">
        <v>293</v>
      </c>
      <c r="B195" s="190" t="s">
        <v>20</v>
      </c>
      <c r="C195" s="191">
        <v>39454</v>
      </c>
      <c r="D195" s="193">
        <v>5.45</v>
      </c>
      <c r="E195" s="193">
        <v>5.51</v>
      </c>
      <c r="F195" s="197">
        <v>2008</v>
      </c>
      <c r="G195" s="197"/>
      <c r="H195" s="197"/>
      <c r="I195" s="197"/>
      <c r="J195" s="195"/>
    </row>
    <row r="196" spans="1:10" x14ac:dyDescent="0.3">
      <c r="A196" s="190" t="s">
        <v>294</v>
      </c>
      <c r="B196" s="190" t="s">
        <v>20</v>
      </c>
      <c r="C196" s="191">
        <v>39482</v>
      </c>
      <c r="D196" s="193">
        <v>4.32</v>
      </c>
      <c r="E196" s="193">
        <v>4.47</v>
      </c>
      <c r="F196" s="197">
        <v>2008</v>
      </c>
      <c r="G196" s="197"/>
      <c r="H196" s="197"/>
      <c r="I196" s="197"/>
      <c r="J196" s="195"/>
    </row>
    <row r="197" spans="1:10" x14ac:dyDescent="0.3">
      <c r="A197" s="190" t="s">
        <v>296</v>
      </c>
      <c r="B197" s="190" t="s">
        <v>20</v>
      </c>
      <c r="C197" s="191">
        <v>39514</v>
      </c>
      <c r="D197" s="193">
        <v>4.75</v>
      </c>
      <c r="E197" s="193">
        <v>4.5999999999999996</v>
      </c>
      <c r="F197" s="197">
        <v>2008</v>
      </c>
      <c r="G197" s="197"/>
      <c r="H197" s="197"/>
      <c r="I197" s="197"/>
      <c r="J197" s="195"/>
    </row>
    <row r="198" spans="1:10" x14ac:dyDescent="0.3">
      <c r="A198" s="190" t="s">
        <v>298</v>
      </c>
      <c r="B198" s="190" t="s">
        <v>20</v>
      </c>
      <c r="C198" s="191">
        <v>39541</v>
      </c>
      <c r="D198" s="193">
        <v>5.47</v>
      </c>
      <c r="E198" s="193">
        <v>5.69</v>
      </c>
      <c r="F198" s="197">
        <v>2008</v>
      </c>
      <c r="G198" s="197"/>
      <c r="H198" s="197"/>
      <c r="I198" s="197"/>
      <c r="J198" s="195"/>
    </row>
    <row r="199" spans="1:10" x14ac:dyDescent="0.3">
      <c r="A199" s="190" t="s">
        <v>299</v>
      </c>
      <c r="B199" s="190" t="s">
        <v>20</v>
      </c>
      <c r="C199" s="191">
        <v>39573</v>
      </c>
      <c r="D199" s="193">
        <v>8.7899999999999991</v>
      </c>
      <c r="E199" s="193">
        <v>8.85</v>
      </c>
      <c r="F199" s="197">
        <v>2008</v>
      </c>
      <c r="G199" s="197"/>
      <c r="H199" s="197"/>
      <c r="I199" s="197"/>
      <c r="J199" s="195"/>
    </row>
    <row r="200" spans="1:10" x14ac:dyDescent="0.3">
      <c r="A200" s="190" t="s">
        <v>300</v>
      </c>
      <c r="B200" s="190" t="s">
        <v>20</v>
      </c>
      <c r="C200" s="191">
        <v>39601</v>
      </c>
      <c r="D200" s="193">
        <v>11.02</v>
      </c>
      <c r="E200" s="193">
        <v>10.44</v>
      </c>
      <c r="F200" s="197">
        <v>2008</v>
      </c>
      <c r="G200" s="197"/>
      <c r="H200" s="197"/>
      <c r="I200" s="197"/>
      <c r="J200" s="195"/>
    </row>
    <row r="201" spans="1:10" x14ac:dyDescent="0.3">
      <c r="A201" s="190" t="s">
        <v>302</v>
      </c>
      <c r="B201" s="190" t="s">
        <v>20</v>
      </c>
      <c r="C201" s="191">
        <v>39629</v>
      </c>
      <c r="D201" s="193">
        <v>16.079999999999998</v>
      </c>
      <c r="E201" s="193">
        <v>15.59</v>
      </c>
      <c r="F201" s="197">
        <v>2008</v>
      </c>
      <c r="G201" s="197"/>
      <c r="H201" s="197"/>
      <c r="I201" s="197"/>
      <c r="J201" s="195"/>
    </row>
    <row r="202" spans="1:10" x14ac:dyDescent="0.3">
      <c r="A202" s="190" t="s">
        <v>304</v>
      </c>
      <c r="B202" s="190" t="s">
        <v>20</v>
      </c>
      <c r="C202" s="191">
        <v>39667</v>
      </c>
      <c r="D202" s="193">
        <v>19.14</v>
      </c>
      <c r="E202" s="192"/>
      <c r="F202" s="197">
        <v>2008</v>
      </c>
      <c r="G202" s="197"/>
      <c r="H202" s="197"/>
      <c r="I202" s="197"/>
      <c r="J202" s="195"/>
    </row>
    <row r="203" spans="1:10" x14ac:dyDescent="0.3">
      <c r="A203" s="190" t="s">
        <v>308</v>
      </c>
      <c r="B203" s="190" t="s">
        <v>20</v>
      </c>
      <c r="C203" s="191">
        <v>39727</v>
      </c>
      <c r="D203" s="193">
        <v>18.14</v>
      </c>
      <c r="E203" s="193">
        <v>18.100000000000001</v>
      </c>
      <c r="F203" s="197">
        <v>2008</v>
      </c>
      <c r="G203" s="197"/>
      <c r="H203" s="197"/>
      <c r="I203" s="197"/>
      <c r="J203" s="195"/>
    </row>
    <row r="204" spans="1:10" x14ac:dyDescent="0.3">
      <c r="A204" s="190" t="s">
        <v>309</v>
      </c>
      <c r="B204" s="190" t="s">
        <v>20</v>
      </c>
      <c r="C204" s="191">
        <v>39757</v>
      </c>
      <c r="D204" s="193">
        <v>13.95</v>
      </c>
      <c r="E204" s="193">
        <v>13.95</v>
      </c>
      <c r="F204" s="197">
        <v>2008</v>
      </c>
      <c r="G204" s="197"/>
      <c r="H204" s="197"/>
      <c r="I204" s="197"/>
      <c r="J204" s="195"/>
    </row>
    <row r="205" spans="1:10" x14ac:dyDescent="0.3">
      <c r="A205" s="190" t="s">
        <v>310</v>
      </c>
      <c r="B205" s="190" t="s">
        <v>20</v>
      </c>
      <c r="C205" s="191">
        <v>39778</v>
      </c>
      <c r="D205" s="193">
        <v>9.94</v>
      </c>
      <c r="E205" s="193">
        <v>10.53</v>
      </c>
      <c r="F205" s="197">
        <v>2008</v>
      </c>
      <c r="G205" s="197"/>
      <c r="H205" s="197"/>
      <c r="I205" s="197"/>
      <c r="J205" s="195"/>
    </row>
    <row r="206" spans="1:10" x14ac:dyDescent="0.3">
      <c r="A206" s="190" t="s">
        <v>312</v>
      </c>
      <c r="B206" s="190" t="s">
        <v>20</v>
      </c>
      <c r="C206" s="191">
        <v>39846</v>
      </c>
      <c r="D206" s="193">
        <v>2.71</v>
      </c>
      <c r="E206" s="193">
        <v>3.33</v>
      </c>
      <c r="F206" s="197">
        <v>2009</v>
      </c>
      <c r="G206" s="197"/>
      <c r="H206" s="197"/>
      <c r="I206" s="197"/>
      <c r="J206" s="195"/>
    </row>
    <row r="207" spans="1:10" x14ac:dyDescent="0.3">
      <c r="A207" s="190" t="s">
        <v>314</v>
      </c>
      <c r="B207" s="190" t="s">
        <v>20</v>
      </c>
      <c r="C207" s="191">
        <v>39876</v>
      </c>
      <c r="D207" s="193">
        <v>2.75</v>
      </c>
      <c r="E207" s="193">
        <v>2.72</v>
      </c>
      <c r="F207" s="197">
        <v>2009</v>
      </c>
      <c r="G207" s="197"/>
      <c r="H207" s="197"/>
      <c r="I207" s="197"/>
      <c r="J207" s="195"/>
    </row>
    <row r="208" spans="1:10" x14ac:dyDescent="0.3">
      <c r="A208" s="190" t="s">
        <v>316</v>
      </c>
      <c r="B208" s="190" t="s">
        <v>20</v>
      </c>
      <c r="C208" s="191">
        <v>39903</v>
      </c>
      <c r="D208" s="193">
        <v>4.33</v>
      </c>
      <c r="E208" s="193">
        <v>4.42</v>
      </c>
      <c r="F208" s="197">
        <v>2009</v>
      </c>
      <c r="G208" s="197"/>
      <c r="H208" s="197"/>
      <c r="I208" s="197"/>
      <c r="J208" s="195"/>
    </row>
    <row r="209" spans="1:10" x14ac:dyDescent="0.3">
      <c r="A209" s="190" t="s">
        <v>317</v>
      </c>
      <c r="B209" s="190" t="s">
        <v>20</v>
      </c>
      <c r="C209" s="191">
        <v>39932</v>
      </c>
      <c r="D209" s="193">
        <v>7.83</v>
      </c>
      <c r="E209" s="193">
        <v>7.52</v>
      </c>
      <c r="F209" s="197">
        <v>2009</v>
      </c>
      <c r="G209" s="197"/>
      <c r="H209" s="197"/>
      <c r="I209" s="197"/>
      <c r="J209" s="195"/>
    </row>
    <row r="210" spans="1:10" x14ac:dyDescent="0.3">
      <c r="A210" s="190" t="s">
        <v>318</v>
      </c>
      <c r="B210" s="190" t="s">
        <v>20</v>
      </c>
      <c r="C210" s="191">
        <v>39968</v>
      </c>
      <c r="D210" s="193">
        <v>11.86</v>
      </c>
      <c r="E210" s="193">
        <v>11.57</v>
      </c>
      <c r="F210" s="197">
        <v>2009</v>
      </c>
      <c r="G210" s="197"/>
      <c r="H210" s="197"/>
      <c r="I210" s="197"/>
      <c r="J210" s="195"/>
    </row>
    <row r="211" spans="1:10" x14ac:dyDescent="0.3">
      <c r="A211" s="190" t="s">
        <v>320</v>
      </c>
      <c r="B211" s="190" t="s">
        <v>20</v>
      </c>
      <c r="C211" s="191">
        <v>40001</v>
      </c>
      <c r="D211" s="193">
        <v>16.07</v>
      </c>
      <c r="E211" s="193">
        <v>15.86</v>
      </c>
      <c r="F211" s="197">
        <v>2009</v>
      </c>
      <c r="G211" s="197"/>
      <c r="H211" s="197"/>
      <c r="I211" s="197"/>
      <c r="J211" s="195"/>
    </row>
    <row r="212" spans="1:10" x14ac:dyDescent="0.3">
      <c r="A212" s="190" t="s">
        <v>322</v>
      </c>
      <c r="B212" s="190" t="s">
        <v>20</v>
      </c>
      <c r="C212" s="191">
        <v>40028</v>
      </c>
      <c r="D212" s="193">
        <v>19.02</v>
      </c>
      <c r="E212" s="192"/>
      <c r="F212" s="197">
        <v>2009</v>
      </c>
      <c r="G212" s="197"/>
      <c r="H212" s="197"/>
      <c r="I212" s="197"/>
      <c r="J212" s="195"/>
    </row>
    <row r="213" spans="1:10" x14ac:dyDescent="0.3">
      <c r="A213" s="190" t="s">
        <v>324</v>
      </c>
      <c r="B213" s="190" t="s">
        <v>20</v>
      </c>
      <c r="C213" s="191">
        <v>40064</v>
      </c>
      <c r="D213" s="193">
        <v>19.98</v>
      </c>
      <c r="E213" s="193">
        <v>19.77</v>
      </c>
      <c r="F213" s="197">
        <v>2009</v>
      </c>
      <c r="G213" s="197"/>
      <c r="H213" s="197"/>
      <c r="I213" s="197"/>
      <c r="J213" s="195"/>
    </row>
    <row r="214" spans="1:10" x14ac:dyDescent="0.3">
      <c r="A214" s="190" t="s">
        <v>325</v>
      </c>
      <c r="B214" s="190" t="s">
        <v>20</v>
      </c>
      <c r="C214" s="191">
        <v>40091</v>
      </c>
      <c r="D214" s="193">
        <v>18.21</v>
      </c>
      <c r="E214" s="193">
        <v>18.079999999999998</v>
      </c>
      <c r="F214" s="197">
        <v>2009</v>
      </c>
      <c r="G214" s="197"/>
      <c r="H214" s="197"/>
      <c r="I214" s="197"/>
      <c r="J214" s="195"/>
    </row>
    <row r="215" spans="1:10" x14ac:dyDescent="0.3">
      <c r="A215" s="190" t="s">
        <v>326</v>
      </c>
      <c r="B215" s="190" t="s">
        <v>20</v>
      </c>
      <c r="C215" s="191">
        <v>40120</v>
      </c>
      <c r="D215" s="193">
        <v>13.94</v>
      </c>
      <c r="E215" s="193">
        <v>13.81</v>
      </c>
      <c r="F215" s="197">
        <v>2009</v>
      </c>
      <c r="G215" s="197"/>
      <c r="H215" s="197"/>
      <c r="I215" s="197"/>
      <c r="J215" s="195"/>
    </row>
    <row r="216" spans="1:10" x14ac:dyDescent="0.3">
      <c r="A216" s="190" t="s">
        <v>328</v>
      </c>
      <c r="B216" s="190" t="s">
        <v>20</v>
      </c>
      <c r="C216" s="191">
        <v>40183</v>
      </c>
      <c r="D216" s="193">
        <v>5.33</v>
      </c>
      <c r="E216" s="193">
        <v>5.23</v>
      </c>
      <c r="F216" s="197">
        <v>2010</v>
      </c>
      <c r="G216" s="197"/>
      <c r="H216" s="197"/>
      <c r="I216" s="197"/>
      <c r="J216" s="195"/>
    </row>
    <row r="217" spans="1:10" x14ac:dyDescent="0.3">
      <c r="A217" s="190" t="s">
        <v>329</v>
      </c>
      <c r="B217" s="190" t="s">
        <v>20</v>
      </c>
      <c r="C217" s="191">
        <v>40214</v>
      </c>
      <c r="D217" s="193">
        <v>2.79</v>
      </c>
      <c r="E217" s="193">
        <v>2.93</v>
      </c>
      <c r="F217" s="197">
        <v>2010</v>
      </c>
      <c r="G217" s="197"/>
      <c r="H217" s="197"/>
      <c r="I217" s="197"/>
      <c r="J217" s="195"/>
    </row>
    <row r="218" spans="1:10" x14ac:dyDescent="0.3">
      <c r="A218" s="190" t="s">
        <v>330</v>
      </c>
      <c r="B218" s="190" t="s">
        <v>20</v>
      </c>
      <c r="C218" s="191">
        <v>40245</v>
      </c>
      <c r="D218" s="193">
        <v>3.18</v>
      </c>
      <c r="E218" s="193">
        <v>2.94</v>
      </c>
      <c r="F218" s="197">
        <v>2010</v>
      </c>
      <c r="G218" s="197"/>
      <c r="H218" s="197"/>
      <c r="I218" s="197"/>
      <c r="J218" s="195"/>
    </row>
    <row r="219" spans="1:10" x14ac:dyDescent="0.3">
      <c r="A219" s="190" t="s">
        <v>332</v>
      </c>
      <c r="B219" s="190" t="s">
        <v>20</v>
      </c>
      <c r="C219" s="191">
        <v>40274</v>
      </c>
      <c r="D219" s="193">
        <v>6.31</v>
      </c>
      <c r="E219" s="193">
        <v>5.58</v>
      </c>
      <c r="F219" s="197">
        <v>2010</v>
      </c>
      <c r="G219" s="197"/>
      <c r="H219" s="197"/>
      <c r="I219" s="197"/>
      <c r="J219" s="195"/>
    </row>
    <row r="220" spans="1:10" x14ac:dyDescent="0.3">
      <c r="A220" s="190" t="s">
        <v>333</v>
      </c>
      <c r="B220" s="190" t="s">
        <v>20</v>
      </c>
      <c r="C220" s="191">
        <v>40301</v>
      </c>
      <c r="D220" s="193">
        <v>9.5</v>
      </c>
      <c r="E220" s="193">
        <v>9.06</v>
      </c>
      <c r="F220" s="197">
        <v>2010</v>
      </c>
      <c r="G220" s="197"/>
      <c r="H220" s="197"/>
      <c r="I220" s="197"/>
      <c r="J220" s="195"/>
    </row>
    <row r="221" spans="1:10" x14ac:dyDescent="0.3">
      <c r="A221" s="190" t="s">
        <v>349</v>
      </c>
      <c r="B221" s="190" t="s">
        <v>20</v>
      </c>
      <c r="C221" s="191">
        <v>40665</v>
      </c>
      <c r="D221" s="193">
        <v>8.1999999999999993</v>
      </c>
      <c r="E221" s="193">
        <v>7.35</v>
      </c>
      <c r="F221" s="197">
        <v>2011</v>
      </c>
      <c r="G221" s="197"/>
      <c r="H221" s="197"/>
      <c r="I221" s="197"/>
      <c r="J221" s="195"/>
    </row>
    <row r="222" spans="1:10" x14ac:dyDescent="0.3">
      <c r="A222" s="190" t="s">
        <v>350</v>
      </c>
      <c r="B222" s="190" t="s">
        <v>20</v>
      </c>
      <c r="C222" s="191">
        <v>40694</v>
      </c>
      <c r="D222" s="193">
        <v>12.55</v>
      </c>
      <c r="E222" s="193">
        <v>12.05</v>
      </c>
      <c r="F222" s="197">
        <v>2011</v>
      </c>
      <c r="G222" s="197"/>
      <c r="H222" s="197"/>
      <c r="I222" s="197"/>
      <c r="J222" s="195"/>
    </row>
    <row r="223" spans="1:10" x14ac:dyDescent="0.3">
      <c r="A223" s="190" t="s">
        <v>352</v>
      </c>
      <c r="B223" s="190" t="s">
        <v>20</v>
      </c>
      <c r="C223" s="191">
        <v>40729</v>
      </c>
      <c r="D223" s="193">
        <v>18.98</v>
      </c>
      <c r="E223" s="193">
        <v>17.21</v>
      </c>
      <c r="F223" s="197">
        <v>2011</v>
      </c>
      <c r="G223" s="197"/>
      <c r="H223" s="197"/>
      <c r="I223" s="197"/>
      <c r="J223" s="195"/>
    </row>
    <row r="224" spans="1:10" x14ac:dyDescent="0.3">
      <c r="A224" s="190" t="s">
        <v>354</v>
      </c>
      <c r="B224" s="190" t="s">
        <v>20</v>
      </c>
      <c r="C224" s="191">
        <v>40756</v>
      </c>
      <c r="D224" s="193">
        <v>19.34</v>
      </c>
      <c r="E224" s="193">
        <v>18.36</v>
      </c>
      <c r="F224" s="197">
        <v>2011</v>
      </c>
      <c r="G224" s="197"/>
      <c r="H224" s="197"/>
      <c r="I224" s="197"/>
      <c r="J224" s="195"/>
    </row>
    <row r="225" spans="1:10" x14ac:dyDescent="0.3">
      <c r="A225" s="190" t="s">
        <v>356</v>
      </c>
      <c r="B225" s="190" t="s">
        <v>20</v>
      </c>
      <c r="C225" s="191">
        <v>40785</v>
      </c>
      <c r="D225" s="193">
        <v>20.010000000000002</v>
      </c>
      <c r="E225" s="193">
        <v>19.73</v>
      </c>
      <c r="F225" s="197">
        <v>2011</v>
      </c>
      <c r="G225" s="197"/>
      <c r="H225" s="197"/>
      <c r="I225" s="197"/>
      <c r="J225" s="195"/>
    </row>
    <row r="226" spans="1:10" x14ac:dyDescent="0.3">
      <c r="A226" s="190" t="s">
        <v>357</v>
      </c>
      <c r="B226" s="190" t="s">
        <v>20</v>
      </c>
      <c r="C226" s="191">
        <v>40820</v>
      </c>
      <c r="D226" s="193">
        <v>25.76</v>
      </c>
      <c r="E226" s="193">
        <v>25.9</v>
      </c>
      <c r="F226" s="197">
        <v>2011</v>
      </c>
      <c r="G226" s="197"/>
      <c r="H226" s="197"/>
      <c r="I226" s="197"/>
      <c r="J226" s="195"/>
    </row>
    <row r="227" spans="1:10" x14ac:dyDescent="0.3">
      <c r="A227" s="190" t="s">
        <v>358</v>
      </c>
      <c r="B227" s="190" t="s">
        <v>20</v>
      </c>
      <c r="C227" s="191">
        <v>40854</v>
      </c>
      <c r="D227" s="193">
        <v>13.4</v>
      </c>
      <c r="E227" s="193">
        <v>13.51</v>
      </c>
      <c r="F227" s="197">
        <v>2011</v>
      </c>
      <c r="G227" s="197"/>
      <c r="H227" s="197"/>
      <c r="I227" s="197"/>
      <c r="J227" s="195"/>
    </row>
    <row r="228" spans="1:10" x14ac:dyDescent="0.3">
      <c r="A228" s="190" t="s">
        <v>359</v>
      </c>
      <c r="B228" s="190" t="s">
        <v>20</v>
      </c>
      <c r="C228" s="191">
        <v>40875</v>
      </c>
      <c r="D228" s="193">
        <v>12.53</v>
      </c>
      <c r="E228" s="193">
        <v>12.7</v>
      </c>
      <c r="F228" s="197">
        <v>2011</v>
      </c>
      <c r="G228" s="197"/>
      <c r="H228" s="197"/>
      <c r="I228" s="197"/>
      <c r="J228" s="195"/>
    </row>
    <row r="229" spans="1:10" x14ac:dyDescent="0.3">
      <c r="A229" s="190" t="s">
        <v>360</v>
      </c>
      <c r="B229" s="190" t="s">
        <v>20</v>
      </c>
      <c r="C229" s="191">
        <v>40913</v>
      </c>
      <c r="D229" s="193">
        <v>8.44</v>
      </c>
      <c r="E229" s="193">
        <v>9.19</v>
      </c>
      <c r="F229" s="197">
        <v>2012</v>
      </c>
      <c r="G229" s="197"/>
      <c r="H229" s="197"/>
      <c r="I229" s="197"/>
      <c r="J229" s="195"/>
    </row>
    <row r="230" spans="1:10" x14ac:dyDescent="0.3">
      <c r="A230" s="190" t="s">
        <v>361</v>
      </c>
      <c r="B230" s="190" t="s">
        <v>20</v>
      </c>
      <c r="C230" s="191">
        <v>40940</v>
      </c>
      <c r="D230" s="193">
        <v>6.46</v>
      </c>
      <c r="E230" s="193">
        <v>6.74</v>
      </c>
      <c r="F230" s="197">
        <v>2012</v>
      </c>
      <c r="G230" s="197"/>
      <c r="H230" s="197"/>
      <c r="I230" s="197"/>
      <c r="J230" s="195"/>
    </row>
    <row r="231" spans="1:10" x14ac:dyDescent="0.3">
      <c r="A231" s="190" t="s">
        <v>363</v>
      </c>
      <c r="B231" s="190" t="s">
        <v>20</v>
      </c>
      <c r="C231" s="191">
        <v>40970</v>
      </c>
      <c r="D231" s="193">
        <v>6.44</v>
      </c>
      <c r="E231" s="193">
        <v>6.46</v>
      </c>
      <c r="F231" s="197">
        <v>2012</v>
      </c>
      <c r="G231" s="197"/>
      <c r="H231" s="197"/>
      <c r="I231" s="197"/>
      <c r="J231" s="195"/>
    </row>
    <row r="232" spans="1:10" x14ac:dyDescent="0.3">
      <c r="A232" s="190" t="s">
        <v>365</v>
      </c>
      <c r="B232" s="190" t="s">
        <v>20</v>
      </c>
      <c r="C232" s="191">
        <v>41002</v>
      </c>
      <c r="D232" s="193">
        <v>8.01</v>
      </c>
      <c r="E232" s="193">
        <v>7.97</v>
      </c>
      <c r="F232" s="197">
        <v>2012</v>
      </c>
      <c r="G232" s="197"/>
      <c r="H232" s="197"/>
      <c r="I232" s="197"/>
      <c r="J232" s="195"/>
    </row>
    <row r="233" spans="1:10" x14ac:dyDescent="0.3">
      <c r="A233" s="190" t="s">
        <v>366</v>
      </c>
      <c r="B233" s="190" t="s">
        <v>20</v>
      </c>
      <c r="C233" s="191">
        <v>41030</v>
      </c>
      <c r="D233" s="193">
        <v>10.53</v>
      </c>
      <c r="E233" s="193">
        <v>9.9700000000000006</v>
      </c>
      <c r="F233" s="197">
        <v>2012</v>
      </c>
      <c r="G233" s="197"/>
      <c r="H233" s="197"/>
      <c r="I233" s="197"/>
      <c r="J233" s="195"/>
    </row>
    <row r="234" spans="1:10" x14ac:dyDescent="0.3">
      <c r="A234" s="190" t="s">
        <v>367</v>
      </c>
      <c r="B234" s="190" t="s">
        <v>20</v>
      </c>
      <c r="C234" s="191">
        <v>41058</v>
      </c>
      <c r="D234" s="193">
        <v>13.95</v>
      </c>
      <c r="E234" s="193">
        <v>13.68</v>
      </c>
      <c r="F234" s="197">
        <v>2012</v>
      </c>
      <c r="G234" s="197"/>
      <c r="H234" s="197"/>
      <c r="I234" s="197"/>
      <c r="J234" s="195"/>
    </row>
    <row r="235" spans="1:10" x14ac:dyDescent="0.3">
      <c r="A235" s="190" t="s">
        <v>369</v>
      </c>
      <c r="B235" s="190" t="s">
        <v>20</v>
      </c>
      <c r="C235" s="191">
        <v>41086</v>
      </c>
      <c r="D235" s="193">
        <v>17.829999999999998</v>
      </c>
      <c r="E235" s="193">
        <v>17.28</v>
      </c>
      <c r="F235" s="197">
        <v>2012</v>
      </c>
      <c r="G235" s="197"/>
      <c r="H235" s="197"/>
      <c r="I235" s="197"/>
      <c r="J235" s="195"/>
    </row>
    <row r="236" spans="1:10" x14ac:dyDescent="0.3">
      <c r="A236" s="190" t="s">
        <v>371</v>
      </c>
      <c r="B236" s="190" t="s">
        <v>20</v>
      </c>
      <c r="C236" s="191">
        <v>41120</v>
      </c>
      <c r="D236" s="193">
        <v>19.7</v>
      </c>
      <c r="E236" s="193">
        <v>19.239999999999998</v>
      </c>
      <c r="F236" s="197">
        <v>2012</v>
      </c>
      <c r="G236" s="197"/>
      <c r="H236" s="197"/>
      <c r="I236" s="197"/>
      <c r="J236" s="195"/>
    </row>
    <row r="237" spans="1:10" x14ac:dyDescent="0.3">
      <c r="A237" s="190" t="s">
        <v>373</v>
      </c>
      <c r="B237" s="190" t="s">
        <v>20</v>
      </c>
      <c r="C237" s="191">
        <v>41148</v>
      </c>
      <c r="D237" s="193">
        <v>21.1</v>
      </c>
      <c r="E237" s="192"/>
      <c r="F237" s="197">
        <v>2012</v>
      </c>
      <c r="G237" s="197"/>
      <c r="H237" s="197"/>
      <c r="I237" s="197"/>
      <c r="J237" s="195"/>
    </row>
    <row r="238" spans="1:10" x14ac:dyDescent="0.3">
      <c r="A238" s="190" t="s">
        <v>375</v>
      </c>
      <c r="B238" s="190" t="s">
        <v>20</v>
      </c>
      <c r="C238" s="191">
        <v>41192</v>
      </c>
      <c r="D238" s="193">
        <v>18.14</v>
      </c>
      <c r="E238" s="193">
        <v>17.87</v>
      </c>
      <c r="F238" s="197">
        <v>2012</v>
      </c>
      <c r="G238" s="197"/>
      <c r="H238" s="197"/>
      <c r="I238" s="197"/>
      <c r="J238" s="195"/>
    </row>
    <row r="239" spans="1:10" x14ac:dyDescent="0.3">
      <c r="A239" s="190" t="s">
        <v>376</v>
      </c>
      <c r="B239" s="190" t="s">
        <v>20</v>
      </c>
      <c r="C239" s="191">
        <v>41226</v>
      </c>
      <c r="D239" s="193">
        <v>13.29</v>
      </c>
      <c r="E239" s="193">
        <v>13.28</v>
      </c>
      <c r="F239" s="197">
        <v>2012</v>
      </c>
      <c r="G239" s="197"/>
      <c r="H239" s="197"/>
      <c r="I239" s="197"/>
      <c r="J239" s="195"/>
    </row>
    <row r="240" spans="1:10" x14ac:dyDescent="0.3">
      <c r="A240" s="190" t="s">
        <v>377</v>
      </c>
      <c r="B240" s="190" t="s">
        <v>20</v>
      </c>
      <c r="C240" s="191">
        <v>41246</v>
      </c>
      <c r="D240" s="193">
        <v>10.27</v>
      </c>
      <c r="E240" s="193">
        <v>10.32</v>
      </c>
      <c r="F240" s="197">
        <v>2012</v>
      </c>
      <c r="G240" s="197"/>
      <c r="H240" s="197"/>
      <c r="I240" s="197"/>
      <c r="J240" s="195"/>
    </row>
    <row r="241" spans="1:10" x14ac:dyDescent="0.3">
      <c r="A241" s="190" t="s">
        <v>378</v>
      </c>
      <c r="B241" s="190" t="s">
        <v>20</v>
      </c>
      <c r="C241" s="191">
        <v>41283</v>
      </c>
      <c r="D241" s="193">
        <v>6.04</v>
      </c>
      <c r="E241" s="193">
        <v>6.58</v>
      </c>
      <c r="F241" s="197">
        <v>2013</v>
      </c>
      <c r="G241" s="197"/>
      <c r="H241" s="197"/>
      <c r="I241" s="197"/>
      <c r="J241" s="195"/>
    </row>
    <row r="242" spans="1:10" x14ac:dyDescent="0.3">
      <c r="A242" s="190" t="s">
        <v>379</v>
      </c>
      <c r="B242" s="190" t="s">
        <v>20</v>
      </c>
      <c r="C242" s="191">
        <v>41302</v>
      </c>
      <c r="D242" s="193">
        <v>4.8499999999999996</v>
      </c>
      <c r="E242" s="193">
        <v>5.28</v>
      </c>
      <c r="F242" s="197">
        <v>2013</v>
      </c>
      <c r="G242" s="197"/>
      <c r="H242" s="197"/>
      <c r="I242" s="197"/>
      <c r="J242" s="195"/>
    </row>
    <row r="243" spans="1:10" x14ac:dyDescent="0.3">
      <c r="A243" s="190" t="s">
        <v>381</v>
      </c>
      <c r="B243" s="190" t="s">
        <v>20</v>
      </c>
      <c r="C243" s="191">
        <v>41338</v>
      </c>
      <c r="D243" s="193">
        <v>3.89</v>
      </c>
      <c r="E243" s="193">
        <v>4.03</v>
      </c>
      <c r="F243" s="197">
        <v>2013</v>
      </c>
      <c r="G243" s="197"/>
      <c r="H243" s="197"/>
      <c r="I243" s="197"/>
      <c r="J243" s="195"/>
    </row>
    <row r="244" spans="1:10" x14ac:dyDescent="0.3">
      <c r="A244" s="190" t="s">
        <v>382</v>
      </c>
      <c r="B244" s="190" t="s">
        <v>20</v>
      </c>
      <c r="C244" s="191">
        <v>41365</v>
      </c>
      <c r="D244" s="193">
        <v>4.3600000000000003</v>
      </c>
      <c r="E244" s="193">
        <v>4.4000000000000004</v>
      </c>
      <c r="F244" s="197">
        <v>2013</v>
      </c>
      <c r="G244" s="197"/>
      <c r="H244" s="197"/>
      <c r="I244" s="197"/>
      <c r="J244" s="195"/>
    </row>
    <row r="245" spans="1:10" x14ac:dyDescent="0.3">
      <c r="A245" s="190" t="s">
        <v>383</v>
      </c>
      <c r="B245" s="190" t="s">
        <v>20</v>
      </c>
      <c r="C245" s="191">
        <v>41393</v>
      </c>
      <c r="D245" s="193">
        <v>7.84</v>
      </c>
      <c r="E245" s="193">
        <v>7.69</v>
      </c>
      <c r="F245" s="197">
        <v>2013</v>
      </c>
      <c r="G245" s="197"/>
      <c r="H245" s="197"/>
      <c r="I245" s="197"/>
      <c r="J245" s="195"/>
    </row>
    <row r="246" spans="1:10" x14ac:dyDescent="0.3">
      <c r="A246" s="190" t="s">
        <v>384</v>
      </c>
      <c r="B246" s="190" t="s">
        <v>20</v>
      </c>
      <c r="C246" s="191">
        <v>41428</v>
      </c>
      <c r="D246" s="193">
        <v>13.23</v>
      </c>
      <c r="E246" s="193">
        <v>11.9</v>
      </c>
      <c r="F246" s="197">
        <v>2013</v>
      </c>
      <c r="G246" s="197"/>
      <c r="H246" s="197"/>
      <c r="I246" s="197"/>
      <c r="J246" s="195"/>
    </row>
    <row r="247" spans="1:10" x14ac:dyDescent="0.3">
      <c r="A247" s="190" t="s">
        <v>386</v>
      </c>
      <c r="B247" s="190" t="s">
        <v>20</v>
      </c>
      <c r="C247" s="191">
        <v>41456</v>
      </c>
      <c r="D247" s="193">
        <v>17.809999999999999</v>
      </c>
      <c r="E247" s="193">
        <v>16.84</v>
      </c>
      <c r="F247" s="197">
        <v>2013</v>
      </c>
      <c r="G247" s="197"/>
      <c r="H247" s="197"/>
      <c r="I247" s="197"/>
      <c r="J247" s="195"/>
    </row>
    <row r="248" spans="1:10" x14ac:dyDescent="0.3">
      <c r="A248" s="190" t="s">
        <v>388</v>
      </c>
      <c r="B248" s="190" t="s">
        <v>20</v>
      </c>
      <c r="C248" s="191">
        <v>41484</v>
      </c>
      <c r="D248" s="193">
        <v>19.88</v>
      </c>
      <c r="E248" s="192"/>
      <c r="F248" s="197">
        <v>2013</v>
      </c>
      <c r="G248" s="197"/>
      <c r="H248" s="197"/>
      <c r="I248" s="197"/>
      <c r="J248" s="195"/>
    </row>
    <row r="249" spans="1:10" x14ac:dyDescent="0.3">
      <c r="A249" s="190" t="s">
        <v>390</v>
      </c>
      <c r="B249" s="190" t="s">
        <v>20</v>
      </c>
      <c r="C249" s="191">
        <v>41513</v>
      </c>
      <c r="D249" s="193">
        <v>20.059999999999999</v>
      </c>
      <c r="E249" s="193">
        <v>19.53</v>
      </c>
      <c r="F249" s="197">
        <v>2013</v>
      </c>
      <c r="G249" s="197"/>
      <c r="H249" s="197"/>
      <c r="I249" s="197"/>
      <c r="J249" s="195"/>
    </row>
    <row r="250" spans="1:10" x14ac:dyDescent="0.3">
      <c r="A250" s="190" t="s">
        <v>392</v>
      </c>
      <c r="B250" s="190" t="s">
        <v>20</v>
      </c>
      <c r="C250" s="191">
        <v>41548</v>
      </c>
      <c r="D250" s="193">
        <v>17.84</v>
      </c>
      <c r="E250" s="193">
        <v>17.7</v>
      </c>
      <c r="F250" s="197">
        <v>2013</v>
      </c>
      <c r="G250" s="197"/>
      <c r="H250" s="197"/>
      <c r="I250" s="197"/>
      <c r="J250" s="195"/>
    </row>
    <row r="251" spans="1:10" x14ac:dyDescent="0.3">
      <c r="A251" s="190" t="s">
        <v>393</v>
      </c>
      <c r="B251" s="190" t="s">
        <v>20</v>
      </c>
      <c r="C251" s="191">
        <v>41582</v>
      </c>
      <c r="D251" s="193">
        <v>15.15</v>
      </c>
      <c r="E251" s="193">
        <v>15.23</v>
      </c>
      <c r="F251" s="197">
        <v>2013</v>
      </c>
      <c r="G251" s="197"/>
      <c r="H251" s="197"/>
      <c r="I251" s="197"/>
      <c r="J251" s="195"/>
    </row>
    <row r="252" spans="1:10" x14ac:dyDescent="0.3">
      <c r="A252" s="190" t="s">
        <v>394</v>
      </c>
      <c r="B252" s="190" t="s">
        <v>20</v>
      </c>
      <c r="C252" s="191">
        <v>41610</v>
      </c>
      <c r="D252" s="193">
        <v>10.039999999999999</v>
      </c>
      <c r="E252" s="193">
        <v>9.9700000000000006</v>
      </c>
      <c r="F252" s="197">
        <v>2013</v>
      </c>
      <c r="G252" s="197"/>
      <c r="H252" s="197"/>
      <c r="I252" s="197"/>
      <c r="J252" s="195"/>
    </row>
    <row r="253" spans="1:10" x14ac:dyDescent="0.3">
      <c r="A253" s="190" t="s">
        <v>395</v>
      </c>
      <c r="B253" s="190" t="s">
        <v>20</v>
      </c>
      <c r="C253" s="191">
        <v>41652</v>
      </c>
      <c r="D253" s="193">
        <v>4.4400000000000004</v>
      </c>
      <c r="E253" s="193">
        <v>4.51</v>
      </c>
      <c r="F253" s="197">
        <v>2014</v>
      </c>
      <c r="G253" s="197"/>
      <c r="H253" s="197"/>
      <c r="I253" s="197"/>
      <c r="J253" s="195"/>
    </row>
    <row r="254" spans="1:10" x14ac:dyDescent="0.3">
      <c r="A254" s="190" t="s">
        <v>396</v>
      </c>
      <c r="B254" s="190" t="s">
        <v>20</v>
      </c>
      <c r="C254" s="191">
        <v>41673</v>
      </c>
      <c r="D254" s="193">
        <v>2.84</v>
      </c>
      <c r="E254" s="193">
        <v>3.23</v>
      </c>
      <c r="F254" s="197">
        <v>2014</v>
      </c>
      <c r="G254" s="197"/>
      <c r="H254" s="197"/>
      <c r="I254" s="197"/>
      <c r="J254" s="195"/>
    </row>
    <row r="255" spans="1:10" x14ac:dyDescent="0.3">
      <c r="A255" s="190" t="s">
        <v>398</v>
      </c>
      <c r="B255" s="190" t="s">
        <v>20</v>
      </c>
      <c r="C255" s="191">
        <v>41705</v>
      </c>
      <c r="D255" s="193">
        <v>2.16</v>
      </c>
      <c r="E255" s="193">
        <v>2.25</v>
      </c>
      <c r="F255" s="197">
        <v>2014</v>
      </c>
      <c r="G255" s="197"/>
      <c r="H255" s="197"/>
      <c r="I255" s="197"/>
      <c r="J255" s="195"/>
    </row>
    <row r="256" spans="1:10" x14ac:dyDescent="0.3">
      <c r="A256" s="190" t="s">
        <v>399</v>
      </c>
      <c r="B256" s="190" t="s">
        <v>20</v>
      </c>
      <c r="C256" s="191">
        <v>41736</v>
      </c>
      <c r="D256" s="193">
        <v>3.94</v>
      </c>
      <c r="E256" s="193">
        <v>3.98</v>
      </c>
      <c r="F256" s="197">
        <v>2014</v>
      </c>
      <c r="G256" s="197"/>
      <c r="H256" s="197"/>
      <c r="I256" s="197"/>
      <c r="J256" s="195"/>
    </row>
    <row r="257" spans="1:10" x14ac:dyDescent="0.3">
      <c r="A257" s="190" t="s">
        <v>400</v>
      </c>
      <c r="B257" s="190" t="s">
        <v>20</v>
      </c>
      <c r="C257" s="191">
        <v>41765</v>
      </c>
      <c r="D257" s="193">
        <v>7.59</v>
      </c>
      <c r="E257" s="193">
        <v>7.47</v>
      </c>
      <c r="F257" s="197">
        <v>2014</v>
      </c>
      <c r="G257" s="197"/>
      <c r="H257" s="197"/>
      <c r="I257" s="197"/>
      <c r="J257" s="195"/>
    </row>
    <row r="258" spans="1:10" x14ac:dyDescent="0.3">
      <c r="A258" s="190" t="s">
        <v>401</v>
      </c>
      <c r="B258" s="190" t="s">
        <v>20</v>
      </c>
      <c r="C258" s="191">
        <v>41792</v>
      </c>
      <c r="D258" s="193">
        <v>12.56</v>
      </c>
      <c r="E258" s="193">
        <v>12.32</v>
      </c>
      <c r="F258" s="197">
        <v>2014</v>
      </c>
      <c r="G258" s="197"/>
      <c r="H258" s="197"/>
      <c r="I258" s="197"/>
      <c r="J258" s="195"/>
    </row>
    <row r="259" spans="1:10" x14ac:dyDescent="0.3">
      <c r="A259" s="190" t="s">
        <v>403</v>
      </c>
      <c r="B259" s="190" t="s">
        <v>20</v>
      </c>
      <c r="C259" s="191">
        <v>41820</v>
      </c>
      <c r="D259" s="193">
        <v>17.98</v>
      </c>
      <c r="E259" s="193">
        <v>17.079999999999998</v>
      </c>
      <c r="F259" s="197">
        <v>2014</v>
      </c>
      <c r="G259" s="197"/>
      <c r="H259" s="197"/>
      <c r="I259" s="197"/>
      <c r="J259" s="195"/>
    </row>
    <row r="260" spans="1:10" x14ac:dyDescent="0.3">
      <c r="A260" s="190" t="s">
        <v>405</v>
      </c>
      <c r="B260" s="190" t="s">
        <v>20</v>
      </c>
      <c r="C260" s="191">
        <v>41855</v>
      </c>
      <c r="D260" s="193">
        <v>19.21</v>
      </c>
      <c r="E260" s="193">
        <v>18.920000000000002</v>
      </c>
      <c r="F260" s="197">
        <v>2014</v>
      </c>
      <c r="G260" s="197"/>
      <c r="H260" s="197"/>
      <c r="I260" s="197"/>
      <c r="J260" s="195"/>
    </row>
    <row r="261" spans="1:10" x14ac:dyDescent="0.3">
      <c r="A261" s="190" t="s">
        <v>407</v>
      </c>
      <c r="B261" s="190" t="s">
        <v>20</v>
      </c>
      <c r="C261" s="191">
        <v>41886</v>
      </c>
      <c r="D261" s="193">
        <v>20.350000000000001</v>
      </c>
      <c r="E261" s="193">
        <v>19.37</v>
      </c>
      <c r="F261" s="197">
        <v>2014</v>
      </c>
      <c r="G261" s="197"/>
      <c r="H261" s="197"/>
      <c r="I261" s="197"/>
      <c r="J261" s="195"/>
    </row>
    <row r="262" spans="1:10" x14ac:dyDescent="0.3">
      <c r="A262" s="190" t="s">
        <v>409</v>
      </c>
      <c r="B262" s="190" t="s">
        <v>20</v>
      </c>
      <c r="C262" s="191">
        <v>41912</v>
      </c>
      <c r="D262" s="193">
        <v>19.55</v>
      </c>
      <c r="E262" s="193">
        <v>19.489999999999998</v>
      </c>
      <c r="F262" s="197">
        <v>2014</v>
      </c>
      <c r="G262" s="197"/>
      <c r="H262" s="197"/>
      <c r="I262" s="197"/>
      <c r="J262" s="195"/>
    </row>
    <row r="263" spans="1:10" x14ac:dyDescent="0.3">
      <c r="A263" s="190" t="s">
        <v>410</v>
      </c>
      <c r="B263" s="190" t="s">
        <v>20</v>
      </c>
      <c r="C263" s="191">
        <v>41949</v>
      </c>
      <c r="D263" s="193">
        <v>14.9</v>
      </c>
      <c r="E263" s="193">
        <v>14.86</v>
      </c>
      <c r="F263" s="197">
        <v>2014</v>
      </c>
      <c r="G263" s="197"/>
      <c r="H263" s="197"/>
      <c r="I263" s="197"/>
      <c r="J263" s="195"/>
    </row>
    <row r="264" spans="1:10" x14ac:dyDescent="0.3">
      <c r="A264" s="190" t="s">
        <v>411</v>
      </c>
      <c r="B264" s="190" t="s">
        <v>20</v>
      </c>
      <c r="C264" s="191">
        <v>41988</v>
      </c>
      <c r="D264" s="193">
        <v>8.32</v>
      </c>
      <c r="E264" s="193">
        <v>8.52</v>
      </c>
      <c r="F264" s="197">
        <v>2014</v>
      </c>
      <c r="G264" s="197"/>
      <c r="H264" s="197"/>
      <c r="I264" s="197"/>
      <c r="J264" s="195"/>
    </row>
    <row r="265" spans="1:10" x14ac:dyDescent="0.3">
      <c r="A265" s="190" t="s">
        <v>412</v>
      </c>
      <c r="B265" s="190" t="s">
        <v>20</v>
      </c>
      <c r="C265" s="191">
        <v>42016</v>
      </c>
      <c r="D265" s="193">
        <v>5.2</v>
      </c>
      <c r="E265" s="193">
        <v>5.36</v>
      </c>
      <c r="F265" s="197">
        <v>2015</v>
      </c>
      <c r="G265" s="197"/>
      <c r="H265" s="197"/>
      <c r="I265" s="197"/>
      <c r="J265" s="195"/>
    </row>
    <row r="266" spans="1:10" x14ac:dyDescent="0.3">
      <c r="A266" s="190" t="s">
        <v>413</v>
      </c>
      <c r="B266" s="190" t="s">
        <v>20</v>
      </c>
      <c r="C266" s="191">
        <v>42039</v>
      </c>
      <c r="D266" s="193">
        <v>2.94</v>
      </c>
      <c r="E266" s="193">
        <v>3.14</v>
      </c>
      <c r="F266" s="197">
        <v>2015</v>
      </c>
      <c r="G266" s="197"/>
      <c r="H266" s="197"/>
      <c r="I266" s="197"/>
      <c r="J266" s="195"/>
    </row>
    <row r="267" spans="1:10" x14ac:dyDescent="0.3">
      <c r="A267" s="190" t="s">
        <v>414</v>
      </c>
      <c r="B267" s="190" t="s">
        <v>20</v>
      </c>
      <c r="C267" s="191">
        <v>42074</v>
      </c>
      <c r="D267" s="193">
        <v>0.57999999999999996</v>
      </c>
      <c r="E267" s="193">
        <v>0.77</v>
      </c>
      <c r="F267" s="197">
        <v>2015</v>
      </c>
      <c r="G267" s="197"/>
      <c r="H267" s="197"/>
      <c r="I267" s="197"/>
      <c r="J267" s="195"/>
    </row>
    <row r="268" spans="1:10" x14ac:dyDescent="0.3">
      <c r="A268" s="190" t="s">
        <v>416</v>
      </c>
      <c r="B268" s="190" t="s">
        <v>20</v>
      </c>
      <c r="C268" s="191">
        <v>42096</v>
      </c>
      <c r="D268" s="193">
        <v>3.1</v>
      </c>
      <c r="E268" s="193">
        <v>2.48</v>
      </c>
      <c r="F268" s="197">
        <v>2015</v>
      </c>
      <c r="G268" s="197"/>
      <c r="H268" s="197"/>
      <c r="I268" s="197"/>
      <c r="J268" s="195"/>
    </row>
    <row r="269" spans="1:10" x14ac:dyDescent="0.3">
      <c r="A269" s="190" t="s">
        <v>417</v>
      </c>
      <c r="B269" s="190" t="s">
        <v>20</v>
      </c>
      <c r="C269" s="191">
        <v>42124</v>
      </c>
      <c r="D269" s="193">
        <v>5.92</v>
      </c>
      <c r="E269" s="193">
        <v>5.57</v>
      </c>
      <c r="F269" s="197">
        <v>2015</v>
      </c>
      <c r="G269" s="197"/>
      <c r="H269" s="197"/>
      <c r="I269" s="197"/>
      <c r="J269" s="195"/>
    </row>
    <row r="270" spans="1:10" x14ac:dyDescent="0.3">
      <c r="A270" s="190" t="s">
        <v>418</v>
      </c>
      <c r="B270" s="190" t="s">
        <v>20</v>
      </c>
      <c r="C270" s="191">
        <v>42152</v>
      </c>
      <c r="D270" s="193">
        <v>11.12</v>
      </c>
      <c r="E270" s="193">
        <v>8.57</v>
      </c>
      <c r="F270" s="197">
        <v>2015</v>
      </c>
      <c r="G270" s="197"/>
      <c r="H270" s="197"/>
      <c r="I270" s="197"/>
      <c r="J270" s="195"/>
    </row>
    <row r="271" spans="1:10" x14ac:dyDescent="0.3">
      <c r="A271" s="190" t="s">
        <v>420</v>
      </c>
      <c r="B271" s="190" t="s">
        <v>20</v>
      </c>
      <c r="C271" s="191">
        <v>42191</v>
      </c>
      <c r="D271" s="193">
        <v>17.82</v>
      </c>
      <c r="E271" s="193">
        <v>17.54</v>
      </c>
      <c r="F271" s="197">
        <v>2015</v>
      </c>
      <c r="G271" s="197"/>
      <c r="H271" s="197"/>
      <c r="I271" s="197"/>
      <c r="J271" s="195"/>
    </row>
    <row r="272" spans="1:10" x14ac:dyDescent="0.3">
      <c r="A272" s="190" t="s">
        <v>422</v>
      </c>
      <c r="B272" s="190" t="s">
        <v>20</v>
      </c>
      <c r="C272" s="191">
        <v>42222</v>
      </c>
      <c r="D272" s="193">
        <v>19.59</v>
      </c>
      <c r="E272" s="193">
        <v>19.04</v>
      </c>
      <c r="F272" s="197">
        <v>2015</v>
      </c>
      <c r="G272" s="197"/>
      <c r="H272" s="197"/>
      <c r="I272" s="197"/>
      <c r="J272" s="195"/>
    </row>
    <row r="273" spans="1:10" x14ac:dyDescent="0.3">
      <c r="A273" s="190" t="s">
        <v>424</v>
      </c>
      <c r="B273" s="190" t="s">
        <v>20</v>
      </c>
      <c r="C273" s="191">
        <v>42247</v>
      </c>
      <c r="D273" s="193">
        <v>21.47</v>
      </c>
      <c r="E273" s="193">
        <v>21.17</v>
      </c>
      <c r="F273" s="197">
        <v>2015</v>
      </c>
      <c r="G273" s="197"/>
      <c r="H273" s="197"/>
      <c r="I273" s="197"/>
      <c r="J273" s="195"/>
    </row>
    <row r="274" spans="1:10" x14ac:dyDescent="0.3">
      <c r="A274" s="190" t="s">
        <v>426</v>
      </c>
      <c r="B274" s="190" t="s">
        <v>20</v>
      </c>
      <c r="C274" s="191">
        <v>42284</v>
      </c>
      <c r="D274" s="193">
        <v>18.399999999999999</v>
      </c>
      <c r="E274" s="193">
        <v>18.23</v>
      </c>
      <c r="F274" s="197">
        <v>2015</v>
      </c>
      <c r="G274" s="197"/>
      <c r="H274" s="197"/>
      <c r="I274" s="197"/>
      <c r="J274" s="195"/>
    </row>
    <row r="275" spans="1:10" x14ac:dyDescent="0.3">
      <c r="A275" s="190" t="s">
        <v>427</v>
      </c>
      <c r="B275" s="190" t="s">
        <v>20</v>
      </c>
      <c r="C275" s="191">
        <v>42314</v>
      </c>
      <c r="D275" s="193">
        <v>15.5</v>
      </c>
      <c r="E275" s="193">
        <v>15.41</v>
      </c>
      <c r="F275" s="197">
        <v>2015</v>
      </c>
      <c r="G275" s="197"/>
      <c r="H275" s="197"/>
      <c r="I275" s="197"/>
      <c r="J275" s="195"/>
    </row>
    <row r="276" spans="1:10" x14ac:dyDescent="0.3">
      <c r="A276" s="190" t="s">
        <v>428</v>
      </c>
      <c r="B276" s="190" t="s">
        <v>20</v>
      </c>
      <c r="C276" s="191">
        <v>42354</v>
      </c>
      <c r="D276" s="193">
        <v>11.39</v>
      </c>
      <c r="E276" s="193">
        <v>11.39</v>
      </c>
      <c r="F276" s="197">
        <v>2015</v>
      </c>
      <c r="G276" s="197"/>
      <c r="H276" s="197"/>
      <c r="I276" s="197"/>
      <c r="J276" s="195"/>
    </row>
    <row r="277" spans="1:10" x14ac:dyDescent="0.3">
      <c r="A277" s="190" t="s">
        <v>429</v>
      </c>
      <c r="B277" s="190" t="s">
        <v>20</v>
      </c>
      <c r="C277" s="191">
        <v>42376</v>
      </c>
      <c r="D277" s="193">
        <v>8.7799999999999994</v>
      </c>
      <c r="E277" s="193">
        <v>8.83</v>
      </c>
      <c r="F277" s="197">
        <v>2016</v>
      </c>
      <c r="G277" s="197"/>
      <c r="H277" s="197"/>
      <c r="I277" s="197"/>
      <c r="J277" s="195"/>
    </row>
    <row r="278" spans="1:10" x14ac:dyDescent="0.3">
      <c r="A278" s="190" t="s">
        <v>430</v>
      </c>
      <c r="B278" s="190" t="s">
        <v>20</v>
      </c>
      <c r="C278" s="191">
        <v>42404</v>
      </c>
      <c r="D278" s="193">
        <v>5.73</v>
      </c>
      <c r="E278" s="193">
        <v>5.99</v>
      </c>
      <c r="F278" s="197">
        <v>2016</v>
      </c>
      <c r="G278" s="197"/>
      <c r="H278" s="197"/>
      <c r="I278" s="197"/>
      <c r="J278" s="195"/>
    </row>
    <row r="279" spans="1:10" x14ac:dyDescent="0.3">
      <c r="A279" s="190" t="s">
        <v>432</v>
      </c>
      <c r="B279" s="190" t="s">
        <v>20</v>
      </c>
      <c r="C279" s="191">
        <v>42439</v>
      </c>
      <c r="D279" s="193">
        <v>5.52</v>
      </c>
      <c r="E279" s="193">
        <v>5.18</v>
      </c>
      <c r="F279" s="197">
        <v>2016</v>
      </c>
      <c r="G279" s="197"/>
      <c r="H279" s="197"/>
      <c r="I279" s="197"/>
      <c r="J279" s="195"/>
    </row>
    <row r="280" spans="1:10" x14ac:dyDescent="0.3">
      <c r="A280" s="190" t="s">
        <v>434</v>
      </c>
      <c r="B280" s="190" t="s">
        <v>20</v>
      </c>
      <c r="C280" s="191">
        <v>42473</v>
      </c>
      <c r="D280" s="193">
        <v>6.48</v>
      </c>
      <c r="E280" s="193">
        <v>6.44</v>
      </c>
      <c r="F280" s="197">
        <v>2016</v>
      </c>
      <c r="G280" s="197"/>
      <c r="H280" s="197"/>
      <c r="I280" s="197"/>
      <c r="J280" s="195"/>
    </row>
    <row r="281" spans="1:10" x14ac:dyDescent="0.3">
      <c r="A281" s="190" t="s">
        <v>435</v>
      </c>
      <c r="B281" s="190" t="s">
        <v>20</v>
      </c>
      <c r="C281" s="191">
        <v>42501</v>
      </c>
      <c r="D281" s="193">
        <v>9.33</v>
      </c>
      <c r="E281" s="193">
        <v>9.34</v>
      </c>
      <c r="F281" s="197">
        <v>2016</v>
      </c>
      <c r="G281" s="197"/>
      <c r="H281" s="197"/>
      <c r="I281" s="197"/>
      <c r="J281" s="195"/>
    </row>
    <row r="282" spans="1:10" x14ac:dyDescent="0.3">
      <c r="A282" s="190" t="s">
        <v>436</v>
      </c>
      <c r="B282" s="190" t="s">
        <v>20</v>
      </c>
      <c r="C282" s="191">
        <v>42529</v>
      </c>
      <c r="D282" s="193">
        <v>14.15</v>
      </c>
      <c r="E282" s="193">
        <v>13.7</v>
      </c>
      <c r="F282" s="197">
        <v>2016</v>
      </c>
      <c r="G282" s="197"/>
      <c r="H282" s="197"/>
      <c r="I282" s="197"/>
      <c r="J282" s="195"/>
    </row>
    <row r="283" spans="1:10" x14ac:dyDescent="0.3">
      <c r="A283" s="190" t="s">
        <v>438</v>
      </c>
      <c r="B283" s="190" t="s">
        <v>20</v>
      </c>
      <c r="C283" s="191">
        <v>42556</v>
      </c>
      <c r="D283" s="193">
        <v>18.2</v>
      </c>
      <c r="E283" s="193">
        <v>17.23</v>
      </c>
      <c r="F283" s="197">
        <v>2016</v>
      </c>
      <c r="G283" s="197"/>
      <c r="H283" s="197"/>
      <c r="I283" s="197"/>
      <c r="J283" s="195"/>
    </row>
    <row r="284" spans="1:10" x14ac:dyDescent="0.3">
      <c r="A284" s="190" t="s">
        <v>440</v>
      </c>
      <c r="B284" s="190" t="s">
        <v>20</v>
      </c>
      <c r="C284" s="191">
        <v>42583</v>
      </c>
      <c r="D284" s="193">
        <v>19.47</v>
      </c>
      <c r="E284" s="193">
        <v>19.07</v>
      </c>
      <c r="F284" s="197">
        <v>2016</v>
      </c>
      <c r="G284" s="197"/>
      <c r="H284" s="197"/>
      <c r="I284" s="197"/>
      <c r="J284" s="195"/>
    </row>
    <row r="285" spans="1:10" x14ac:dyDescent="0.3">
      <c r="A285" s="190" t="s">
        <v>442</v>
      </c>
      <c r="B285" s="190" t="s">
        <v>20</v>
      </c>
      <c r="C285" s="191">
        <v>42611</v>
      </c>
      <c r="D285" s="193">
        <v>20.88</v>
      </c>
      <c r="E285" s="193">
        <v>20.37</v>
      </c>
      <c r="F285" s="197">
        <v>2016</v>
      </c>
      <c r="G285" s="197"/>
      <c r="H285" s="197"/>
      <c r="I285" s="197"/>
      <c r="J285" s="195"/>
    </row>
    <row r="286" spans="1:10" x14ac:dyDescent="0.3">
      <c r="A286" s="190" t="s">
        <v>444</v>
      </c>
      <c r="B286" s="190" t="s">
        <v>20</v>
      </c>
      <c r="C286" s="191">
        <v>42646</v>
      </c>
      <c r="D286" s="193">
        <v>19.5</v>
      </c>
      <c r="E286" s="193">
        <v>19.5</v>
      </c>
      <c r="F286" s="197">
        <v>2016</v>
      </c>
      <c r="G286" s="197"/>
      <c r="H286" s="197"/>
      <c r="I286" s="197"/>
      <c r="J286" s="195"/>
    </row>
    <row r="287" spans="1:10" x14ac:dyDescent="0.3">
      <c r="A287" s="190" t="s">
        <v>445</v>
      </c>
      <c r="B287" s="190" t="s">
        <v>20</v>
      </c>
      <c r="C287" s="191">
        <v>42681</v>
      </c>
      <c r="D287" s="193">
        <v>15.21</v>
      </c>
      <c r="E287" s="193">
        <v>15.23</v>
      </c>
      <c r="F287" s="197">
        <v>2016</v>
      </c>
      <c r="G287" s="197"/>
      <c r="H287" s="197"/>
      <c r="I287" s="197"/>
      <c r="J287" s="195"/>
    </row>
    <row r="288" spans="1:10" x14ac:dyDescent="0.3">
      <c r="A288" s="190" t="s">
        <v>446</v>
      </c>
      <c r="B288" s="190" t="s">
        <v>20</v>
      </c>
      <c r="C288" s="191">
        <v>42704</v>
      </c>
      <c r="D288" s="193">
        <v>11.61</v>
      </c>
      <c r="E288" s="193">
        <v>11.62</v>
      </c>
      <c r="F288" s="197">
        <v>2016</v>
      </c>
      <c r="G288" s="197"/>
      <c r="H288" s="197"/>
      <c r="I288" s="197"/>
      <c r="J288" s="195"/>
    </row>
    <row r="289" spans="1:10" x14ac:dyDescent="0.3">
      <c r="A289" s="190" t="s">
        <v>447</v>
      </c>
      <c r="B289" s="190" t="s">
        <v>20</v>
      </c>
      <c r="C289" s="191">
        <v>42739</v>
      </c>
      <c r="D289" s="193">
        <v>6.88</v>
      </c>
      <c r="E289" s="193">
        <v>6.87</v>
      </c>
      <c r="F289" s="197">
        <v>2017</v>
      </c>
      <c r="G289" s="197"/>
      <c r="H289" s="197"/>
      <c r="I289" s="197"/>
      <c r="J289" s="195"/>
    </row>
    <row r="290" spans="1:10" x14ac:dyDescent="0.3">
      <c r="A290" s="190" t="s">
        <v>448</v>
      </c>
      <c r="B290" s="190" t="s">
        <v>20</v>
      </c>
      <c r="C290" s="191">
        <v>42773</v>
      </c>
      <c r="D290" s="193">
        <v>4.3899999999999997</v>
      </c>
      <c r="E290" s="193">
        <v>4.58</v>
      </c>
      <c r="F290" s="197">
        <v>2017</v>
      </c>
      <c r="G290" s="197"/>
      <c r="H290" s="197"/>
      <c r="I290" s="197"/>
      <c r="J290" s="195"/>
    </row>
    <row r="291" spans="1:10" x14ac:dyDescent="0.3">
      <c r="A291" s="190" t="s">
        <v>450</v>
      </c>
      <c r="B291" s="190" t="s">
        <v>20</v>
      </c>
      <c r="C291" s="191">
        <v>42800</v>
      </c>
      <c r="D291" s="192"/>
      <c r="E291" s="192"/>
      <c r="F291" s="197">
        <v>2017</v>
      </c>
      <c r="G291" s="197"/>
      <c r="H291" s="197"/>
      <c r="I291" s="197"/>
      <c r="J291" s="195"/>
    </row>
    <row r="292" spans="1:10" x14ac:dyDescent="0.3">
      <c r="A292" s="190" t="s">
        <v>451</v>
      </c>
      <c r="B292" s="190" t="s">
        <v>20</v>
      </c>
      <c r="C292" s="191">
        <v>42828</v>
      </c>
      <c r="D292" s="192"/>
      <c r="E292" s="192"/>
      <c r="F292" s="197">
        <v>2017</v>
      </c>
      <c r="G292" s="197"/>
      <c r="H292" s="197"/>
      <c r="I292" s="197"/>
      <c r="J292" s="195"/>
    </row>
    <row r="293" spans="1:10" x14ac:dyDescent="0.3">
      <c r="A293" s="190" t="s">
        <v>452</v>
      </c>
      <c r="B293" s="190" t="s">
        <v>20</v>
      </c>
      <c r="C293" s="191">
        <v>42856</v>
      </c>
      <c r="D293" s="193">
        <v>7.82</v>
      </c>
      <c r="E293" s="193">
        <v>7.77</v>
      </c>
      <c r="F293" s="197">
        <v>2017</v>
      </c>
      <c r="G293" s="197"/>
      <c r="H293" s="197"/>
      <c r="I293" s="197"/>
      <c r="J293" s="195"/>
    </row>
    <row r="294" spans="1:10" x14ac:dyDescent="0.3">
      <c r="A294" s="190" t="s">
        <v>453</v>
      </c>
      <c r="B294" s="190" t="s">
        <v>20</v>
      </c>
      <c r="C294" s="191">
        <v>42891</v>
      </c>
      <c r="D294" s="193">
        <v>13.12</v>
      </c>
      <c r="E294" s="193">
        <v>12.74</v>
      </c>
      <c r="F294" s="197">
        <v>2017</v>
      </c>
      <c r="G294" s="197"/>
      <c r="H294" s="197"/>
      <c r="I294" s="197"/>
      <c r="J294" s="195"/>
    </row>
    <row r="295" spans="1:10" x14ac:dyDescent="0.3">
      <c r="A295" s="190" t="s">
        <v>455</v>
      </c>
      <c r="B295" s="190" t="s">
        <v>20</v>
      </c>
      <c r="C295" s="191">
        <v>42921</v>
      </c>
      <c r="D295" s="193">
        <v>16.87</v>
      </c>
      <c r="E295" s="193">
        <v>15.6</v>
      </c>
      <c r="F295" s="197">
        <v>2017</v>
      </c>
      <c r="G295" s="197"/>
      <c r="H295" s="197"/>
      <c r="I295" s="197"/>
      <c r="J295" s="195"/>
    </row>
    <row r="296" spans="1:10" x14ac:dyDescent="0.3">
      <c r="A296" s="190" t="s">
        <v>457</v>
      </c>
      <c r="B296" s="190" t="s">
        <v>20</v>
      </c>
      <c r="C296" s="191">
        <v>42947</v>
      </c>
      <c r="D296" s="193">
        <v>19.760000000000002</v>
      </c>
      <c r="E296" s="193">
        <v>19.37</v>
      </c>
      <c r="F296" s="197">
        <v>2017</v>
      </c>
      <c r="G296" s="197"/>
      <c r="H296" s="197"/>
      <c r="I296" s="197"/>
      <c r="J296" s="195"/>
    </row>
    <row r="297" spans="1:10" x14ac:dyDescent="0.3">
      <c r="A297" s="190" t="s">
        <v>459</v>
      </c>
      <c r="B297" s="190" t="s">
        <v>20</v>
      </c>
      <c r="C297" s="191">
        <v>42979</v>
      </c>
      <c r="D297" s="193">
        <v>20.2</v>
      </c>
      <c r="E297" s="193">
        <v>19.72</v>
      </c>
      <c r="F297" s="197">
        <v>2017</v>
      </c>
      <c r="G297" s="197"/>
      <c r="H297" s="197"/>
      <c r="I297" s="197"/>
      <c r="J297" s="195"/>
    </row>
    <row r="298" spans="1:10" x14ac:dyDescent="0.3">
      <c r="A298" s="190" t="s">
        <v>460</v>
      </c>
      <c r="B298" s="190" t="s">
        <v>20</v>
      </c>
      <c r="C298" s="191">
        <v>43014</v>
      </c>
      <c r="D298" s="193">
        <v>19.25</v>
      </c>
      <c r="E298" s="193">
        <v>19.11</v>
      </c>
      <c r="F298" s="197">
        <v>2017</v>
      </c>
      <c r="G298" s="197"/>
      <c r="H298" s="197"/>
      <c r="I298" s="197"/>
      <c r="J298" s="195"/>
    </row>
    <row r="299" spans="1:10" x14ac:dyDescent="0.3">
      <c r="A299" s="190" t="s">
        <v>461</v>
      </c>
      <c r="B299" s="190" t="s">
        <v>20</v>
      </c>
      <c r="C299" s="191">
        <v>43045</v>
      </c>
      <c r="D299" s="192"/>
      <c r="E299" s="193">
        <v>16.75</v>
      </c>
      <c r="F299" s="197">
        <v>2017</v>
      </c>
      <c r="G299" s="197"/>
      <c r="H299" s="197"/>
      <c r="I299" s="197"/>
      <c r="J299" s="195"/>
    </row>
    <row r="300" spans="1:10" x14ac:dyDescent="0.3">
      <c r="A300" s="190" t="s">
        <v>462</v>
      </c>
      <c r="B300" s="190" t="s">
        <v>20</v>
      </c>
      <c r="C300" s="191">
        <v>43073</v>
      </c>
      <c r="D300" s="193">
        <v>11.91</v>
      </c>
      <c r="E300" s="193">
        <v>12.12</v>
      </c>
      <c r="F300" s="197">
        <v>2017</v>
      </c>
      <c r="G300" s="197"/>
      <c r="H300" s="197"/>
      <c r="I300" s="197"/>
      <c r="J300" s="195"/>
    </row>
    <row r="301" spans="1:10" x14ac:dyDescent="0.3">
      <c r="A301" s="190" t="s">
        <v>463</v>
      </c>
      <c r="B301" s="190" t="s">
        <v>20</v>
      </c>
      <c r="C301" s="191">
        <v>43110</v>
      </c>
      <c r="D301" s="193">
        <v>3.15</v>
      </c>
      <c r="E301" s="193">
        <v>3.3</v>
      </c>
      <c r="F301" s="197">
        <v>2018</v>
      </c>
      <c r="G301" s="197"/>
      <c r="H301" s="197"/>
      <c r="I301" s="197"/>
      <c r="J301" s="195"/>
    </row>
    <row r="302" spans="1:10" x14ac:dyDescent="0.3">
      <c r="A302" s="190" t="s">
        <v>464</v>
      </c>
      <c r="B302" s="190" t="s">
        <v>20</v>
      </c>
      <c r="C302" s="191">
        <v>43140</v>
      </c>
      <c r="D302" s="192"/>
      <c r="E302" s="192"/>
      <c r="F302" s="197">
        <v>2018</v>
      </c>
      <c r="G302" s="197"/>
      <c r="H302" s="197"/>
      <c r="I302" s="197"/>
      <c r="J302" s="195"/>
    </row>
    <row r="303" spans="1:10" x14ac:dyDescent="0.3">
      <c r="A303" s="190" t="s">
        <v>466</v>
      </c>
      <c r="B303" s="190" t="s">
        <v>20</v>
      </c>
      <c r="C303" s="191">
        <v>43165</v>
      </c>
      <c r="D303" s="193">
        <v>3.91</v>
      </c>
      <c r="E303" s="193">
        <v>4.07</v>
      </c>
      <c r="F303" s="197">
        <v>2018</v>
      </c>
      <c r="G303" s="197"/>
      <c r="H303" s="197"/>
      <c r="I303" s="197"/>
      <c r="J303" s="195"/>
    </row>
    <row r="304" spans="1:10" x14ac:dyDescent="0.3">
      <c r="A304" s="190" t="s">
        <v>467</v>
      </c>
      <c r="B304" s="190" t="s">
        <v>20</v>
      </c>
      <c r="C304" s="191">
        <v>43199</v>
      </c>
      <c r="D304" s="193">
        <v>4.57</v>
      </c>
      <c r="E304" s="193">
        <v>4.76</v>
      </c>
      <c r="F304" s="197">
        <v>2018</v>
      </c>
      <c r="G304" s="197"/>
      <c r="H304" s="197"/>
      <c r="I304" s="197"/>
      <c r="J304" s="195"/>
    </row>
    <row r="305" spans="1:10" x14ac:dyDescent="0.3">
      <c r="A305" s="190" t="s">
        <v>468</v>
      </c>
      <c r="B305" s="190" t="s">
        <v>20</v>
      </c>
      <c r="C305" s="191">
        <v>43221</v>
      </c>
      <c r="D305" s="193">
        <v>6.99</v>
      </c>
      <c r="E305" s="193">
        <v>6.78</v>
      </c>
      <c r="F305" s="197">
        <v>2018</v>
      </c>
      <c r="G305" s="197"/>
      <c r="H305" s="197"/>
      <c r="I305" s="197"/>
      <c r="J305" s="195"/>
    </row>
    <row r="306" spans="1:10" x14ac:dyDescent="0.3">
      <c r="A306" s="190" t="s">
        <v>469</v>
      </c>
      <c r="B306" s="190" t="s">
        <v>20</v>
      </c>
      <c r="C306" s="191">
        <v>43250</v>
      </c>
      <c r="D306" s="193">
        <v>11.57</v>
      </c>
      <c r="E306" s="193">
        <v>11.43</v>
      </c>
      <c r="F306" s="197">
        <v>2018</v>
      </c>
      <c r="G306" s="197"/>
      <c r="H306" s="197"/>
      <c r="I306" s="197"/>
      <c r="J306" s="195"/>
    </row>
    <row r="307" spans="1:10" x14ac:dyDescent="0.3">
      <c r="A307" s="190" t="s">
        <v>471</v>
      </c>
      <c r="B307" s="190" t="s">
        <v>20</v>
      </c>
      <c r="C307" s="191">
        <v>43283</v>
      </c>
      <c r="D307" s="193">
        <v>18.13</v>
      </c>
      <c r="E307" s="193">
        <v>16.760000000000002</v>
      </c>
      <c r="F307" s="197">
        <v>2018</v>
      </c>
      <c r="G307" s="197"/>
      <c r="H307" s="197"/>
      <c r="I307" s="197"/>
      <c r="J307" s="195"/>
    </row>
    <row r="308" spans="1:10" x14ac:dyDescent="0.3">
      <c r="A308" s="190" t="s">
        <v>473</v>
      </c>
      <c r="B308" s="190" t="s">
        <v>20</v>
      </c>
      <c r="C308" s="191">
        <v>43311</v>
      </c>
      <c r="D308" s="193">
        <v>20.91</v>
      </c>
      <c r="E308" s="193">
        <v>19.96</v>
      </c>
      <c r="F308" s="197">
        <v>2018</v>
      </c>
      <c r="G308" s="197"/>
      <c r="H308" s="197"/>
      <c r="I308" s="197"/>
      <c r="J308" s="195"/>
    </row>
    <row r="309" spans="1:10" x14ac:dyDescent="0.3">
      <c r="A309" s="190" t="s">
        <v>475</v>
      </c>
      <c r="B309" s="190" t="s">
        <v>20</v>
      </c>
      <c r="C309" s="191">
        <v>43341</v>
      </c>
      <c r="D309" s="193">
        <v>22.05</v>
      </c>
      <c r="E309" s="193">
        <v>19.559999999999999</v>
      </c>
      <c r="F309" s="197">
        <v>2018</v>
      </c>
      <c r="G309" s="197"/>
      <c r="H309" s="197"/>
      <c r="I309" s="197"/>
      <c r="J309" s="195"/>
    </row>
    <row r="310" spans="1:10" x14ac:dyDescent="0.3">
      <c r="A310" s="190" t="s">
        <v>477</v>
      </c>
      <c r="B310" s="190" t="s">
        <v>20</v>
      </c>
      <c r="C310" s="191">
        <v>43375</v>
      </c>
      <c r="D310" s="193">
        <v>20.149999999999999</v>
      </c>
      <c r="E310" s="193">
        <v>20.02</v>
      </c>
      <c r="F310" s="197">
        <v>2018</v>
      </c>
      <c r="G310" s="197"/>
      <c r="H310" s="197"/>
      <c r="I310" s="197"/>
      <c r="J310" s="195"/>
    </row>
    <row r="311" spans="1:10" x14ac:dyDescent="0.3">
      <c r="A311" s="190" t="s">
        <v>478</v>
      </c>
      <c r="B311" s="190" t="s">
        <v>20</v>
      </c>
      <c r="C311" s="191">
        <v>43409</v>
      </c>
      <c r="D311" s="193">
        <v>13.95</v>
      </c>
      <c r="E311" s="193">
        <v>13.78</v>
      </c>
      <c r="F311" s="197">
        <v>2018</v>
      </c>
      <c r="G311" s="197"/>
      <c r="H311" s="197"/>
      <c r="I311" s="197"/>
      <c r="J311" s="195"/>
    </row>
    <row r="312" spans="1:10" x14ac:dyDescent="0.3">
      <c r="A312" s="190" t="s">
        <v>479</v>
      </c>
      <c r="B312" s="190" t="s">
        <v>20</v>
      </c>
      <c r="C312" s="191">
        <v>43434</v>
      </c>
      <c r="D312" s="193">
        <v>9.35</v>
      </c>
      <c r="E312" s="193">
        <v>9.5299999999999994</v>
      </c>
      <c r="F312" s="197">
        <v>2018</v>
      </c>
      <c r="G312" s="197"/>
      <c r="H312" s="197"/>
      <c r="I312" s="197"/>
      <c r="J312" s="195"/>
    </row>
    <row r="313" spans="1:10" x14ac:dyDescent="0.3">
      <c r="A313" s="190" t="s">
        <v>6</v>
      </c>
      <c r="B313" s="190" t="s">
        <v>20</v>
      </c>
      <c r="C313" s="191">
        <v>43467</v>
      </c>
      <c r="D313" s="193">
        <v>6.93</v>
      </c>
      <c r="E313" s="193">
        <v>7.5</v>
      </c>
      <c r="F313" s="197">
        <v>2019</v>
      </c>
      <c r="G313" s="197"/>
      <c r="H313" s="197"/>
      <c r="I313" s="197"/>
      <c r="J313" s="195"/>
    </row>
    <row r="314" spans="1:10" x14ac:dyDescent="0.3">
      <c r="A314" s="190" t="s">
        <v>7</v>
      </c>
      <c r="B314" s="190" t="s">
        <v>20</v>
      </c>
      <c r="C314" s="191">
        <v>43500</v>
      </c>
      <c r="D314" s="193">
        <v>4.07</v>
      </c>
      <c r="E314" s="193">
        <v>4.1399999999999997</v>
      </c>
      <c r="F314" s="197">
        <v>2019</v>
      </c>
      <c r="G314" s="197"/>
      <c r="H314" s="197"/>
      <c r="I314" s="197"/>
      <c r="J314" s="195"/>
    </row>
    <row r="315" spans="1:10" x14ac:dyDescent="0.3">
      <c r="A315" s="190" t="s">
        <v>9</v>
      </c>
      <c r="B315" s="190" t="s">
        <v>20</v>
      </c>
      <c r="C315" s="191">
        <v>43532</v>
      </c>
      <c r="D315" s="193">
        <v>3.34</v>
      </c>
      <c r="E315" s="193">
        <v>3.59</v>
      </c>
      <c r="F315" s="197">
        <v>2019</v>
      </c>
      <c r="G315" s="197"/>
      <c r="H315" s="197"/>
      <c r="I315" s="197"/>
      <c r="J315" s="195"/>
    </row>
    <row r="316" spans="1:10" x14ac:dyDescent="0.3">
      <c r="A316" s="190" t="s">
        <v>10</v>
      </c>
      <c r="B316" s="190" t="s">
        <v>20</v>
      </c>
      <c r="C316" s="191">
        <v>43557</v>
      </c>
      <c r="D316" s="193">
        <v>5.48</v>
      </c>
      <c r="E316" s="193">
        <v>5.43</v>
      </c>
      <c r="F316" s="197">
        <v>2019</v>
      </c>
      <c r="G316" s="197"/>
      <c r="H316" s="197"/>
      <c r="I316" s="197"/>
      <c r="J316" s="195"/>
    </row>
    <row r="317" spans="1:10" x14ac:dyDescent="0.3">
      <c r="A317" s="190" t="s">
        <v>11</v>
      </c>
      <c r="B317" s="190" t="s">
        <v>20</v>
      </c>
      <c r="C317" s="191">
        <v>43591</v>
      </c>
      <c r="D317" s="193">
        <v>8.7200000000000006</v>
      </c>
      <c r="E317" s="193">
        <v>8.5</v>
      </c>
      <c r="F317" s="197">
        <v>2019</v>
      </c>
      <c r="G317" s="197"/>
      <c r="H317" s="197"/>
      <c r="I317" s="197"/>
      <c r="J317" s="195"/>
    </row>
    <row r="318" spans="1:10" x14ac:dyDescent="0.3">
      <c r="A318" s="190" t="s">
        <v>12</v>
      </c>
      <c r="B318" s="190" t="s">
        <v>20</v>
      </c>
      <c r="C318" s="191">
        <v>43614</v>
      </c>
      <c r="D318" s="193">
        <v>11.93</v>
      </c>
      <c r="E318" s="193">
        <v>10.62</v>
      </c>
      <c r="F318" s="197">
        <v>2019</v>
      </c>
      <c r="G318" s="197"/>
      <c r="H318" s="197"/>
      <c r="I318" s="197"/>
      <c r="J318" s="195"/>
    </row>
    <row r="319" spans="1:10" x14ac:dyDescent="0.3">
      <c r="A319" s="190" t="s">
        <v>14</v>
      </c>
      <c r="B319" s="190" t="s">
        <v>20</v>
      </c>
      <c r="C319" s="191">
        <v>43647</v>
      </c>
      <c r="D319" s="193">
        <v>16.350000000000001</v>
      </c>
      <c r="E319" s="193">
        <v>14.99</v>
      </c>
      <c r="F319" s="197">
        <v>2019</v>
      </c>
      <c r="G319" s="197"/>
      <c r="H319" s="197"/>
      <c r="I319" s="197"/>
      <c r="J319" s="195"/>
    </row>
    <row r="320" spans="1:10" x14ac:dyDescent="0.3">
      <c r="A320" s="190" t="s">
        <v>16</v>
      </c>
      <c r="B320" s="190" t="s">
        <v>20</v>
      </c>
      <c r="C320" s="191">
        <v>43675</v>
      </c>
      <c r="D320" s="193">
        <v>19.93</v>
      </c>
      <c r="E320" s="193">
        <v>16.57</v>
      </c>
      <c r="F320" s="197">
        <v>2019</v>
      </c>
      <c r="G320" s="197"/>
      <c r="H320" s="197"/>
      <c r="I320" s="197"/>
      <c r="J320" s="195"/>
    </row>
    <row r="321" spans="1:10" x14ac:dyDescent="0.3">
      <c r="A321" s="190" t="s">
        <v>18</v>
      </c>
      <c r="B321" s="190" t="s">
        <v>20</v>
      </c>
      <c r="C321" s="191">
        <v>43704</v>
      </c>
      <c r="D321" s="193">
        <v>19.649999999999999</v>
      </c>
      <c r="E321" s="193">
        <v>19.38</v>
      </c>
      <c r="F321" s="197">
        <v>2019</v>
      </c>
      <c r="G321" s="197"/>
      <c r="H321" s="197"/>
      <c r="I321" s="197"/>
      <c r="J321" s="195"/>
    </row>
    <row r="322" spans="1:10" x14ac:dyDescent="0.3">
      <c r="A322" s="190" t="s">
        <v>39</v>
      </c>
      <c r="B322" s="190" t="s">
        <v>20</v>
      </c>
      <c r="C322" s="191">
        <v>43738</v>
      </c>
      <c r="D322" s="193">
        <v>19.239999999999998</v>
      </c>
      <c r="E322" s="193">
        <v>19.170000000000002</v>
      </c>
      <c r="F322" s="197">
        <v>2019</v>
      </c>
      <c r="G322" s="197"/>
      <c r="H322" s="197"/>
      <c r="I322" s="197"/>
      <c r="J322" s="195"/>
    </row>
    <row r="323" spans="1:10" x14ac:dyDescent="0.3">
      <c r="A323" s="190" t="s">
        <v>40</v>
      </c>
      <c r="B323" s="190" t="s">
        <v>20</v>
      </c>
      <c r="C323" s="191">
        <v>43773</v>
      </c>
      <c r="D323" s="193">
        <v>15.37</v>
      </c>
      <c r="E323" s="193">
        <v>15.4</v>
      </c>
      <c r="F323" s="197">
        <v>2019</v>
      </c>
      <c r="G323" s="197"/>
      <c r="H323" s="197"/>
      <c r="I323" s="197"/>
      <c r="J323" s="195"/>
    </row>
    <row r="324" spans="1:10" x14ac:dyDescent="0.3">
      <c r="A324" s="190" t="s">
        <v>41</v>
      </c>
      <c r="B324" s="190" t="s">
        <v>20</v>
      </c>
      <c r="C324" s="191">
        <v>43803</v>
      </c>
      <c r="D324" s="193">
        <v>9.81</v>
      </c>
      <c r="E324" s="193">
        <v>9.82</v>
      </c>
      <c r="F324" s="197">
        <v>2019</v>
      </c>
      <c r="G324" s="197"/>
      <c r="H324" s="197"/>
      <c r="I324" s="197"/>
      <c r="J324" s="195"/>
    </row>
    <row r="325" spans="1:10" x14ac:dyDescent="0.3">
      <c r="A325" s="190" t="s">
        <v>502</v>
      </c>
      <c r="B325" s="190" t="s">
        <v>20</v>
      </c>
      <c r="C325" s="191">
        <v>43836</v>
      </c>
      <c r="D325" s="193">
        <v>6.26</v>
      </c>
      <c r="E325" s="193">
        <v>7</v>
      </c>
      <c r="F325" s="197">
        <v>2020</v>
      </c>
      <c r="G325" s="197"/>
      <c r="H325" s="197"/>
      <c r="I325" s="197"/>
      <c r="J325" s="195"/>
    </row>
    <row r="326" spans="1:10" x14ac:dyDescent="0.3">
      <c r="A326" s="190" t="s">
        <v>503</v>
      </c>
      <c r="B326" s="190" t="s">
        <v>20</v>
      </c>
      <c r="C326" s="191">
        <v>43874</v>
      </c>
      <c r="D326" s="193">
        <v>5.47</v>
      </c>
      <c r="E326" s="193">
        <v>5.63</v>
      </c>
      <c r="F326" s="197">
        <v>2020</v>
      </c>
      <c r="G326" s="197"/>
      <c r="H326" s="197"/>
      <c r="I326" s="197"/>
      <c r="J326" s="195"/>
    </row>
    <row r="327" spans="1:10" x14ac:dyDescent="0.3">
      <c r="A327" s="190" t="s">
        <v>504</v>
      </c>
      <c r="B327" s="190" t="s">
        <v>20</v>
      </c>
      <c r="C327" s="191">
        <v>43899</v>
      </c>
      <c r="D327" s="193">
        <v>5.45</v>
      </c>
      <c r="E327" s="193">
        <v>5.99</v>
      </c>
      <c r="F327" s="197">
        <v>2020</v>
      </c>
      <c r="G327" s="197"/>
      <c r="H327" s="197"/>
      <c r="I327" s="197"/>
      <c r="J327" s="195"/>
    </row>
    <row r="328" spans="1:10" x14ac:dyDescent="0.3">
      <c r="A328" s="190" t="s">
        <v>505</v>
      </c>
      <c r="B328" s="190" t="s">
        <v>20</v>
      </c>
      <c r="C328" s="191">
        <v>44018</v>
      </c>
      <c r="D328" s="193">
        <v>17.91</v>
      </c>
      <c r="E328" s="193">
        <v>17.72</v>
      </c>
      <c r="F328" s="197">
        <v>2020</v>
      </c>
      <c r="G328" s="197"/>
      <c r="H328" s="197"/>
      <c r="I328" s="197"/>
      <c r="J328" s="195"/>
    </row>
    <row r="329" spans="1:10" x14ac:dyDescent="0.3">
      <c r="A329" s="190" t="s">
        <v>506</v>
      </c>
      <c r="B329" s="190" t="s">
        <v>20</v>
      </c>
      <c r="C329" s="191">
        <v>44053</v>
      </c>
      <c r="D329" s="193">
        <v>20.77</v>
      </c>
      <c r="E329" s="193">
        <v>20.190000000000001</v>
      </c>
      <c r="F329" s="197">
        <v>2020</v>
      </c>
      <c r="G329" s="197"/>
      <c r="H329" s="197"/>
      <c r="I329" s="197"/>
      <c r="J329" s="195"/>
    </row>
    <row r="330" spans="1:10" x14ac:dyDescent="0.3">
      <c r="A330" s="190" t="s">
        <v>507</v>
      </c>
      <c r="B330" s="190" t="s">
        <v>20</v>
      </c>
      <c r="C330" s="191">
        <v>44084</v>
      </c>
      <c r="D330" s="193">
        <v>20.92</v>
      </c>
      <c r="E330" s="193">
        <v>19.57</v>
      </c>
      <c r="F330" s="197">
        <v>2020</v>
      </c>
      <c r="G330" s="197"/>
      <c r="H330" s="197"/>
      <c r="I330" s="197"/>
      <c r="J330" s="195"/>
    </row>
    <row r="331" spans="1:10" x14ac:dyDescent="0.3">
      <c r="A331" s="190" t="s">
        <v>508</v>
      </c>
      <c r="B331" s="190" t="s">
        <v>20</v>
      </c>
      <c r="C331" s="191">
        <v>44110</v>
      </c>
      <c r="D331" s="193">
        <v>19.12</v>
      </c>
      <c r="E331" s="193">
        <v>19.03</v>
      </c>
      <c r="F331" s="197">
        <v>2020</v>
      </c>
      <c r="G331" s="197"/>
      <c r="H331" s="197"/>
      <c r="I331" s="197"/>
      <c r="J331" s="195"/>
    </row>
    <row r="332" spans="1:10" x14ac:dyDescent="0.3">
      <c r="A332" s="190" t="s">
        <v>509</v>
      </c>
      <c r="B332" s="190" t="s">
        <v>20</v>
      </c>
      <c r="C332" s="191">
        <v>44144</v>
      </c>
      <c r="D332" s="193">
        <v>14.83</v>
      </c>
      <c r="E332" s="193">
        <v>14.75</v>
      </c>
      <c r="F332" s="197">
        <v>2020</v>
      </c>
      <c r="G332" s="197"/>
      <c r="H332" s="197"/>
      <c r="I332" s="197"/>
      <c r="J332" s="195"/>
    </row>
    <row r="333" spans="1:10" x14ac:dyDescent="0.3">
      <c r="A333" s="190" t="s">
        <v>522</v>
      </c>
      <c r="B333" s="190" t="s">
        <v>20</v>
      </c>
      <c r="C333" s="191">
        <v>44263</v>
      </c>
      <c r="D333" s="193">
        <v>3.39</v>
      </c>
      <c r="E333" s="193">
        <v>3.38</v>
      </c>
      <c r="F333" s="197">
        <v>2021</v>
      </c>
      <c r="G333" s="197"/>
      <c r="H333" s="197"/>
      <c r="I333" s="197"/>
      <c r="J333" s="195"/>
    </row>
    <row r="334" spans="1:10" x14ac:dyDescent="0.3">
      <c r="A334" s="190" t="s">
        <v>523</v>
      </c>
      <c r="B334" s="190" t="s">
        <v>20</v>
      </c>
      <c r="C334" s="191">
        <v>44292</v>
      </c>
      <c r="D334" s="193">
        <v>6.25</v>
      </c>
      <c r="E334" s="193">
        <v>6.1</v>
      </c>
      <c r="F334" s="197">
        <v>2021</v>
      </c>
      <c r="G334" s="197"/>
      <c r="H334" s="197"/>
      <c r="I334" s="197"/>
      <c r="J334" s="195"/>
    </row>
    <row r="335" spans="1:10" x14ac:dyDescent="0.3">
      <c r="A335" s="190" t="s">
        <v>524</v>
      </c>
      <c r="B335" s="190" t="s">
        <v>20</v>
      </c>
      <c r="C335" s="191">
        <v>44322</v>
      </c>
      <c r="D335" s="193">
        <v>9.4499999999999993</v>
      </c>
      <c r="E335" s="193">
        <v>8.68</v>
      </c>
      <c r="F335" s="197">
        <v>2021</v>
      </c>
      <c r="G335" s="197"/>
      <c r="H335" s="197"/>
      <c r="I335" s="197"/>
      <c r="J335" s="195"/>
    </row>
    <row r="336" spans="1:10" x14ac:dyDescent="0.3">
      <c r="A336" s="190" t="s">
        <v>525</v>
      </c>
      <c r="B336" s="190" t="s">
        <v>20</v>
      </c>
      <c r="C336" s="191">
        <v>44350</v>
      </c>
      <c r="D336" s="193">
        <v>12.52</v>
      </c>
      <c r="E336" s="193">
        <v>12.33</v>
      </c>
      <c r="F336" s="197">
        <v>2021</v>
      </c>
      <c r="G336" s="197"/>
      <c r="H336" s="197"/>
      <c r="I336" s="197"/>
      <c r="J336" s="195"/>
    </row>
    <row r="337" spans="1:10" x14ac:dyDescent="0.3">
      <c r="A337" s="190" t="s">
        <v>527</v>
      </c>
      <c r="B337" s="190" t="s">
        <v>20</v>
      </c>
      <c r="C337" s="191">
        <v>44383</v>
      </c>
      <c r="D337" s="193">
        <v>17.72</v>
      </c>
      <c r="E337" s="193">
        <v>18.079999999999998</v>
      </c>
      <c r="F337" s="197">
        <v>2021</v>
      </c>
      <c r="G337" s="197"/>
      <c r="H337" s="197"/>
      <c r="I337" s="197"/>
      <c r="J337" s="195"/>
    </row>
    <row r="338" spans="1:10" x14ac:dyDescent="0.3">
      <c r="A338" s="190" t="s">
        <v>529</v>
      </c>
      <c r="B338" s="190" t="s">
        <v>20</v>
      </c>
      <c r="C338" s="191">
        <v>44410</v>
      </c>
      <c r="D338" s="193">
        <v>20.260000000000002</v>
      </c>
      <c r="E338" s="193">
        <v>19.260000000000002</v>
      </c>
      <c r="F338" s="197">
        <v>2021</v>
      </c>
      <c r="G338" s="197"/>
      <c r="H338" s="197"/>
      <c r="I338" s="197"/>
      <c r="J338" s="195"/>
    </row>
    <row r="339" spans="1:10" x14ac:dyDescent="0.3">
      <c r="A339" s="190" t="s">
        <v>531</v>
      </c>
      <c r="B339" s="190" t="s">
        <v>20</v>
      </c>
      <c r="C339" s="191">
        <v>44438</v>
      </c>
      <c r="D339" s="193">
        <v>21.84</v>
      </c>
      <c r="E339" s="193">
        <v>21.51</v>
      </c>
      <c r="F339" s="197">
        <v>2021</v>
      </c>
      <c r="G339" s="197"/>
      <c r="H339" s="197"/>
      <c r="I339" s="197"/>
      <c r="J339" s="195"/>
    </row>
    <row r="340" spans="1:10" x14ac:dyDescent="0.3">
      <c r="A340" s="190" t="s">
        <v>533</v>
      </c>
      <c r="B340" s="190" t="s">
        <v>20</v>
      </c>
      <c r="C340" s="191">
        <v>44473</v>
      </c>
      <c r="D340" s="193">
        <v>19.91</v>
      </c>
      <c r="E340" s="193">
        <v>19.600000000000001</v>
      </c>
      <c r="F340" s="197">
        <v>2021</v>
      </c>
      <c r="G340" s="197"/>
      <c r="H340" s="197"/>
      <c r="I340" s="197"/>
      <c r="J340" s="195"/>
    </row>
    <row r="341" spans="1:10" x14ac:dyDescent="0.3">
      <c r="A341" s="190" t="s">
        <v>534</v>
      </c>
      <c r="B341" s="190" t="s">
        <v>20</v>
      </c>
      <c r="C341" s="191">
        <v>44504</v>
      </c>
      <c r="D341" s="193">
        <v>16.39</v>
      </c>
      <c r="E341" s="193">
        <v>16.29</v>
      </c>
      <c r="F341" s="197">
        <v>2021</v>
      </c>
      <c r="G341" s="197"/>
      <c r="H341" s="197"/>
      <c r="I341" s="197"/>
      <c r="J341" s="195"/>
    </row>
    <row r="342" spans="1:10" x14ac:dyDescent="0.3">
      <c r="A342" s="190" t="s">
        <v>535</v>
      </c>
      <c r="B342" s="190" t="s">
        <v>20</v>
      </c>
      <c r="C342" s="191">
        <v>44532</v>
      </c>
      <c r="D342" s="193">
        <v>11.61</v>
      </c>
      <c r="E342" s="193">
        <v>12.05</v>
      </c>
      <c r="F342" s="197">
        <v>2021</v>
      </c>
      <c r="G342" s="197"/>
      <c r="H342" s="197"/>
      <c r="I342" s="197"/>
      <c r="J342" s="195"/>
    </row>
    <row r="343" spans="1:10" x14ac:dyDescent="0.3">
      <c r="A343" s="190" t="s">
        <v>539</v>
      </c>
      <c r="B343" s="190" t="s">
        <v>20</v>
      </c>
      <c r="C343" s="191">
        <v>44593</v>
      </c>
      <c r="D343" s="193">
        <v>4.46</v>
      </c>
      <c r="E343" s="193">
        <v>4.49</v>
      </c>
      <c r="F343" s="197">
        <v>2022</v>
      </c>
      <c r="G343" s="197"/>
      <c r="H343" s="197"/>
      <c r="I343" s="197"/>
      <c r="J343" s="195"/>
    </row>
    <row r="344" spans="1:10" x14ac:dyDescent="0.3">
      <c r="A344" s="190" t="s">
        <v>541</v>
      </c>
      <c r="B344" s="190" t="s">
        <v>20</v>
      </c>
      <c r="C344" s="191">
        <v>44622</v>
      </c>
      <c r="D344" s="193">
        <v>4.3600000000000003</v>
      </c>
      <c r="E344" s="193">
        <v>4.46</v>
      </c>
      <c r="F344" s="197">
        <v>2022</v>
      </c>
      <c r="G344" s="197"/>
      <c r="H344" s="197"/>
      <c r="I344" s="197"/>
      <c r="J344" s="195"/>
    </row>
    <row r="345" spans="1:10" x14ac:dyDescent="0.3">
      <c r="A345" s="190" t="s">
        <v>542</v>
      </c>
      <c r="B345" s="190" t="s">
        <v>554</v>
      </c>
      <c r="C345" s="191">
        <v>44655</v>
      </c>
      <c r="D345" s="193">
        <v>6.09</v>
      </c>
      <c r="E345" s="193">
        <v>6.16</v>
      </c>
      <c r="F345" s="197">
        <v>2022</v>
      </c>
      <c r="G345" s="197"/>
      <c r="H345" s="197"/>
      <c r="I345" s="197"/>
      <c r="J345" s="195"/>
    </row>
    <row r="346" spans="1:10" x14ac:dyDescent="0.3">
      <c r="A346" s="190" t="s">
        <v>543</v>
      </c>
      <c r="B346" s="190" t="s">
        <v>20</v>
      </c>
      <c r="C346" s="191">
        <v>44685</v>
      </c>
      <c r="D346" s="193">
        <v>9.0500000000000007</v>
      </c>
      <c r="E346" s="193">
        <v>8.8800000000000008</v>
      </c>
      <c r="F346" s="197">
        <v>2022</v>
      </c>
      <c r="G346" s="197"/>
      <c r="H346" s="197"/>
      <c r="I346" s="197"/>
      <c r="J346" s="195"/>
    </row>
    <row r="347" spans="1:10" x14ac:dyDescent="0.3">
      <c r="A347" s="190" t="s">
        <v>544</v>
      </c>
      <c r="B347" s="190" t="s">
        <v>20</v>
      </c>
      <c r="C347" s="191">
        <v>44714</v>
      </c>
      <c r="D347" s="193">
        <v>13.58</v>
      </c>
      <c r="E347" s="193">
        <v>12.9</v>
      </c>
      <c r="F347" s="197">
        <v>2022</v>
      </c>
      <c r="G347" s="197"/>
      <c r="H347" s="197"/>
      <c r="I347" s="197"/>
      <c r="J347" s="195"/>
    </row>
    <row r="348" spans="1:10" x14ac:dyDescent="0.3">
      <c r="A348" s="190" t="s">
        <v>546</v>
      </c>
      <c r="B348" s="190" t="s">
        <v>20</v>
      </c>
      <c r="C348" s="191">
        <v>44748</v>
      </c>
      <c r="D348" s="193">
        <v>17.79</v>
      </c>
      <c r="E348" s="193">
        <v>16.55</v>
      </c>
      <c r="F348" s="197">
        <v>2022</v>
      </c>
      <c r="G348" s="197"/>
      <c r="H348" s="197"/>
      <c r="I348" s="197"/>
      <c r="J348" s="195"/>
    </row>
    <row r="349" spans="1:10" x14ac:dyDescent="0.3">
      <c r="A349" s="190" t="s">
        <v>548</v>
      </c>
      <c r="B349" s="190" t="s">
        <v>20</v>
      </c>
      <c r="C349" s="191">
        <v>44774</v>
      </c>
      <c r="D349" s="193">
        <v>21.16</v>
      </c>
      <c r="E349" s="193">
        <v>18.559999999999999</v>
      </c>
      <c r="F349" s="197">
        <v>2022</v>
      </c>
      <c r="G349" s="197"/>
      <c r="H349" s="197"/>
      <c r="I349" s="197"/>
      <c r="J349" s="195"/>
    </row>
    <row r="350" spans="1:10" x14ac:dyDescent="0.3">
      <c r="A350" s="190" t="s">
        <v>550</v>
      </c>
      <c r="B350" s="190" t="s">
        <v>20</v>
      </c>
      <c r="C350" s="191">
        <v>44804</v>
      </c>
      <c r="D350" s="193">
        <v>22.21</v>
      </c>
      <c r="E350" s="192"/>
      <c r="F350" s="197">
        <v>2022</v>
      </c>
      <c r="G350" s="197"/>
      <c r="H350" s="197"/>
      <c r="I350" s="197"/>
      <c r="J350" s="195"/>
    </row>
    <row r="351" spans="1:10" x14ac:dyDescent="0.3">
      <c r="A351" s="190" t="s">
        <v>552</v>
      </c>
      <c r="B351" s="190" t="s">
        <v>20</v>
      </c>
      <c r="C351" s="191">
        <v>44840</v>
      </c>
      <c r="D351" s="193">
        <v>17.73</v>
      </c>
      <c r="E351" s="193">
        <v>17.739999999999998</v>
      </c>
      <c r="F351" s="197">
        <v>2022</v>
      </c>
      <c r="G351" s="197"/>
      <c r="H351" s="197"/>
      <c r="I351" s="197"/>
      <c r="J351" s="195"/>
    </row>
    <row r="352" spans="1:10" x14ac:dyDescent="0.3">
      <c r="A352" s="190" t="s">
        <v>553</v>
      </c>
      <c r="B352" s="190" t="s">
        <v>20</v>
      </c>
      <c r="C352" s="191">
        <v>44872</v>
      </c>
      <c r="D352" s="192"/>
      <c r="E352" s="192"/>
      <c r="F352" s="197">
        <v>2022</v>
      </c>
      <c r="G352" s="197"/>
      <c r="H352" s="197"/>
      <c r="I352" s="197"/>
      <c r="J352" s="195"/>
    </row>
    <row r="353" spans="1:10" x14ac:dyDescent="0.3">
      <c r="A353" s="190" t="s">
        <v>556</v>
      </c>
      <c r="B353" s="190" t="s">
        <v>20</v>
      </c>
      <c r="C353" s="191">
        <v>44910</v>
      </c>
      <c r="D353" s="193">
        <v>9.65</v>
      </c>
      <c r="E353" s="193">
        <v>9.59</v>
      </c>
      <c r="F353" s="197">
        <v>2022</v>
      </c>
      <c r="G353" s="197"/>
      <c r="H353" s="197"/>
      <c r="I353" s="197"/>
      <c r="J353" s="195"/>
    </row>
    <row r="354" spans="1:10" x14ac:dyDescent="0.3">
      <c r="A354" s="190" t="s">
        <v>557</v>
      </c>
      <c r="B354" s="190" t="s">
        <v>20</v>
      </c>
      <c r="C354" s="191">
        <v>44929</v>
      </c>
      <c r="D354" s="193">
        <v>7.06</v>
      </c>
      <c r="E354" s="193">
        <v>7.41</v>
      </c>
      <c r="F354" s="197">
        <v>2023</v>
      </c>
      <c r="G354" s="197"/>
      <c r="H354" s="197"/>
      <c r="I354" s="197"/>
      <c r="J354" s="195"/>
    </row>
    <row r="355" spans="1:10" x14ac:dyDescent="0.3">
      <c r="A355" s="190" t="s">
        <v>558</v>
      </c>
      <c r="B355" s="190" t="s">
        <v>20</v>
      </c>
      <c r="C355" s="191">
        <v>44963</v>
      </c>
      <c r="D355" s="193">
        <v>5.5</v>
      </c>
      <c r="E355" s="193">
        <v>5.78</v>
      </c>
      <c r="F355" s="197">
        <v>2023</v>
      </c>
      <c r="G355" s="197"/>
      <c r="H355" s="197"/>
      <c r="I355" s="197"/>
      <c r="J355" s="195"/>
    </row>
    <row r="356" spans="1:10" x14ac:dyDescent="0.3">
      <c r="A356" s="190" t="s">
        <v>559</v>
      </c>
      <c r="B356" s="190" t="s">
        <v>20</v>
      </c>
      <c r="C356" s="191">
        <v>45033</v>
      </c>
      <c r="D356" s="193">
        <v>7.6</v>
      </c>
      <c r="E356" s="193">
        <v>7.86</v>
      </c>
      <c r="F356" s="197">
        <v>2023</v>
      </c>
      <c r="G356" s="197"/>
      <c r="H356" s="197"/>
      <c r="I356" s="197"/>
      <c r="J356" s="195"/>
    </row>
    <row r="357" spans="1:10" x14ac:dyDescent="0.3">
      <c r="A357" s="190" t="s">
        <v>560</v>
      </c>
      <c r="B357" s="190" t="s">
        <v>20</v>
      </c>
      <c r="C357" s="191">
        <v>45054</v>
      </c>
      <c r="D357" s="193">
        <v>10.029999999999999</v>
      </c>
      <c r="E357" s="193">
        <v>10.49</v>
      </c>
      <c r="F357" s="197">
        <v>2023</v>
      </c>
      <c r="G357" s="197"/>
      <c r="H357" s="197"/>
      <c r="I357" s="197"/>
      <c r="J357" s="195"/>
    </row>
    <row r="358" spans="1:10" x14ac:dyDescent="0.3">
      <c r="A358" s="190" t="s">
        <v>561</v>
      </c>
      <c r="B358" s="190" t="s">
        <v>20</v>
      </c>
      <c r="C358" s="191">
        <v>45077</v>
      </c>
      <c r="D358" s="193">
        <v>13.33</v>
      </c>
      <c r="E358" s="193">
        <v>12.99</v>
      </c>
      <c r="F358" s="197">
        <v>2023</v>
      </c>
      <c r="G358" s="197"/>
      <c r="H358" s="197"/>
      <c r="I358" s="197"/>
      <c r="J358" s="195"/>
    </row>
    <row r="359" spans="1:10" x14ac:dyDescent="0.3">
      <c r="A359" s="190" t="s">
        <v>563</v>
      </c>
      <c r="B359" s="190" t="s">
        <v>20</v>
      </c>
      <c r="C359" s="191">
        <v>45112</v>
      </c>
      <c r="D359" s="193">
        <v>18.84</v>
      </c>
      <c r="E359" s="193">
        <v>18.52</v>
      </c>
      <c r="F359" s="197">
        <v>2023</v>
      </c>
      <c r="G359" s="197"/>
      <c r="H359" s="197"/>
      <c r="I359" s="197"/>
      <c r="J359" s="195"/>
    </row>
    <row r="360" spans="1:10" x14ac:dyDescent="0.3">
      <c r="A360" s="190" t="s">
        <v>565</v>
      </c>
      <c r="B360" s="190" t="s">
        <v>20</v>
      </c>
      <c r="C360" s="191">
        <v>45138</v>
      </c>
      <c r="D360" s="193">
        <v>19.190000000000001</v>
      </c>
      <c r="E360" s="193">
        <v>17.329999999999998</v>
      </c>
      <c r="F360" s="197">
        <v>2023</v>
      </c>
      <c r="G360" s="197"/>
      <c r="H360" s="197"/>
      <c r="I360" s="197"/>
      <c r="J360" s="195"/>
    </row>
    <row r="361" spans="1:10" x14ac:dyDescent="0.3">
      <c r="A361" s="190" t="s">
        <v>567</v>
      </c>
      <c r="B361" s="190" t="s">
        <v>20</v>
      </c>
      <c r="C361" s="191">
        <v>45167</v>
      </c>
      <c r="D361" s="193">
        <v>19.59</v>
      </c>
      <c r="E361" s="193">
        <v>18.88</v>
      </c>
      <c r="F361" s="197">
        <v>2023</v>
      </c>
      <c r="G361" s="197"/>
      <c r="H361" s="197"/>
      <c r="I361" s="197"/>
      <c r="J361" s="195"/>
    </row>
    <row r="362" spans="1:10" x14ac:dyDescent="0.3">
      <c r="A362" s="190" t="s">
        <v>568</v>
      </c>
      <c r="B362" s="190" t="s">
        <v>20</v>
      </c>
      <c r="C362" s="191">
        <v>45204</v>
      </c>
      <c r="D362" s="193">
        <v>18.64</v>
      </c>
      <c r="E362" s="193">
        <v>18.489999999999998</v>
      </c>
      <c r="F362" s="197">
        <v>2023</v>
      </c>
      <c r="G362" s="197"/>
      <c r="H362" s="197"/>
      <c r="I362" s="197"/>
      <c r="J362" s="195"/>
    </row>
    <row r="363" spans="1:10" x14ac:dyDescent="0.3">
      <c r="A363" s="190" t="s">
        <v>569</v>
      </c>
      <c r="B363" s="190" t="s">
        <v>20</v>
      </c>
      <c r="C363" s="191">
        <v>45237</v>
      </c>
      <c r="D363" s="193">
        <v>14.83</v>
      </c>
      <c r="E363" s="193">
        <v>14.81</v>
      </c>
      <c r="F363" s="197">
        <v>2023</v>
      </c>
      <c r="G363" s="197"/>
      <c r="H363" s="197"/>
      <c r="I363" s="197"/>
      <c r="J363" s="195"/>
    </row>
    <row r="364" spans="1:10" x14ac:dyDescent="0.3">
      <c r="A364" s="190" t="s">
        <v>570</v>
      </c>
      <c r="B364" s="190" t="s">
        <v>20</v>
      </c>
      <c r="C364" s="191">
        <v>45264</v>
      </c>
      <c r="D364" s="193">
        <v>10.85</v>
      </c>
      <c r="E364" s="193">
        <v>11.02</v>
      </c>
      <c r="F364" s="197">
        <v>2023</v>
      </c>
      <c r="G364" s="197"/>
      <c r="H364" s="197"/>
      <c r="I364" s="197"/>
      <c r="J364" s="195"/>
    </row>
    <row r="365" spans="1:10" x14ac:dyDescent="0.3">
      <c r="A365" s="190" t="s">
        <v>571</v>
      </c>
      <c r="B365" s="190" t="s">
        <v>20</v>
      </c>
      <c r="C365" s="191">
        <v>45294</v>
      </c>
      <c r="D365" s="193">
        <v>8.3699999999999992</v>
      </c>
      <c r="E365" s="193">
        <v>8.5500000000000007</v>
      </c>
      <c r="F365" s="197">
        <v>2024</v>
      </c>
      <c r="G365" s="197"/>
      <c r="H365" s="197"/>
      <c r="I365" s="197"/>
      <c r="J365" s="195"/>
    </row>
    <row r="366" spans="1:10" x14ac:dyDescent="0.3">
      <c r="A366" s="190" t="s">
        <v>572</v>
      </c>
      <c r="B366" s="190" t="s">
        <v>20</v>
      </c>
      <c r="C366" s="191">
        <v>45327</v>
      </c>
      <c r="D366" s="193">
        <v>5.48</v>
      </c>
      <c r="E366" s="193">
        <v>5.78</v>
      </c>
      <c r="F366" s="197">
        <v>2024</v>
      </c>
      <c r="G366" s="197"/>
      <c r="H366" s="197"/>
      <c r="I366" s="197"/>
      <c r="J366" s="195"/>
    </row>
    <row r="367" spans="1:10" x14ac:dyDescent="0.3">
      <c r="A367" s="190" t="s">
        <v>574</v>
      </c>
      <c r="B367" s="190" t="s">
        <v>20</v>
      </c>
      <c r="C367" s="191">
        <v>45355</v>
      </c>
      <c r="D367" s="193">
        <v>5.1100000000000003</v>
      </c>
      <c r="E367" s="193">
        <v>5.18</v>
      </c>
      <c r="F367" s="197">
        <v>2024</v>
      </c>
      <c r="G367" s="197"/>
      <c r="H367" s="197"/>
      <c r="I367" s="197"/>
      <c r="J367" s="195"/>
    </row>
    <row r="368" spans="1:10" x14ac:dyDescent="0.3">
      <c r="A368" s="190" t="s">
        <v>576</v>
      </c>
      <c r="B368" s="190" t="s">
        <v>20</v>
      </c>
      <c r="C368" s="191">
        <v>45383</v>
      </c>
      <c r="D368" s="193">
        <v>6.14</v>
      </c>
      <c r="E368" s="193">
        <v>5.96</v>
      </c>
      <c r="F368" s="197">
        <v>2024</v>
      </c>
      <c r="G368" s="197"/>
      <c r="H368" s="197"/>
      <c r="I368" s="197"/>
      <c r="J368" s="195"/>
    </row>
    <row r="369" spans="1:10" x14ac:dyDescent="0.3">
      <c r="A369" s="190" t="s">
        <v>577</v>
      </c>
      <c r="B369" s="190" t="s">
        <v>20</v>
      </c>
      <c r="C369" s="191">
        <v>45414</v>
      </c>
      <c r="D369" s="193">
        <v>9.02</v>
      </c>
      <c r="E369" s="193">
        <v>8.52</v>
      </c>
      <c r="F369" s="197">
        <v>2024</v>
      </c>
      <c r="G369" s="197"/>
      <c r="H369" s="197"/>
      <c r="I369" s="197"/>
      <c r="J369" s="195"/>
    </row>
    <row r="370" spans="1:10" x14ac:dyDescent="0.3">
      <c r="A370" s="190" t="s">
        <v>578</v>
      </c>
      <c r="B370" s="190" t="s">
        <v>20</v>
      </c>
      <c r="C370" s="191">
        <v>45442</v>
      </c>
      <c r="D370" s="193">
        <v>13.76</v>
      </c>
      <c r="E370" s="193">
        <v>12.66</v>
      </c>
      <c r="F370" s="197">
        <v>2024</v>
      </c>
      <c r="G370" s="197"/>
      <c r="H370" s="197"/>
      <c r="I370" s="197"/>
      <c r="J370" s="195"/>
    </row>
    <row r="371" spans="1:10" x14ac:dyDescent="0.3">
      <c r="A371" s="190" t="s">
        <v>580</v>
      </c>
      <c r="B371" s="190" t="s">
        <v>20</v>
      </c>
      <c r="C371" s="191">
        <v>45470</v>
      </c>
      <c r="D371" s="193">
        <v>17.010000000000002</v>
      </c>
      <c r="E371" s="193">
        <v>14.61</v>
      </c>
      <c r="F371" s="197">
        <v>2024</v>
      </c>
      <c r="G371" s="197"/>
      <c r="H371" s="197"/>
      <c r="I371" s="197"/>
      <c r="J371" s="195"/>
    </row>
    <row r="372" spans="1:10" x14ac:dyDescent="0.3">
      <c r="A372" s="190" t="s">
        <v>582</v>
      </c>
      <c r="B372" s="190" t="s">
        <v>20</v>
      </c>
      <c r="C372" s="191">
        <v>45502</v>
      </c>
      <c r="D372" s="193">
        <v>18.73</v>
      </c>
      <c r="E372" s="193">
        <v>18.52</v>
      </c>
      <c r="F372" s="197">
        <v>2024</v>
      </c>
      <c r="G372" s="197"/>
      <c r="H372" s="197"/>
      <c r="I372" s="197"/>
      <c r="J372" s="195"/>
    </row>
    <row r="373" spans="1:10" x14ac:dyDescent="0.3">
      <c r="A373" s="190" t="s">
        <v>584</v>
      </c>
      <c r="B373" s="190" t="s">
        <v>20</v>
      </c>
      <c r="C373" s="191">
        <v>45530</v>
      </c>
      <c r="D373" s="193">
        <v>20.170000000000002</v>
      </c>
      <c r="E373" s="193">
        <v>19.66</v>
      </c>
      <c r="F373" s="197">
        <v>2024</v>
      </c>
      <c r="G373" s="197"/>
      <c r="H373" s="197"/>
      <c r="I373" s="197"/>
      <c r="J373" s="195"/>
    </row>
    <row r="374" spans="1:10" x14ac:dyDescent="0.3">
      <c r="A374" s="190" t="s">
        <v>585</v>
      </c>
      <c r="B374" s="190" t="s">
        <v>20</v>
      </c>
      <c r="C374" s="191">
        <v>45567</v>
      </c>
      <c r="D374" s="193">
        <v>18.829999999999998</v>
      </c>
      <c r="E374" s="193">
        <v>18.739999999999998</v>
      </c>
      <c r="F374" s="197">
        <v>2024</v>
      </c>
      <c r="G374" s="197"/>
      <c r="H374" s="197"/>
      <c r="I374" s="197"/>
      <c r="J374" s="195"/>
    </row>
    <row r="375" spans="1:10" x14ac:dyDescent="0.3">
      <c r="A375" s="204" t="s">
        <v>602</v>
      </c>
      <c r="B375" s="190" t="s">
        <v>20</v>
      </c>
      <c r="C375" s="34">
        <v>45663</v>
      </c>
      <c r="D375">
        <v>6.33</v>
      </c>
      <c r="E375">
        <v>6.62</v>
      </c>
      <c r="F375" s="173">
        <v>2025</v>
      </c>
    </row>
    <row r="376" spans="1:10" x14ac:dyDescent="0.3">
      <c r="A376" s="160" t="s">
        <v>601</v>
      </c>
      <c r="B376" s="190" t="s">
        <v>20</v>
      </c>
      <c r="C376" s="34">
        <v>45691</v>
      </c>
      <c r="D376">
        <v>3.89</v>
      </c>
      <c r="E376">
        <v>4.13</v>
      </c>
      <c r="F376" s="173">
        <v>2025</v>
      </c>
    </row>
    <row r="377" spans="1:10" x14ac:dyDescent="0.3">
      <c r="A377" s="160" t="s">
        <v>593</v>
      </c>
      <c r="B377" s="190" t="s">
        <v>20</v>
      </c>
      <c r="C377" s="34">
        <v>45720</v>
      </c>
      <c r="D377">
        <v>2.85</v>
      </c>
      <c r="E377">
        <v>3.03</v>
      </c>
      <c r="F377" s="173">
        <v>2025</v>
      </c>
    </row>
    <row r="378" spans="1:10" x14ac:dyDescent="0.3">
      <c r="A378" s="160" t="s">
        <v>594</v>
      </c>
      <c r="B378" s="190" t="s">
        <v>20</v>
      </c>
      <c r="C378" s="34">
        <v>45751</v>
      </c>
      <c r="D378">
        <v>6.03</v>
      </c>
      <c r="E378">
        <v>6.12</v>
      </c>
      <c r="F378" s="173">
        <v>2025</v>
      </c>
    </row>
    <row r="379" spans="1:10" x14ac:dyDescent="0.3">
      <c r="A379" s="160" t="s">
        <v>595</v>
      </c>
      <c r="B379" s="190" t="s">
        <v>20</v>
      </c>
      <c r="C379" s="34">
        <v>45782</v>
      </c>
      <c r="D379">
        <v>9.23</v>
      </c>
      <c r="E379">
        <v>8.9700000000000006</v>
      </c>
      <c r="F379" s="173">
        <v>2025</v>
      </c>
    </row>
    <row r="380" spans="1:10" x14ac:dyDescent="0.3">
      <c r="A380" s="160" t="s">
        <v>596</v>
      </c>
      <c r="B380" s="190" t="s">
        <v>20</v>
      </c>
      <c r="C380" s="34">
        <v>45810</v>
      </c>
      <c r="D380">
        <v>12.78</v>
      </c>
      <c r="E380">
        <v>12.54</v>
      </c>
      <c r="F380" s="173">
        <v>2025</v>
      </c>
    </row>
    <row r="381" spans="1:10" x14ac:dyDescent="0.3">
      <c r="A381" s="160" t="s">
        <v>597</v>
      </c>
      <c r="B381" s="190" t="s">
        <v>20</v>
      </c>
      <c r="C381" s="34">
        <v>45840</v>
      </c>
      <c r="D381">
        <v>17.59</v>
      </c>
      <c r="E381">
        <v>17.16</v>
      </c>
      <c r="F381" s="173">
        <v>2025</v>
      </c>
    </row>
    <row r="382" spans="1:10" x14ac:dyDescent="0.3">
      <c r="A382" s="160" t="s">
        <v>599</v>
      </c>
      <c r="B382" s="190" t="s">
        <v>20</v>
      </c>
      <c r="C382" s="34">
        <v>45867</v>
      </c>
      <c r="D382">
        <v>20.22</v>
      </c>
      <c r="E382">
        <v>18.5</v>
      </c>
      <c r="F382" s="173">
        <v>2025</v>
      </c>
    </row>
    <row r="383" spans="1:10" x14ac:dyDescent="0.3">
      <c r="A383" s="160" t="s">
        <v>603</v>
      </c>
      <c r="B383" s="190" t="s">
        <v>20</v>
      </c>
      <c r="C383" s="34">
        <v>45894</v>
      </c>
      <c r="D383">
        <v>20.68</v>
      </c>
      <c r="E383">
        <v>20.52</v>
      </c>
      <c r="F383" s="173">
        <v>2025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2019 Weighted Average</vt:lpstr>
      <vt:lpstr>2018 Weighted Average</vt:lpstr>
      <vt:lpstr>AvgTempChart</vt:lpstr>
      <vt:lpstr>A4</vt:lpstr>
      <vt:lpstr>B3</vt:lpstr>
      <vt:lpstr>C1</vt:lpstr>
      <vt:lpstr>C2</vt:lpstr>
      <vt:lpstr>D3</vt:lpstr>
      <vt:lpstr>09</vt:lpstr>
      <vt:lpstr>15</vt:lpstr>
      <vt:lpstr>E1</vt:lpstr>
      <vt:lpstr>F2</vt:lpstr>
      <vt:lpstr>F3</vt:lpstr>
      <vt:lpstr>H2</vt:lpstr>
      <vt:lpstr>H4</vt:lpstr>
      <vt:lpstr>H6</vt:lpstr>
      <vt:lpstr>I2</vt:lpstr>
      <vt:lpstr>J2</vt:lpstr>
      <vt:lpstr>K2</vt:lpstr>
      <vt:lpstr>M3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2025-12-03T20:48:00Z</dcterms:modified>
</cp:coreProperties>
</file>