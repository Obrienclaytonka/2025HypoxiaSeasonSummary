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2E46E42E-3FCA-42A0-A45B-775D27F25F93}" xr6:coauthVersionLast="47" xr6:coauthVersionMax="47" xr10:uidLastSave="{00000000-0000-0000-0000-000000000000}"/>
  <bookViews>
    <workbookView xWindow="57480" yWindow="-120" windowWidth="29040" windowHeight="15720" activeTab="1" xr2:uid="{1CD6EC1A-B573-4C7F-859E-2ADEE0616A82}"/>
  </bookViews>
  <sheets>
    <sheet name="Sheet1" sheetId="1" r:id="rId1"/>
    <sheet name="Sheet2" sheetId="2" r:id="rId2"/>
  </sheets>
  <definedNames>
    <definedName name="_xlnm._FilterDatabase" localSheetId="0" hidden="1">Sheet1!$B$1:$D$12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B5" i="2"/>
  <c r="B4" i="2"/>
  <c r="B3" i="2"/>
  <c r="B2" i="2"/>
  <c r="C10" i="1"/>
  <c r="C9" i="1"/>
  <c r="C8" i="1"/>
  <c r="C7" i="1"/>
  <c r="C6" i="1"/>
  <c r="C5" i="1"/>
  <c r="C4" i="1"/>
  <c r="C2" i="1"/>
</calcChain>
</file>

<file path=xl/sharedStrings.xml><?xml version="1.0" encoding="utf-8"?>
<sst xmlns="http://schemas.openxmlformats.org/spreadsheetml/2006/main" count="48" uniqueCount="20">
  <si>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</si>
  <si>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</si>
  <si>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</si>
  <si>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</si>
  <si>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</si>
  <si>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</si>
  <si>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</si>
  <si>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</si>
  <si>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</si>
  <si>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</si>
  <si>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</si>
  <si>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Category </t>
  </si>
  <si>
    <t>Well Above Normal</t>
  </si>
  <si>
    <t>Slightly Below Normal</t>
  </si>
  <si>
    <t>Below Normal</t>
  </si>
  <si>
    <t>Slightly Above Normal</t>
  </si>
  <si>
    <t>Well Below Normal</t>
  </si>
  <si>
    <t>ChangefromNormal</t>
  </si>
  <si>
    <t>NOV</t>
  </si>
  <si>
    <t xml:space="preserve"> Below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</si>
</sst>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ChangefromNormal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Sheet1!$B$2:$B$12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Sheet1!$C$2:$C$12</c:f>
              <c:numCache>
                <c:formatCode>0.00</c:formatCode>
                <c:ptCount val="11"/>
                <c:pt idx="0">
                  <c:v>-1.6999999999999997</c:v>
                </c:pt>
                <c:pt idx="1">
                  <c:v>-0.08</c:v>
                </c:pt>
                <c:pt idx="2">
                  <c:v>0.69999999999999973</c:v>
                </c:pt>
                <c:pt idx="3">
                  <c:v>-0.33000000000000007</c:v>
                </c:pt>
                <c:pt idx="4">
                  <c:v>4.4400000000000004</c:v>
                </c:pt>
                <c:pt idx="5">
                  <c:v>-2.1500000000000004</c:v>
                </c:pt>
                <c:pt idx="6">
                  <c:v>3.6399999999999997</c:v>
                </c:pt>
                <c:pt idx="7">
                  <c:v>-1.7599999999999998</c:v>
                </c:pt>
                <c:pt idx="8">
                  <c:v>-0.98999999999999977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0-4A3A-832A-AB4895D62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034320"/>
        <c:axId val="626033600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Category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Sheet1!$B$2:$B$12</c15:sqref>
                        </c15:formulaRef>
                      </c:ext>
                    </c:extLst>
                    <c:strCache>
                      <c:ptCount val="11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AA0-4A3A-832A-AB4895D62DB1}"/>
                  </c:ext>
                </c:extLst>
              </c15:ser>
            </c15:filteredBarSeries>
          </c:ext>
        </c:extLst>
      </c:barChart>
      <c:catAx>
        <c:axId val="6260343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33600"/>
        <c:crosses val="autoZero"/>
        <c:auto val="1"/>
        <c:lblAlgn val="ctr"/>
        <c:lblOffset val="100"/>
        <c:noMultiLvlLbl val="0"/>
      </c:catAx>
      <c:valAx>
        <c:axId val="6260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3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ChangefromNormal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Sheet1!$B$2:$B$12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Sheet1!$C$2:$C$12</c:f>
              <c:numCache>
                <c:formatCode>0.00</c:formatCode>
                <c:ptCount val="11"/>
                <c:pt idx="0">
                  <c:v>-1.6999999999999997</c:v>
                </c:pt>
                <c:pt idx="1">
                  <c:v>-0.08</c:v>
                </c:pt>
                <c:pt idx="2">
                  <c:v>0.69999999999999973</c:v>
                </c:pt>
                <c:pt idx="3">
                  <c:v>-0.33000000000000007</c:v>
                </c:pt>
                <c:pt idx="4">
                  <c:v>4.4400000000000004</c:v>
                </c:pt>
                <c:pt idx="5">
                  <c:v>-2.1500000000000004</c:v>
                </c:pt>
                <c:pt idx="6">
                  <c:v>3.6399999999999997</c:v>
                </c:pt>
                <c:pt idx="7">
                  <c:v>-1.7599999999999998</c:v>
                </c:pt>
                <c:pt idx="8">
                  <c:v>-0.98999999999999977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2-4FD4-A7BE-462E5220C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034320"/>
        <c:axId val="626033600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Category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Sheet1!$B$2:$B$12</c15:sqref>
                        </c15:formulaRef>
                      </c:ext>
                    </c:extLst>
                    <c:strCache>
                      <c:ptCount val="11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602-4FD4-A7BE-462E5220C26F}"/>
                  </c:ext>
                </c:extLst>
              </c15:ser>
            </c15:filteredBarSeries>
          </c:ext>
        </c:extLst>
      </c:barChart>
      <c:catAx>
        <c:axId val="6260343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33600"/>
        <c:crosses val="autoZero"/>
        <c:auto val="1"/>
        <c:lblAlgn val="ctr"/>
        <c:lblOffset val="100"/>
        <c:noMultiLvlLbl val="0"/>
      </c:catAx>
      <c:valAx>
        <c:axId val="6260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3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8</xdr:row>
      <xdr:rowOff>171450</xdr:rowOff>
    </xdr:from>
    <xdr:to>
      <xdr:col>13</xdr:col>
      <xdr:colOff>228600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70179-915F-A4C3-5CC1-F9A63093A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8</xdr:row>
      <xdr:rowOff>171450</xdr:rowOff>
    </xdr:from>
    <xdr:to>
      <xdr:col>12</xdr:col>
      <xdr:colOff>228600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637B6-D429-45AB-80B9-3BBA1719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5031-DD7E-4FC7-9FDC-E9AC715E9C4E}">
  <dimension ref="B1:D12"/>
  <sheetViews>
    <sheetView workbookViewId="0">
      <selection activeCell="B1" sqref="B1:O29"/>
    </sheetView>
  </sheetViews>
  <sheetFormatPr defaultRowHeight="14.4" x14ac:dyDescent="0.3"/>
  <cols>
    <col min="3" max="3" width="17.77734375" bestFit="1" customWidth="1"/>
  </cols>
  <sheetData>
    <row r="1" spans="2:4" x14ac:dyDescent="0.3">
      <c r="B1" t="s">
        <v>0</v>
      </c>
      <c r="C1" t="s">
        <v>17</v>
      </c>
      <c r="D1" t="s">
        <v>11</v>
      </c>
    </row>
    <row r="2" spans="2:4" x14ac:dyDescent="0.3">
      <c r="B2" t="s">
        <v>1</v>
      </c>
      <c r="C2" s="1">
        <f>1.58-3.28</f>
        <v>-1.6999999999999997</v>
      </c>
      <c r="D2" t="s">
        <v>14</v>
      </c>
    </row>
    <row r="3" spans="2:4" x14ac:dyDescent="0.3">
      <c r="B3" t="s">
        <v>2</v>
      </c>
      <c r="C3" s="1">
        <v>-0.08</v>
      </c>
      <c r="D3" t="s">
        <v>13</v>
      </c>
    </row>
    <row r="4" spans="2:4" x14ac:dyDescent="0.3">
      <c r="B4" t="s">
        <v>3</v>
      </c>
      <c r="C4" s="1">
        <f>4.51-3.81</f>
        <v>0.69999999999999973</v>
      </c>
      <c r="D4" t="s">
        <v>15</v>
      </c>
    </row>
    <row r="5" spans="2:4" x14ac:dyDescent="0.3">
      <c r="B5" t="s">
        <v>4</v>
      </c>
      <c r="C5" s="1">
        <f>3.55-3.88</f>
        <v>-0.33000000000000007</v>
      </c>
      <c r="D5" t="s">
        <v>13</v>
      </c>
    </row>
    <row r="6" spans="2:4" x14ac:dyDescent="0.3">
      <c r="B6" t="s">
        <v>5</v>
      </c>
      <c r="C6" s="1">
        <f>8.23-3.79</f>
        <v>4.4400000000000004</v>
      </c>
      <c r="D6" t="s">
        <v>12</v>
      </c>
    </row>
    <row r="7" spans="2:4" x14ac:dyDescent="0.3">
      <c r="B7" t="s">
        <v>6</v>
      </c>
      <c r="C7" s="1">
        <f>2.13-4.28</f>
        <v>-2.1500000000000004</v>
      </c>
      <c r="D7" t="s">
        <v>14</v>
      </c>
    </row>
    <row r="8" spans="2:4" x14ac:dyDescent="0.3">
      <c r="B8" t="s">
        <v>7</v>
      </c>
      <c r="C8" s="1">
        <f>7.81-4.17</f>
        <v>3.6399999999999997</v>
      </c>
      <c r="D8" t="s">
        <v>12</v>
      </c>
    </row>
    <row r="9" spans="2:4" x14ac:dyDescent="0.3">
      <c r="B9" t="s">
        <v>8</v>
      </c>
      <c r="C9" s="1">
        <f>2.45-4.21</f>
        <v>-1.7599999999999998</v>
      </c>
      <c r="D9" t="s">
        <v>14</v>
      </c>
    </row>
    <row r="10" spans="2:4" x14ac:dyDescent="0.3">
      <c r="B10" t="s">
        <v>9</v>
      </c>
      <c r="C10" s="1">
        <f>3.4-4.39</f>
        <v>-0.98999999999999977</v>
      </c>
      <c r="D10" t="s">
        <v>13</v>
      </c>
    </row>
    <row r="11" spans="2:4" x14ac:dyDescent="0.3">
      <c r="B11" t="s">
        <v>10</v>
      </c>
      <c r="C11" s="1">
        <v>0.1</v>
      </c>
      <c r="D11" t="s">
        <v>15</v>
      </c>
    </row>
    <row r="12" spans="2:4" x14ac:dyDescent="0.3">
      <c r="B12" t="s">
        <v>18</v>
      </c>
    </row>
  </sheetData>
  <autoFilter ref="B1:D12" xr:uid="{29845031-DD7E-4FC7-9FDC-E9AC715E9C4E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2D7A-9D67-4B0F-AC8B-01F1AACFB239}">
  <dimension ref="A1:C12"/>
  <sheetViews>
    <sheetView tabSelected="1" workbookViewId="0">
      <selection activeCell="B14" sqref="B14"/>
    </sheetView>
  </sheetViews>
  <sheetFormatPr defaultRowHeight="14.4" x14ac:dyDescent="0.3"/>
  <sheetData>
    <row r="1" spans="1:3" x14ac:dyDescent="0.3">
      <c r="A1" t="s">
        <v>0</v>
      </c>
      <c r="B1" t="s">
        <v>17</v>
      </c>
      <c r="C1" t="s">
        <v>11</v>
      </c>
    </row>
    <row r="2" spans="1:3" x14ac:dyDescent="0.3">
      <c r="A2" t="s">
        <v>1</v>
      </c>
      <c r="B2" s="1">
        <f>0.72-3.18</f>
        <v>-2.46</v>
      </c>
      <c r="C2" t="s">
        <v>14</v>
      </c>
    </row>
    <row r="3" spans="1:3" x14ac:dyDescent="0.3">
      <c r="A3" t="s">
        <v>2</v>
      </c>
      <c r="B3" s="1">
        <f>3.27-3.12</f>
        <v>0.14999999999999991</v>
      </c>
      <c r="C3" t="s">
        <v>15</v>
      </c>
    </row>
    <row r="4" spans="1:3" x14ac:dyDescent="0.3">
      <c r="A4" t="s">
        <v>3</v>
      </c>
      <c r="B4" s="1">
        <f>3.75-4.09</f>
        <v>-0.33999999999999986</v>
      </c>
      <c r="C4" t="s">
        <v>13</v>
      </c>
    </row>
    <row r="5" spans="1:3" x14ac:dyDescent="0.3">
      <c r="A5" t="s">
        <v>4</v>
      </c>
      <c r="B5" s="1">
        <f>2.71-4.16</f>
        <v>-1.4500000000000002</v>
      </c>
      <c r="C5" t="s">
        <v>19</v>
      </c>
    </row>
    <row r="6" spans="1:3" x14ac:dyDescent="0.3">
      <c r="A6" t="s">
        <v>5</v>
      </c>
      <c r="B6" s="1">
        <f>4.15-3.58</f>
        <v>0.57000000000000028</v>
      </c>
      <c r="C6" t="s">
        <v>15</v>
      </c>
    </row>
    <row r="7" spans="1:3" x14ac:dyDescent="0.3">
      <c r="A7" t="s">
        <v>6</v>
      </c>
      <c r="B7" s="1">
        <f>0.91-3.77</f>
        <v>-2.86</v>
      </c>
      <c r="C7" t="s">
        <v>16</v>
      </c>
    </row>
    <row r="8" spans="1:3" x14ac:dyDescent="0.3">
      <c r="A8" t="s">
        <v>7</v>
      </c>
      <c r="B8" s="1">
        <f>1.35-3.32</f>
        <v>-1.9699999999999998</v>
      </c>
      <c r="C8" t="s">
        <v>14</v>
      </c>
    </row>
    <row r="9" spans="1:3" x14ac:dyDescent="0.3">
      <c r="A9" t="s">
        <v>8</v>
      </c>
      <c r="B9" s="1">
        <f>1.48-3.98</f>
        <v>-2.5</v>
      </c>
      <c r="C9" t="s">
        <v>14</v>
      </c>
    </row>
    <row r="10" spans="1:3" x14ac:dyDescent="0.3">
      <c r="A10" t="s">
        <v>9</v>
      </c>
      <c r="B10" s="1">
        <f>2.89-3.96</f>
        <v>-1.0699999999999998</v>
      </c>
      <c r="C10" t="s">
        <v>13</v>
      </c>
    </row>
    <row r="11" spans="1:3" x14ac:dyDescent="0.3">
      <c r="A11" t="s">
        <v>10</v>
      </c>
      <c r="B11" s="1">
        <f>4.58-3.84</f>
        <v>0.74000000000000021</v>
      </c>
      <c r="C11" t="s">
        <v>15</v>
      </c>
    </row>
    <row r="12" spans="1:3" x14ac:dyDescent="0.3">
      <c r="A1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O'Brien-Clayton, Katie</dc:creator>
  <cp:lastModifiedBy>O'Brien-Clayton, Katie</cp:lastModifiedBy>
  <dcterms:created xsi:type="dcterms:W3CDTF">2024-11-06T19:40:12Z</dcterms:created>
  <dcterms:modified xsi:type="dcterms:W3CDTF">2025-11-12T15:17:27Z</dcterms:modified>
</cp:coreProperties>
</file>